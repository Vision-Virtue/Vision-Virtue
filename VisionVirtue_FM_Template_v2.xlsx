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anoxmail-my.sharepoint.com/personal/raphael_h_nanox_vision/Documents/Desktop/"/>
    </mc:Choice>
  </mc:AlternateContent>
  <xr:revisionPtr revIDLastSave="4" documentId="8_{BD30F65A-033B-4BC2-9F1A-CA7FB7782AC6}" xr6:coauthVersionLast="47" xr6:coauthVersionMax="47" xr10:uidLastSave="{F7F09364-DCBD-4863-96C8-510917CB0A47}"/>
  <bookViews>
    <workbookView xWindow="-110" yWindow="-110" windowWidth="19420" windowHeight="10300" firstSheet="2" activeTab="3" xr2:uid="{CEFBB85D-E189-458F-B0B7-753BA9B19AA2}"/>
  </bookViews>
  <sheets>
    <sheet name="Qualitative Assumptions" sheetId="8" r:id="rId1"/>
    <sheet name="Company Name P&amp;L" sheetId="1" r:id="rId2"/>
    <sheet name="Company Name Rev Build" sheetId="5" r:id="rId3"/>
    <sheet name="Company Name COGS+OPEX Build" sheetId="6" r:id="rId4"/>
    <sheet name="Capex Price Weighted AVG." sheetId="7" r:id="rId5"/>
  </sheets>
  <definedNames>
    <definedName name="\" localSheetId="3" hidden="1">{"kricash",#N/A,FALSE,"INC";"kriinc",#N/A,FALSE,"INC";"krimiami",#N/A,FALSE,"INC";"kriother",#N/A,FALSE,"INC";"kripapers",#N/A,FALSE,"INC"}</definedName>
    <definedName name="\" hidden="1">{"kricash",#N/A,FALSE,"INC";"kriinc",#N/A,FALSE,"INC";"krimiami",#N/A,FALSE,"INC";"kriother",#N/A,FALSE,"INC";"kripapers",#N/A,FALSE,"INC"}</definedName>
    <definedName name="\0">#REF!</definedName>
    <definedName name="\A" localSheetId="4">'[1]טורים 98'!$HJ$133</definedName>
    <definedName name="\A">#REF!</definedName>
    <definedName name="\b">#REF!</definedName>
    <definedName name="\C" localSheetId="4">'[1]טורים 98'!$HJ$154</definedName>
    <definedName name="\c">#REF!</definedName>
    <definedName name="\D" localSheetId="4">'[1]טורים 98'!#REF!</definedName>
    <definedName name="\D">#REF!</definedName>
    <definedName name="\E" localSheetId="4">'[1]טורים 98'!$HJ$155</definedName>
    <definedName name="\E">#REF!</definedName>
    <definedName name="\F" localSheetId="4">'[1]טורים 98'!$GS$2</definedName>
    <definedName name="\F">#REF!</definedName>
    <definedName name="\G">#REF!</definedName>
    <definedName name="\H" localSheetId="4">'[1]טורים 98'!$B$336</definedName>
    <definedName name="\H">#REF!</definedName>
    <definedName name="\I">#REF!</definedName>
    <definedName name="\J" localSheetId="4">'[1]טורים 98'!$HJ$164</definedName>
    <definedName name="\J">#REF!</definedName>
    <definedName name="\K" localSheetId="4">'[1]טורים 98'!$HJ$166</definedName>
    <definedName name="\K">#REF!</definedName>
    <definedName name="\L" localSheetId="4">'[1]טורים 98'!$HJ$124</definedName>
    <definedName name="\L">#REF!</definedName>
    <definedName name="\M" localSheetId="4">'[1]טורים 98'!$HJ$121</definedName>
    <definedName name="\m">#REF!</definedName>
    <definedName name="\M2">#REF!</definedName>
    <definedName name="\N">#REF!</definedName>
    <definedName name="\O" localSheetId="4">'[1]טורים 98'!$HJ$144</definedName>
    <definedName name="\O">#REF!</definedName>
    <definedName name="\P" localSheetId="4">'[1]טורים 98'!$GT$13</definedName>
    <definedName name="\P">#REF!</definedName>
    <definedName name="\paul">#REF!</definedName>
    <definedName name="\Q" localSheetId="4">'[1]טורים 98'!$HJ$127</definedName>
    <definedName name="\q">#REF!</definedName>
    <definedName name="\R" localSheetId="4">'[1]טורים 98'!$HJ$118</definedName>
    <definedName name="\R">#REF!</definedName>
    <definedName name="\S" localSheetId="4">'[1]טורים 98'!$HJ$151</definedName>
    <definedName name="\S">#REF!</definedName>
    <definedName name="\t">#REF!</definedName>
    <definedName name="\U" localSheetId="4">'[1]טורים 98'!$HJ$116</definedName>
    <definedName name="\U">#REF!</definedName>
    <definedName name="\uu" localSheetId="3" hidden="1">{#N/A,#N/A,FALSE,"Pharm";#N/A,#N/A,FALSE,"WWCM"}</definedName>
    <definedName name="\uu" hidden="1">{#N/A,#N/A,FALSE,"Pharm";#N/A,#N/A,FALSE,"WWCM"}</definedName>
    <definedName name="\V">#REF!</definedName>
    <definedName name="\W" localSheetId="4">'[1]טורים 98'!$HJ$113</definedName>
    <definedName name="\W">#REF!</definedName>
    <definedName name="\X">'[1]טורים 98'!$HJ$146</definedName>
    <definedName name="\Y" localSheetId="4">'[1]טורים 98'!$GT$6</definedName>
    <definedName name="\Y">#REF!</definedName>
    <definedName name="\Z" localSheetId="4">'[1]טורים 98'!$HJ$129</definedName>
    <definedName name="\Z">#REF!</definedName>
    <definedName name="_">#REF!</definedName>
    <definedName name="_?ץד_F?S_עכ.ד_Fע?S_GF">#REF!</definedName>
    <definedName name="__" localSheetId="3">{"'1-TheatreBkgs'!$A$1:$L$102"}</definedName>
    <definedName name="__">{"'1-TheatreBkgs'!$A$1:$L$102"}</definedName>
    <definedName name="___" localSheetId="3">{"'1-TheatreBkgs'!$A$1:$L$102"}</definedName>
    <definedName name="___">{"'1-TheatreBkgs'!$A$1:$L$102"}</definedName>
    <definedName name="____">#REF!</definedName>
    <definedName name="____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localSheetId="4" hidden="1">{"Annual",#N/A,FALSE,"Sales &amp; Market";"Quarterly",#N/A,FALSE,"Sales &amp; Market"}</definedName>
    <definedName name="________________________wrn1" localSheetId="3" hidden="1">{"Annual",#N/A,FALSE,"Sales &amp; Market";"Quarterly",#N/A,FALSE,"Sales &amp; Market"}</definedName>
    <definedName name="________________________wrn1" hidden="1">{"Annual",#N/A,FALSE,"Sales &amp; Market";"Quarterly",#N/A,FALSE,"Sales &amp; Market"}</definedName>
    <definedName name="________________________wrn2" localSheetId="4" hidden="1">{"client cfbs",#N/A,FALSE,"Client"}</definedName>
    <definedName name="________________________wrn2" localSheetId="3" hidden="1">{"client cfbs",#N/A,FALSE,"Client"}</definedName>
    <definedName name="________________________wrn2" hidden="1">{"client cfbs",#N/A,FALSE,"Client"}</definedName>
    <definedName name="________________________wrn3" localSheetId="4" hidden="1">{"client is",#N/A,FALSE,"Client"}</definedName>
    <definedName name="________________________wrn3" localSheetId="3" hidden="1">{"client is",#N/A,FALSE,"Client"}</definedName>
    <definedName name="________________________wrn3" hidden="1">{"client is",#N/A,FALSE,"Client"}</definedName>
    <definedName name="________________________wrn4" localSheetId="4" hidden="1">{"client stats",#N/A,FALSE,"Client"}</definedName>
    <definedName name="________________________wrn4" localSheetId="3" hidden="1">{"client stats",#N/A,FALSE,"Client"}</definedName>
    <definedName name="________________________wrn4" hidden="1">{"client stats",#N/A,FALSE,"Client"}</definedName>
    <definedName name="________________________wrn5" localSheetId="4" hidden="1">{"internal is",#N/A,FALSE,"Model"}</definedName>
    <definedName name="________________________wrn5" localSheetId="3" hidden="1">{"internal is",#N/A,FALSE,"Model"}</definedName>
    <definedName name="________________________wrn5" hidden="1">{"internal is",#N/A,FALSE,"Model"}</definedName>
    <definedName name="________________________wrn6" localSheetId="4" hidden="1">{"portrait letter is",#N/A,FALSE,"Model"}</definedName>
    <definedName name="________________________wrn6" localSheetId="3" hidden="1">{"portrait letter is",#N/A,FALSE,"Model"}</definedName>
    <definedName name="________________________wrn6" hidden="1">{"portrait letter is",#N/A,FALSE,"Model"}</definedName>
    <definedName name="________________________wrn7" localSheetId="4" hidden="1">{#N/A,#N/A,FALSE,"Financial";#N/A,#N/A,FALSE,"Balance Sheet";#N/A,#N/A,FALSE,"Income stmt";#N/A,#N/A,FALSE,"Ratio"}</definedName>
    <definedName name="________________________wrn7" localSheetId="3" hidden="1">{#N/A,#N/A,FALSE,"Financial";#N/A,#N/A,FALSE,"Balance Sheet";#N/A,#N/A,FALSE,"Income stmt";#N/A,#N/A,FALSE,"Ratio"}</definedName>
    <definedName name="________________________wrn7" hidden="1">{#N/A,#N/A,FALSE,"Financial";#N/A,#N/A,FALSE,"Balance Sheet";#N/A,#N/A,FALSE,"Income stmt";#N/A,#N/A,FALSE,"Ratio"}</definedName>
    <definedName name="_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localSheetId="3" hidden="1">{#N/A,#N/A,FALSE,"Monthly"}</definedName>
    <definedName name="_______________________tes2" hidden="1">{#N/A,#N/A,FALSE,"Monthly"}</definedName>
    <definedName name="_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localSheetId="4" hidden="1">{"Annual",#N/A,FALSE,"Sales &amp; Market";"Quarterly",#N/A,FALSE,"Sales &amp; Market"}</definedName>
    <definedName name="______________________wrn1" localSheetId="3" hidden="1">{"Annual",#N/A,FALSE,"Sales &amp; Market";"Quarterly",#N/A,FALSE,"Sales &amp; Market"}</definedName>
    <definedName name="______________________wrn1" hidden="1">{"Annual",#N/A,FALSE,"Sales &amp; Market";"Quarterly",#N/A,FALSE,"Sales &amp; Market"}</definedName>
    <definedName name="______________________wrn2" localSheetId="4" hidden="1">{"client cfbs",#N/A,FALSE,"Client"}</definedName>
    <definedName name="______________________wrn2" localSheetId="3" hidden="1">{"client cfbs",#N/A,FALSE,"Client"}</definedName>
    <definedName name="______________________wrn2" hidden="1">{"client cfbs",#N/A,FALSE,"Client"}</definedName>
    <definedName name="______________________wrn3" localSheetId="4" hidden="1">{"client is",#N/A,FALSE,"Client"}</definedName>
    <definedName name="______________________wrn3" localSheetId="3" hidden="1">{"client is",#N/A,FALSE,"Client"}</definedName>
    <definedName name="______________________wrn3" hidden="1">{"client is",#N/A,FALSE,"Client"}</definedName>
    <definedName name="______________________wrn4" localSheetId="4" hidden="1">{"client stats",#N/A,FALSE,"Client"}</definedName>
    <definedName name="______________________wrn4" localSheetId="3" hidden="1">{"client stats",#N/A,FALSE,"Client"}</definedName>
    <definedName name="______________________wrn4" hidden="1">{"client stats",#N/A,FALSE,"Client"}</definedName>
    <definedName name="______________________wrn5" localSheetId="4" hidden="1">{"internal is",#N/A,FALSE,"Model"}</definedName>
    <definedName name="______________________wrn5" localSheetId="3" hidden="1">{"internal is",#N/A,FALSE,"Model"}</definedName>
    <definedName name="______________________wrn5" hidden="1">{"internal is",#N/A,FALSE,"Model"}</definedName>
    <definedName name="______________________wrn6" localSheetId="4" hidden="1">{"portrait letter is",#N/A,FALSE,"Model"}</definedName>
    <definedName name="______________________wrn6" localSheetId="3" hidden="1">{"portrait letter is",#N/A,FALSE,"Model"}</definedName>
    <definedName name="______________________wrn6" hidden="1">{"portrait letter is",#N/A,FALSE,"Model"}</definedName>
    <definedName name="______________________wrn7" localSheetId="4" hidden="1">{#N/A,#N/A,FALSE,"Financial";#N/A,#N/A,FALSE,"Balance Sheet";#N/A,#N/A,FALSE,"Income stmt";#N/A,#N/A,FALSE,"Ratio"}</definedName>
    <definedName name="______________________wrn7" localSheetId="3" hidden="1">{#N/A,#N/A,FALSE,"Financial";#N/A,#N/A,FALSE,"Balance Sheet";#N/A,#N/A,FALSE,"Income stmt";#N/A,#N/A,FALSE,"Ratio"}</definedName>
    <definedName name="______________________wrn7" hidden="1">{#N/A,#N/A,FALSE,"Financial";#N/A,#N/A,FALSE,"Balance Sheet";#N/A,#N/A,FALSE,"Income stmt";#N/A,#N/A,FALSE,"Ratio"}</definedName>
    <definedName name="_____________________MHA1" localSheetId="4" hidden="1">{"rtn",#N/A,FALSE,"RTN";"tables",#N/A,FALSE,"RTN";"cf",#N/A,FALSE,"CF";"stats",#N/A,FALSE,"Stats";"prop",#N/A,FALSE,"Prop"}</definedName>
    <definedName name="_____________________MHA1" localSheetId="3" hidden="1">{"rtn",#N/A,FALSE,"RTN";"tables",#N/A,FALSE,"RTN";"cf",#N/A,FALSE,"CF";"stats",#N/A,FALSE,"Stats";"prop",#N/A,FALSE,"Prop"}</definedName>
    <definedName name="_____________________MHA1" hidden="1">{"rtn",#N/A,FALSE,"RTN";"tables",#N/A,FALSE,"RTN";"cf",#N/A,FALSE,"CF";"stats",#N/A,FALSE,"Stats";"prop",#N/A,FALSE,"Prop"}</definedName>
    <definedName name="_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localSheetId="3" hidden="1">{#N/A,#N/A,FALSE,"Monthly"}</definedName>
    <definedName name="_____________________tes2" hidden="1">{#N/A,#N/A,FALSE,"Monthly"}</definedName>
    <definedName name="_____________________wrn1" localSheetId="4" hidden="1">{"Annual",#N/A,FALSE,"Sales &amp; Market";"Quarterly",#N/A,FALSE,"Sales &amp; Market"}</definedName>
    <definedName name="_____________________wrn1" localSheetId="3" hidden="1">{"Annual",#N/A,FALSE,"Sales &amp; Market";"Quarterly",#N/A,FALSE,"Sales &amp; Market"}</definedName>
    <definedName name="_____________________wrn1" hidden="1">{"Annual",#N/A,FALSE,"Sales &amp; Market";"Quarterly",#N/A,FALSE,"Sales &amp; Market"}</definedName>
    <definedName name="_____________________wrn2" localSheetId="4" hidden="1">{"client cfbs",#N/A,FALSE,"Client"}</definedName>
    <definedName name="_____________________wrn2" localSheetId="3" hidden="1">{"client cfbs",#N/A,FALSE,"Client"}</definedName>
    <definedName name="_____________________wrn2" hidden="1">{"client cfbs",#N/A,FALSE,"Client"}</definedName>
    <definedName name="_____________________wrn3" localSheetId="4" hidden="1">{"client is",#N/A,FALSE,"Client"}</definedName>
    <definedName name="_____________________wrn3" localSheetId="3" hidden="1">{"client is",#N/A,FALSE,"Client"}</definedName>
    <definedName name="_____________________wrn3" hidden="1">{"client is",#N/A,FALSE,"Client"}</definedName>
    <definedName name="_____________________wrn4" localSheetId="4" hidden="1">{"client stats",#N/A,FALSE,"Client"}</definedName>
    <definedName name="_____________________wrn4" localSheetId="3" hidden="1">{"client stats",#N/A,FALSE,"Client"}</definedName>
    <definedName name="_____________________wrn4" hidden="1">{"client stats",#N/A,FALSE,"Client"}</definedName>
    <definedName name="_____________________wrn5" localSheetId="4" hidden="1">{"internal is",#N/A,FALSE,"Model"}</definedName>
    <definedName name="_____________________wrn5" localSheetId="3" hidden="1">{"internal is",#N/A,FALSE,"Model"}</definedName>
    <definedName name="_____________________wrn5" hidden="1">{"internal is",#N/A,FALSE,"Model"}</definedName>
    <definedName name="_____________________wrn6" localSheetId="4" hidden="1">{"portrait letter is",#N/A,FALSE,"Model"}</definedName>
    <definedName name="_____________________wrn6" localSheetId="3" hidden="1">{"portrait letter is",#N/A,FALSE,"Model"}</definedName>
    <definedName name="_____________________wrn6" hidden="1">{"portrait letter is",#N/A,FALSE,"Model"}</definedName>
    <definedName name="_____________________wrn7" localSheetId="4" hidden="1">{#N/A,#N/A,FALSE,"Financial";#N/A,#N/A,FALSE,"Balance Sheet";#N/A,#N/A,FALSE,"Income stmt";#N/A,#N/A,FALSE,"Ratio"}</definedName>
    <definedName name="_____________________wrn7" localSheetId="3" hidden="1">{#N/A,#N/A,FALSE,"Financial";#N/A,#N/A,FALSE,"Balance Sheet";#N/A,#N/A,FALSE,"Income stmt";#N/A,#N/A,FALSE,"Ratio"}</definedName>
    <definedName name="_____________________wrn7" hidden="1">{#N/A,#N/A,FALSE,"Financial";#N/A,#N/A,FALSE,"Balance Sheet";#N/A,#N/A,FALSE,"Income stmt";#N/A,#N/A,FALSE,"Ratio"}</definedName>
    <definedName name="_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localSheetId="3" hidden="1">{#N/A,#N/A,FALSE,"Monthly"}</definedName>
    <definedName name="___________________tes2" hidden="1">{#N/A,#N/A,FALSE,"Monthly"}</definedName>
    <definedName name="___________________wrn1" localSheetId="4" hidden="1">{"Annual",#N/A,FALSE,"Sales &amp; Market";"Quarterly",#N/A,FALSE,"Sales &amp; Market"}</definedName>
    <definedName name="___________________wrn1" localSheetId="3" hidden="1">{"Annual",#N/A,FALSE,"Sales &amp; Market";"Quarterly",#N/A,FALSE,"Sales &amp; Market"}</definedName>
    <definedName name="___________________wrn1" hidden="1">{"Annual",#N/A,FALSE,"Sales &amp; Market";"Quarterly",#N/A,FALSE,"Sales &amp; Market"}</definedName>
    <definedName name="___________________wrn2" localSheetId="4" hidden="1">{"client cfbs",#N/A,FALSE,"Client"}</definedName>
    <definedName name="___________________wrn2" localSheetId="3" hidden="1">{"client cfbs",#N/A,FALSE,"Client"}</definedName>
    <definedName name="___________________wrn2" hidden="1">{"client cfbs",#N/A,FALSE,"Client"}</definedName>
    <definedName name="___________________wrn3" localSheetId="4" hidden="1">{"client is",#N/A,FALSE,"Client"}</definedName>
    <definedName name="___________________wrn3" localSheetId="3" hidden="1">{"client is",#N/A,FALSE,"Client"}</definedName>
    <definedName name="___________________wrn3" hidden="1">{"client is",#N/A,FALSE,"Client"}</definedName>
    <definedName name="___________________wrn4" localSheetId="4" hidden="1">{"client stats",#N/A,FALSE,"Client"}</definedName>
    <definedName name="___________________wrn4" localSheetId="3" hidden="1">{"client stats",#N/A,FALSE,"Client"}</definedName>
    <definedName name="___________________wrn4" hidden="1">{"client stats",#N/A,FALSE,"Client"}</definedName>
    <definedName name="___________________wrn5" localSheetId="4" hidden="1">{"internal is",#N/A,FALSE,"Model"}</definedName>
    <definedName name="___________________wrn5" localSheetId="3" hidden="1">{"internal is",#N/A,FALSE,"Model"}</definedName>
    <definedName name="___________________wrn5" hidden="1">{"internal is",#N/A,FALSE,"Model"}</definedName>
    <definedName name="___________________wrn6" localSheetId="4" hidden="1">{"portrait letter is",#N/A,FALSE,"Model"}</definedName>
    <definedName name="___________________wrn6" localSheetId="3" hidden="1">{"portrait letter is",#N/A,FALSE,"Model"}</definedName>
    <definedName name="___________________wrn6" hidden="1">{"portrait letter is",#N/A,FALSE,"Model"}</definedName>
    <definedName name="___________________wrn7" localSheetId="4" hidden="1">{#N/A,#N/A,FALSE,"Financial";#N/A,#N/A,FALSE,"Balance Sheet";#N/A,#N/A,FALSE,"Income stmt";#N/A,#N/A,FALSE,"Ratio"}</definedName>
    <definedName name="___________________wrn7" localSheetId="3" hidden="1">{#N/A,#N/A,FALSE,"Financial";#N/A,#N/A,FALSE,"Balance Sheet";#N/A,#N/A,FALSE,"Income stmt";#N/A,#N/A,FALSE,"Ratio"}</definedName>
    <definedName name="___________________wrn7" hidden="1">{#N/A,#N/A,FALSE,"Financial";#N/A,#N/A,FALSE,"Balance Sheet";#N/A,#N/A,FALSE,"Income stmt";#N/A,#N/A,FALSE,"Ratio"}</definedName>
    <definedName name="_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localSheetId="4" hidden="1">{"Annual",#N/A,FALSE,"Sales &amp; Market";"Quarterly",#N/A,FALSE,"Sales &amp; Market"}</definedName>
    <definedName name="__________________wrn1" localSheetId="3" hidden="1">{"Annual",#N/A,FALSE,"Sales &amp; Market";"Quarterly",#N/A,FALSE,"Sales &amp; Market"}</definedName>
    <definedName name="__________________wrn1" hidden="1">{"Annual",#N/A,FALSE,"Sales &amp; Market";"Quarterly",#N/A,FALSE,"Sales &amp; Market"}</definedName>
    <definedName name="__________________wrn2" localSheetId="4" hidden="1">{"client cfbs",#N/A,FALSE,"Client"}</definedName>
    <definedName name="__________________wrn2" localSheetId="3" hidden="1">{"client cfbs",#N/A,FALSE,"Client"}</definedName>
    <definedName name="__________________wrn2" hidden="1">{"client cfbs",#N/A,FALSE,"Client"}</definedName>
    <definedName name="__________________wrn3" localSheetId="4" hidden="1">{"client is",#N/A,FALSE,"Client"}</definedName>
    <definedName name="__________________wrn3" localSheetId="3" hidden="1">{"client is",#N/A,FALSE,"Client"}</definedName>
    <definedName name="__________________wrn3" hidden="1">{"client is",#N/A,FALSE,"Client"}</definedName>
    <definedName name="__________________wrn4" localSheetId="4" hidden="1">{"client stats",#N/A,FALSE,"Client"}</definedName>
    <definedName name="__________________wrn4" localSheetId="3" hidden="1">{"client stats",#N/A,FALSE,"Client"}</definedName>
    <definedName name="__________________wrn4" hidden="1">{"client stats",#N/A,FALSE,"Client"}</definedName>
    <definedName name="__________________wrn5" localSheetId="4" hidden="1">{"internal is",#N/A,FALSE,"Model"}</definedName>
    <definedName name="__________________wrn5" localSheetId="3" hidden="1">{"internal is",#N/A,FALSE,"Model"}</definedName>
    <definedName name="__________________wrn5" hidden="1">{"internal is",#N/A,FALSE,"Model"}</definedName>
    <definedName name="__________________wrn6" localSheetId="4" hidden="1">{"portrait letter is",#N/A,FALSE,"Model"}</definedName>
    <definedName name="__________________wrn6" localSheetId="3" hidden="1">{"portrait letter is",#N/A,FALSE,"Model"}</definedName>
    <definedName name="__________________wrn6" hidden="1">{"portrait letter is",#N/A,FALSE,"Model"}</definedName>
    <definedName name="__________________wrn7" localSheetId="4" hidden="1">{#N/A,#N/A,FALSE,"Financial";#N/A,#N/A,FALSE,"Balance Sheet";#N/A,#N/A,FALSE,"Income stmt";#N/A,#N/A,FALSE,"Ratio"}</definedName>
    <definedName name="__________________wrn7" localSheetId="3" hidden="1">{#N/A,#N/A,FALSE,"Financial";#N/A,#N/A,FALSE,"Balance Sheet";#N/A,#N/A,FALSE,"Income stmt";#N/A,#N/A,FALSE,"Ratio"}</definedName>
    <definedName name="__________________wrn7" hidden="1">{#N/A,#N/A,FALSE,"Financial";#N/A,#N/A,FALSE,"Balance Sheet";#N/A,#N/A,FALSE,"Income stmt";#N/A,#N/A,FALSE,"Ratio"}</definedName>
    <definedName name="__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localSheetId="3" hidden="1">{#N/A,#N/A,FALSE,"PMTABB";#N/A,#N/A,FALSE,"PMTABB"}</definedName>
    <definedName name="_________________Grp16" hidden="1">{#N/A,#N/A,FALSE,"PMTABB";#N/A,#N/A,FALSE,"PMTABB"}</definedName>
    <definedName name="_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localSheetId="3" hidden="1">{#N/A,#N/A,FALSE,"Monthly"}</definedName>
    <definedName name="_________________tes2" hidden="1">{#N/A,#N/A,FALSE,"Monthly"}</definedName>
    <definedName name="_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localSheetId="3" hidden="1">{#N/A,#N/A,FALSE,"PMTABB";#N/A,#N/A,FALSE,"PMTABB"}</definedName>
    <definedName name="________________Grp16" hidden="1">{#N/A,#N/A,FALSE,"PMTABB";#N/A,#N/A,FALSE,"PMTABB"}</definedName>
    <definedName name="________________MHA1" localSheetId="4" hidden="1">{"rtn",#N/A,FALSE,"RTN";"tables",#N/A,FALSE,"RTN";"cf",#N/A,FALSE,"CF";"stats",#N/A,FALSE,"Stats";"prop",#N/A,FALSE,"Prop"}</definedName>
    <definedName name="________________MHA1" localSheetId="3" hidden="1">{"rtn",#N/A,FALSE,"RTN";"tables",#N/A,FALSE,"RTN";"cf",#N/A,FALSE,"CF";"stats",#N/A,FALSE,"Stats";"prop",#N/A,FALSE,"Prop"}</definedName>
    <definedName name="________________MHA1" hidden="1">{"rtn",#N/A,FALSE,"RTN";"tables",#N/A,FALSE,"RTN";"cf",#N/A,FALSE,"CF";"stats",#N/A,FALSE,"Stats";"prop",#N/A,FALSE,"Prop"}</definedName>
    <definedName name="_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localSheetId="4" hidden="1">{"Annual",#N/A,FALSE,"Sales &amp; Market";"Quarterly",#N/A,FALSE,"Sales &amp; Market"}</definedName>
    <definedName name="________________wrn1" localSheetId="3" hidden="1">{"Annual",#N/A,FALSE,"Sales &amp; Market";"Quarterly",#N/A,FALSE,"Sales &amp; Market"}</definedName>
    <definedName name="________________wrn1" hidden="1">{"Annual",#N/A,FALSE,"Sales &amp; Market";"Quarterly",#N/A,FALSE,"Sales &amp; Market"}</definedName>
    <definedName name="________________wrn2" localSheetId="4" hidden="1">{"client cfbs",#N/A,FALSE,"Client"}</definedName>
    <definedName name="________________wrn2" localSheetId="3" hidden="1">{"client cfbs",#N/A,FALSE,"Client"}</definedName>
    <definedName name="________________wrn2" hidden="1">{"client cfbs",#N/A,FALSE,"Client"}</definedName>
    <definedName name="________________wrn3" localSheetId="4" hidden="1">{"client is",#N/A,FALSE,"Client"}</definedName>
    <definedName name="________________wrn3" localSheetId="3" hidden="1">{"client is",#N/A,FALSE,"Client"}</definedName>
    <definedName name="________________wrn3" hidden="1">{"client is",#N/A,FALSE,"Client"}</definedName>
    <definedName name="________________wrn4" localSheetId="4" hidden="1">{"client stats",#N/A,FALSE,"Client"}</definedName>
    <definedName name="________________wrn4" localSheetId="3" hidden="1">{"client stats",#N/A,FALSE,"Client"}</definedName>
    <definedName name="________________wrn4" hidden="1">{"client stats",#N/A,FALSE,"Client"}</definedName>
    <definedName name="________________wrn5" localSheetId="4" hidden="1">{"internal is",#N/A,FALSE,"Model"}</definedName>
    <definedName name="________________wrn5" localSheetId="3" hidden="1">{"internal is",#N/A,FALSE,"Model"}</definedName>
    <definedName name="________________wrn5" hidden="1">{"internal is",#N/A,FALSE,"Model"}</definedName>
    <definedName name="________________wrn6" localSheetId="4" hidden="1">{"portrait letter is",#N/A,FALSE,"Model"}</definedName>
    <definedName name="________________wrn6" localSheetId="3" hidden="1">{"portrait letter is",#N/A,FALSE,"Model"}</definedName>
    <definedName name="________________wrn6" hidden="1">{"portrait letter is",#N/A,FALSE,"Model"}</definedName>
    <definedName name="________________wrn7" localSheetId="4" hidden="1">{#N/A,#N/A,FALSE,"Financial";#N/A,#N/A,FALSE,"Balance Sheet";#N/A,#N/A,FALSE,"Income stmt";#N/A,#N/A,FALSE,"Ratio"}</definedName>
    <definedName name="________________wrn7" localSheetId="3" hidden="1">{#N/A,#N/A,FALSE,"Financial";#N/A,#N/A,FALSE,"Balance Sheet";#N/A,#N/A,FALSE,"Income stmt";#N/A,#N/A,FALSE,"Ratio"}</definedName>
    <definedName name="________________wrn7" hidden="1">{#N/A,#N/A,FALSE,"Financial";#N/A,#N/A,FALSE,"Balance Sheet";#N/A,#N/A,FALSE,"Income stmt";#N/A,#N/A,FALSE,"Ratio"}</definedName>
    <definedName name="_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localSheetId="4" hidden="1">{"ww",#N/A,FALSE,"Hospital Products";"us",#N/A,FALSE,"Hospital Products";"in",#N/A,FALSE,"Hospital Products"}</definedName>
    <definedName name="_______________EPO2" localSheetId="3" hidden="1">{"ww",#N/A,FALSE,"Hospital Products";"us",#N/A,FALSE,"Hospital Products";"in",#N/A,FALSE,"Hospital Products"}</definedName>
    <definedName name="_______________EPO2" hidden="1">{"ww",#N/A,FALSE,"Hospital Products";"us",#N/A,FALSE,"Hospital Products";"in",#N/A,FALSE,"Hospital Products"}</definedName>
    <definedName name="_______________EPO3" localSheetId="4" hidden="1">{"ww",#N/A,FALSE,"Hospital Products";"us",#N/A,FALSE,"Hospital Products";"in",#N/A,FALSE,"Hospital Products"}</definedName>
    <definedName name="_______________EPO3" localSheetId="3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localSheetId="4" hidden="1">{"ww",#N/A,FALSE,"Hospital Products";"us",#N/A,FALSE,"Hospital Products";"in",#N/A,FALSE,"Hospital Products"}</definedName>
    <definedName name="_______________EPO4" localSheetId="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localSheetId="3" hidden="1">{#N/A,#N/A,FALSE,"PMTABB";#N/A,#N/A,FALSE,"PMTABB"}</definedName>
    <definedName name="_______________Grp16" hidden="1">{#N/A,#N/A,FALSE,"PMTABB";#N/A,#N/A,FALSE,"PMTABB"}</definedName>
    <definedName name="__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localSheetId="3" hidden="1">{#N/A,#N/A,FALSE,"Monthly"}</definedName>
    <definedName name="_______________tes2" hidden="1">{#N/A,#N/A,FALSE,"Monthly"}</definedName>
    <definedName name="_______________wrn1" localSheetId="4" hidden="1">{"Annual",#N/A,FALSE,"Sales &amp; Market";"Quarterly",#N/A,FALSE,"Sales &amp; Market"}</definedName>
    <definedName name="_______________wrn1" localSheetId="3" hidden="1">{"Annual",#N/A,FALSE,"Sales &amp; Market";"Quarterly",#N/A,FALSE,"Sales &amp; Market"}</definedName>
    <definedName name="_______________wrn1" hidden="1">{"Annual",#N/A,FALSE,"Sales &amp; Market";"Quarterly",#N/A,FALSE,"Sales &amp; Market"}</definedName>
    <definedName name="_______________wrn2" localSheetId="4" hidden="1">{"client cfbs",#N/A,FALSE,"Client"}</definedName>
    <definedName name="_______________wrn2" localSheetId="3" hidden="1">{"client cfbs",#N/A,FALSE,"Client"}</definedName>
    <definedName name="_______________wrn2" hidden="1">{"client cfbs",#N/A,FALSE,"Client"}</definedName>
    <definedName name="_______________wrn3" localSheetId="4" hidden="1">{"client is",#N/A,FALSE,"Client"}</definedName>
    <definedName name="_______________wrn3" localSheetId="3" hidden="1">{"client is",#N/A,FALSE,"Client"}</definedName>
    <definedName name="_______________wrn3" hidden="1">{"client is",#N/A,FALSE,"Client"}</definedName>
    <definedName name="_______________wrn4" localSheetId="4" hidden="1">{"client stats",#N/A,FALSE,"Client"}</definedName>
    <definedName name="_______________wrn4" localSheetId="3" hidden="1">{"client stats",#N/A,FALSE,"Client"}</definedName>
    <definedName name="_______________wrn4" hidden="1">{"client stats",#N/A,FALSE,"Client"}</definedName>
    <definedName name="_______________wrn5" localSheetId="4" hidden="1">{"internal is",#N/A,FALSE,"Model"}</definedName>
    <definedName name="_______________wrn5" localSheetId="3" hidden="1">{"internal is",#N/A,FALSE,"Model"}</definedName>
    <definedName name="_______________wrn5" hidden="1">{"internal is",#N/A,FALSE,"Model"}</definedName>
    <definedName name="_______________wrn6" localSheetId="4" hidden="1">{"portrait letter is",#N/A,FALSE,"Model"}</definedName>
    <definedName name="_______________wrn6" localSheetId="3" hidden="1">{"portrait letter is",#N/A,FALSE,"Model"}</definedName>
    <definedName name="_______________wrn6" hidden="1">{"portrait letter is",#N/A,FALSE,"Model"}</definedName>
    <definedName name="_______________wrn7" localSheetId="4" hidden="1">{#N/A,#N/A,FALSE,"Financial";#N/A,#N/A,FALSE,"Balance Sheet";#N/A,#N/A,FALSE,"Income stmt";#N/A,#N/A,FALSE,"Ratio"}</definedName>
    <definedName name="_______________wrn7" localSheetId="3" hidden="1">{#N/A,#N/A,FALSE,"Financial";#N/A,#N/A,FALSE,"Balance Sheet";#N/A,#N/A,FALSE,"Income stmt";#N/A,#N/A,FALSE,"Ratio"}</definedName>
    <definedName name="_______________wrn7" hidden="1">{#N/A,#N/A,FALSE,"Financial";#N/A,#N/A,FALSE,"Balance Sheet";#N/A,#N/A,FALSE,"Income stmt";#N/A,#N/A,FALSE,"Ratio"}</definedName>
    <definedName name="_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localSheetId="4" hidden="1">{"ww",#N/A,FALSE,"Hospital Products";"us",#N/A,FALSE,"Hospital Products";"in",#N/A,FALSE,"Hospital Products"}</definedName>
    <definedName name="______________EPO2" localSheetId="3" hidden="1">{"ww",#N/A,FALSE,"Hospital Products";"us",#N/A,FALSE,"Hospital Products";"in",#N/A,FALSE,"Hospital Products"}</definedName>
    <definedName name="______________EPO2" hidden="1">{"ww",#N/A,FALSE,"Hospital Products";"us",#N/A,FALSE,"Hospital Products";"in",#N/A,FALSE,"Hospital Products"}</definedName>
    <definedName name="______________EPO3" localSheetId="4" hidden="1">{"ww",#N/A,FALSE,"Hospital Products";"us",#N/A,FALSE,"Hospital Products";"in",#N/A,FALSE,"Hospital Products"}</definedName>
    <definedName name="______________EPO3" localSheetId="3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localSheetId="4" hidden="1">{"ww",#N/A,FALSE,"Hospital Products";"us",#N/A,FALSE,"Hospital Products";"in",#N/A,FALSE,"Hospital Products"}</definedName>
    <definedName name="______________EPO4" localSheetId="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localSheetId="3" hidden="1">{#N/A,#N/A,FALSE,"PMTABB";#N/A,#N/A,FALSE,"PMTABB"}</definedName>
    <definedName name="______________Grp16" hidden="1">{#N/A,#N/A,FALSE,"PMTABB";#N/A,#N/A,FALSE,"PMTABB"}</definedName>
    <definedName name="_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localSheetId="3" hidden="1">{#N/A,#N/A,FALSE,"Umsatz 99";#N/A,#N/A,FALSE,"ER 99 "}</definedName>
    <definedName name="_____________A11" hidden="1">{#N/A,#N/A,FALSE,"Umsatz 99";#N/A,#N/A,FALSE,"ER 99 "}</definedName>
    <definedName name="_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localSheetId="3" hidden="1">{"Fiesta Facer Page",#N/A,FALSE,"Q_C_S";"Fiesta Main Page",#N/A,FALSE,"V_L";"Fiesta 95BP Struct",#N/A,FALSE,"StructBP";"Fiesta Post 95BP Struct",#N/A,FALSE,"AdjStructBP"}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localSheetId="4" hidden="1">{"ww",#N/A,FALSE,"Hospital Products";"us",#N/A,FALSE,"Hospital Products";"in",#N/A,FALSE,"Hospital Products"}</definedName>
    <definedName name="_____________EPO2" localSheetId="3" hidden="1">{"ww",#N/A,FALSE,"Hospital Products";"us",#N/A,FALSE,"Hospital Products";"in",#N/A,FALSE,"Hospital Products"}</definedName>
    <definedName name="_____________EPO2" hidden="1">{"ww",#N/A,FALSE,"Hospital Products";"us",#N/A,FALSE,"Hospital Products";"in",#N/A,FALSE,"Hospital Products"}</definedName>
    <definedName name="_____________EPO3" localSheetId="4" hidden="1">{"ww",#N/A,FALSE,"Hospital Products";"us",#N/A,FALSE,"Hospital Products";"in",#N/A,FALSE,"Hospital Products"}</definedName>
    <definedName name="_____________EPO3" localSheetId="3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localSheetId="4" hidden="1">{"ww",#N/A,FALSE,"Hospital Products";"us",#N/A,FALSE,"Hospital Products";"in",#N/A,FALSE,"Hospital Products"}</definedName>
    <definedName name="_____________EPO4" localSheetId="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localSheetId="3" hidden="1">{#N/A,#N/A,FALSE,"PMTABB";#N/A,#N/A,FALSE,"PMTABB"}</definedName>
    <definedName name="_____________Grp16" hidden="1">{#N/A,#N/A,FALSE,"PMTABB";#N/A,#N/A,FALSE,"PMTABB"}</definedName>
    <definedName name="__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localSheetId="4" hidden="1">{"rtn",#N/A,FALSE,"RTN";"tables",#N/A,FALSE,"RTN";"cf",#N/A,FALSE,"CF";"stats",#N/A,FALSE,"Stats";"prop",#N/A,FALSE,"Prop"}</definedName>
    <definedName name="_____________MHA1" localSheetId="3" hidden="1">{"rtn",#N/A,FALSE,"RTN";"tables",#N/A,FALSE,"RTN";"cf",#N/A,FALSE,"CF";"stats",#N/A,FALSE,"Stats";"prop",#N/A,FALSE,"Prop"}</definedName>
    <definedName name="_____________MHA1" hidden="1">{"rtn",#N/A,FALSE,"RTN";"tables",#N/A,FALSE,"RTN";"cf",#N/A,FALSE,"CF";"stats",#N/A,FALSE,"Stats";"prop",#N/A,FALSE,"Prop"}</definedName>
    <definedName name="_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localSheetId="3" hidden="1">{#N/A,#N/A,FALSE,"Projections";#N/A,#N/A,FALSE,"Multiples Valuation";#N/A,#N/A,FALSE,"LBO";#N/A,#N/A,FALSE,"Multiples_Sensitivity";#N/A,#N/A,FALSE,"Summary"}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localSheetId="3" hidden="1">{#N/A,#N/A,FALSE,"Monthly"}</definedName>
    <definedName name="_____________tes2" hidden="1">{#N/A,#N/A,FALSE,"Monthly"}</definedName>
    <definedName name="_____________wrn1" localSheetId="4" hidden="1">{"Annual",#N/A,FALSE,"Sales &amp; Market";"Quarterly",#N/A,FALSE,"Sales &amp; Market"}</definedName>
    <definedName name="_____________wrn1" localSheetId="3" hidden="1">{"Annual",#N/A,FALSE,"Sales &amp; Market";"Quarterly",#N/A,FALSE,"Sales &amp; Market"}</definedName>
    <definedName name="_____________wrn1" hidden="1">{"Annual",#N/A,FALSE,"Sales &amp; Market";"Quarterly",#N/A,FALSE,"Sales &amp; Market"}</definedName>
    <definedName name="_____________wrn2" localSheetId="4" hidden="1">{"client cfbs",#N/A,FALSE,"Client"}</definedName>
    <definedName name="_____________wrn2" localSheetId="3" hidden="1">{"client cfbs",#N/A,FALSE,"Client"}</definedName>
    <definedName name="_____________wrn2" hidden="1">{"client cfbs",#N/A,FALSE,"Client"}</definedName>
    <definedName name="_____________wrn3" localSheetId="4" hidden="1">{"client is",#N/A,FALSE,"Client"}</definedName>
    <definedName name="_____________wrn3" localSheetId="3" hidden="1">{"client is",#N/A,FALSE,"Client"}</definedName>
    <definedName name="_____________wrn3" hidden="1">{"client is",#N/A,FALSE,"Client"}</definedName>
    <definedName name="_____________wrn4" localSheetId="4" hidden="1">{"client stats",#N/A,FALSE,"Client"}</definedName>
    <definedName name="_____________wrn4" localSheetId="3" hidden="1">{"client stats",#N/A,FALSE,"Client"}</definedName>
    <definedName name="_____________wrn4" hidden="1">{"client stats",#N/A,FALSE,"Client"}</definedName>
    <definedName name="_____________wrn5" localSheetId="4" hidden="1">{"internal is",#N/A,FALSE,"Model"}</definedName>
    <definedName name="_____________wrn5" localSheetId="3" hidden="1">{"internal is",#N/A,FALSE,"Model"}</definedName>
    <definedName name="_____________wrn5" hidden="1">{"internal is",#N/A,FALSE,"Model"}</definedName>
    <definedName name="_____________wrn6" localSheetId="4" hidden="1">{"portrait letter is",#N/A,FALSE,"Model"}</definedName>
    <definedName name="_____________wrn6" localSheetId="3" hidden="1">{"portrait letter is",#N/A,FALSE,"Model"}</definedName>
    <definedName name="_____________wrn6" hidden="1">{"portrait letter is",#N/A,FALSE,"Model"}</definedName>
    <definedName name="_____________wrn7" localSheetId="4" hidden="1">{#N/A,#N/A,FALSE,"Financial";#N/A,#N/A,FALSE,"Balance Sheet";#N/A,#N/A,FALSE,"Income stmt";#N/A,#N/A,FALSE,"Ratio"}</definedName>
    <definedName name="_____________wrn7" localSheetId="3" hidden="1">{#N/A,#N/A,FALSE,"Financial";#N/A,#N/A,FALSE,"Balance Sheet";#N/A,#N/A,FALSE,"Income stmt";#N/A,#N/A,FALSE,"Ratio"}</definedName>
    <definedName name="_____________wrn7" hidden="1">{#N/A,#N/A,FALSE,"Financial";#N/A,#N/A,FALSE,"Balance Sheet";#N/A,#N/A,FALSE,"Income stmt";#N/A,#N/A,FALSE,"Ratio"}</definedName>
    <definedName name="____________a1" localSheetId="3">{"'2ND_QUAR'!$A$1:$P$106"}</definedName>
    <definedName name="____________a1">{"'2ND_QUAR'!$A$1:$P$106"}</definedName>
    <definedName name="____________A11" localSheetId="3" hidden="1">{#N/A,#N/A,FALSE,"Umsatz 99";#N/A,#N/A,FALSE,"ER 99 "}</definedName>
    <definedName name="____________A11" hidden="1">{#N/A,#N/A,FALSE,"Umsatz 99";#N/A,#N/A,FALSE,"ER 99 "}</definedName>
    <definedName name="____________A12" localSheetId="3" hidden="1">{#N/A,#N/A,FALSE,"Umsatz 99";#N/A,#N/A,FALSE,"ER 99 "}</definedName>
    <definedName name="____________A12" hidden="1">{#N/A,#N/A,FALSE,"Umsatz 99";#N/A,#N/A,FALSE,"ER 99 "}</definedName>
    <definedName name="_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localSheetId="3" hidden="1">{"detail",#N/A,FALSE,"mfg";"summary",#N/A,FALSE,"mfg"}</definedName>
    <definedName name="____________abc1" hidden="1">{"detail",#N/A,FALSE,"mfg";"summary",#N/A,FALSE,"mfg"}</definedName>
    <definedName name="____________abc2" localSheetId="3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localSheetId="3" hidden="1">{"Fiesta Facer Page",#N/A,FALSE,"Q_C_S";"Fiesta Main Page",#N/A,FALSE,"V_L";"Fiesta 95BP Struct",#N/A,FALSE,"StructBP";"Fiesta Post 95BP Struct",#N/A,FALSE,"AdjStructBP"}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localSheetId="3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localSheetId="4" hidden="1">{"ww",#N/A,FALSE,"Hospital Products";"us",#N/A,FALSE,"Hospital Products";"in",#N/A,FALSE,"Hospital Products"}</definedName>
    <definedName name="____________EPO2" localSheetId="3" hidden="1">{"ww",#N/A,FALSE,"Hospital Products";"us",#N/A,FALSE,"Hospital Products";"in",#N/A,FALSE,"Hospital Products"}</definedName>
    <definedName name="____________EPO2" hidden="1">{"ww",#N/A,FALSE,"Hospital Products";"us",#N/A,FALSE,"Hospital Products";"in",#N/A,FALSE,"Hospital Products"}</definedName>
    <definedName name="____________EPO3" localSheetId="4" hidden="1">{"ww",#N/A,FALSE,"Hospital Products";"us",#N/A,FALSE,"Hospital Products";"in",#N/A,FALSE,"Hospital Products"}</definedName>
    <definedName name="____________EPO3" localSheetId="3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localSheetId="4" hidden="1">{"ww",#N/A,FALSE,"Hospital Products";"us",#N/A,FALSE,"Hospital Products";"in",#N/A,FALSE,"Hospital Products"}</definedName>
    <definedName name="____________EPO4" localSheetId="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localSheetId="3" hidden="1">{#N/A,#N/A,FALSE,"PMTABB";#N/A,#N/A,FALSE,"PMTABB"}</definedName>
    <definedName name="____________Grp16" hidden="1">{#N/A,#N/A,FALSE,"PMTABB";#N/A,#N/A,FALSE,"PMTABB"}</definedName>
    <definedName name="_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localSheetId="3" hidden="1">{#N/A,#N/A,FALSE,"Monthly"}</definedName>
    <definedName name="____________tes2" hidden="1">{#N/A,#N/A,FALSE,"Monthly"}</definedName>
    <definedName name="____________wrn1" localSheetId="4" hidden="1">{"Annual",#N/A,FALSE,"Sales &amp; Market";"Quarterly",#N/A,FALSE,"Sales &amp; Market"}</definedName>
    <definedName name="____________wrn1" localSheetId="3" hidden="1">{"Annual",#N/A,FALSE,"Sales &amp; Market";"Quarterly",#N/A,FALSE,"Sales &amp; Market"}</definedName>
    <definedName name="____________wrn1" hidden="1">{"Annual",#N/A,FALSE,"Sales &amp; Market";"Quarterly",#N/A,FALSE,"Sales &amp; Market"}</definedName>
    <definedName name="____________wrn2" localSheetId="4" hidden="1">{"client cfbs",#N/A,FALSE,"Client"}</definedName>
    <definedName name="____________wrn2" localSheetId="3" hidden="1">{"client cfbs",#N/A,FALSE,"Client"}</definedName>
    <definedName name="____________wrn2" hidden="1">{"client cfbs",#N/A,FALSE,"Client"}</definedName>
    <definedName name="____________wrn3" localSheetId="4" hidden="1">{"client is",#N/A,FALSE,"Client"}</definedName>
    <definedName name="____________wrn3" localSheetId="3" hidden="1">{"client is",#N/A,FALSE,"Client"}</definedName>
    <definedName name="____________wrn3" hidden="1">{"client is",#N/A,FALSE,"Client"}</definedName>
    <definedName name="____________wrn4" localSheetId="4" hidden="1">{"client stats",#N/A,FALSE,"Client"}</definedName>
    <definedName name="____________wrn4" localSheetId="3" hidden="1">{"client stats",#N/A,FALSE,"Client"}</definedName>
    <definedName name="____________wrn4" hidden="1">{"client stats",#N/A,FALSE,"Client"}</definedName>
    <definedName name="____________wrn5" localSheetId="4" hidden="1">{"internal is",#N/A,FALSE,"Model"}</definedName>
    <definedName name="____________wrn5" localSheetId="3" hidden="1">{"internal is",#N/A,FALSE,"Model"}</definedName>
    <definedName name="____________wrn5" hidden="1">{"internal is",#N/A,FALSE,"Model"}</definedName>
    <definedName name="____________wrn6" localSheetId="4" hidden="1">{"portrait letter is",#N/A,FALSE,"Model"}</definedName>
    <definedName name="____________wrn6" localSheetId="3" hidden="1">{"portrait letter is",#N/A,FALSE,"Model"}</definedName>
    <definedName name="____________wrn6" hidden="1">{"portrait letter is",#N/A,FALSE,"Model"}</definedName>
    <definedName name="____________wrn7" localSheetId="4" hidden="1">{#N/A,#N/A,FALSE,"Financial";#N/A,#N/A,FALSE,"Balance Sheet";#N/A,#N/A,FALSE,"Income stmt";#N/A,#N/A,FALSE,"Ratio"}</definedName>
    <definedName name="____________wrn7" localSheetId="3" hidden="1">{#N/A,#N/A,FALSE,"Financial";#N/A,#N/A,FALSE,"Balance Sheet";#N/A,#N/A,FALSE,"Income stmt";#N/A,#N/A,FALSE,"Ratio"}</definedName>
    <definedName name="____________wrn7" hidden="1">{#N/A,#N/A,FALSE,"Financial";#N/A,#N/A,FALSE,"Balance Sheet";#N/A,#N/A,FALSE,"Income stmt";#N/A,#N/A,FALSE,"Ratio"}</definedName>
    <definedName name="____________z12" localSheetId="3" hidden="1">{"pro_view",#N/A,FALSE,"EEFSNAP2";"rep_view",#N/A,FALSE,"EEFSNAP2"}</definedName>
    <definedName name="____________z12" hidden="1">{"pro_view",#N/A,FALSE,"EEFSNAP2";"rep_view",#N/A,FALSE,"EEFSNAP2"}</definedName>
    <definedName name="__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localSheetId="3" hidden="1">{"detail",#N/A,FALSE,"mfg";"summary",#N/A,FALSE,"mfg"}</definedName>
    <definedName name="____________z25" hidden="1">{"detail",#N/A,FALSE,"mfg";"summary",#N/A,FALSE,"mfg"}</definedName>
    <definedName name="___________a1" localSheetId="3">{"'2ND_QUAR'!$A$1:$P$106"}</definedName>
    <definedName name="___________a1">{"'2ND_QUAR'!$A$1:$P$106"}</definedName>
    <definedName name="_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localSheetId="3" hidden="1">{"detail",#N/A,FALSE,"mfg";"summary",#N/A,FALSE,"mfg"}</definedName>
    <definedName name="___________abc1" hidden="1">{"detail",#N/A,FALSE,"mfg";"summary",#N/A,FALSE,"mfg"}</definedName>
    <definedName name="___________abc2" localSheetId="3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localSheetId="4" hidden="1">{"ww",#N/A,FALSE,"Hospital Products";"us",#N/A,FALSE,"Hospital Products";"in",#N/A,FALSE,"Hospital Products"}</definedName>
    <definedName name="___________EPO2" localSheetId="3" hidden="1">{"ww",#N/A,FALSE,"Hospital Products";"us",#N/A,FALSE,"Hospital Products";"in",#N/A,FALSE,"Hospital Products"}</definedName>
    <definedName name="___________EPO2" hidden="1">{"ww",#N/A,FALSE,"Hospital Products";"us",#N/A,FALSE,"Hospital Products";"in",#N/A,FALSE,"Hospital Products"}</definedName>
    <definedName name="___________EPO3" localSheetId="4" hidden="1">{"ww",#N/A,FALSE,"Hospital Products";"us",#N/A,FALSE,"Hospital Products";"in",#N/A,FALSE,"Hospital Products"}</definedName>
    <definedName name="___________EPO3" localSheetId="3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localSheetId="4" hidden="1">{"ww",#N/A,FALSE,"Hospital Products";"us",#N/A,FALSE,"Hospital Products";"in",#N/A,FALSE,"Hospital Products"}</definedName>
    <definedName name="___________EPO4" localSheetId="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localSheetId="3" hidden="1">{#N/A,#N/A,FALSE,"PMTABB";#N/A,#N/A,FALSE,"PMTABB"}</definedName>
    <definedName name="___________Grp16" hidden="1">{#N/A,#N/A,FALSE,"PMTABB";#N/A,#N/A,FALSE,"PMTABB"}</definedName>
    <definedName name="__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localSheetId="4" hidden="1">{"rtn",#N/A,FALSE,"RTN";"tables",#N/A,FALSE,"RTN";"cf",#N/A,FALSE,"CF";"stats",#N/A,FALSE,"Stats";"prop",#N/A,FALSE,"Prop"}</definedName>
    <definedName name="___________MHA1" localSheetId="3" hidden="1">{"rtn",#N/A,FALSE,"RTN";"tables",#N/A,FALSE,"RTN";"cf",#N/A,FALSE,"CF";"stats",#N/A,FALSE,"Stats";"prop",#N/A,FALSE,"Prop"}</definedName>
    <definedName name="___________MHA1" hidden="1">{"rtn",#N/A,FALSE,"RTN";"tables",#N/A,FALSE,"RTN";"cf",#N/A,FALSE,"CF";"stats",#N/A,FALSE,"Stats";"prop",#N/A,FALSE,"Prop"}</definedName>
    <definedName name="_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localSheetId="3" hidden="1">{#N/A,#N/A,FALSE,"Projections";#N/A,#N/A,FALSE,"Multiples Valuation";#N/A,#N/A,FALSE,"LBO";#N/A,#N/A,FALSE,"Multiples_Sensitivity";#N/A,#N/A,FALSE,"Summary"}</definedName>
    <definedName name="___________rod1" hidden="1">{#N/A,#N/A,FALSE,"Projections";#N/A,#N/A,FALSE,"Multiples Valuation";#N/A,#N/A,FALSE,"LBO";#N/A,#N/A,FALSE,"Multiples_Sensitivity";#N/A,#N/A,FALSE,"Summary"}</definedName>
    <definedName name="___________tes2" localSheetId="3" hidden="1">{#N/A,#N/A,FALSE,"Monthly"}</definedName>
    <definedName name="___________tes2" hidden="1">{#N/A,#N/A,FALSE,"Monthly"}</definedName>
    <definedName name="___________wrn1" localSheetId="4" hidden="1">{"Annual",#N/A,FALSE,"Sales &amp; Market";"Quarterly",#N/A,FALSE,"Sales &amp; Market"}</definedName>
    <definedName name="___________wrn1" localSheetId="3" hidden="1">{"Annual",#N/A,FALSE,"Sales &amp; Market";"Quarterly",#N/A,FALSE,"Sales &amp; Market"}</definedName>
    <definedName name="___________wrn1" hidden="1">{"Annual",#N/A,FALSE,"Sales &amp; Market";"Quarterly",#N/A,FALSE,"Sales &amp; Market"}</definedName>
    <definedName name="___________wrn2" localSheetId="4" hidden="1">{"client cfbs",#N/A,FALSE,"Client"}</definedName>
    <definedName name="___________wrn2" localSheetId="3" hidden="1">{"client cfbs",#N/A,FALSE,"Client"}</definedName>
    <definedName name="___________wrn2" hidden="1">{"client cfbs",#N/A,FALSE,"Client"}</definedName>
    <definedName name="___________wrn3" localSheetId="4" hidden="1">{"client is",#N/A,FALSE,"Client"}</definedName>
    <definedName name="___________wrn3" localSheetId="3" hidden="1">{"client is",#N/A,FALSE,"Client"}</definedName>
    <definedName name="___________wrn3" hidden="1">{"client is",#N/A,FALSE,"Client"}</definedName>
    <definedName name="___________wrn4" localSheetId="4" hidden="1">{"client stats",#N/A,FALSE,"Client"}</definedName>
    <definedName name="___________wrn4" localSheetId="3" hidden="1">{"client stats",#N/A,FALSE,"Client"}</definedName>
    <definedName name="___________wrn4" hidden="1">{"client stats",#N/A,FALSE,"Client"}</definedName>
    <definedName name="___________wrn5" localSheetId="4" hidden="1">{"internal is",#N/A,FALSE,"Model"}</definedName>
    <definedName name="___________wrn5" localSheetId="3" hidden="1">{"internal is",#N/A,FALSE,"Model"}</definedName>
    <definedName name="___________wrn5" hidden="1">{"internal is",#N/A,FALSE,"Model"}</definedName>
    <definedName name="___________wrn6" localSheetId="4" hidden="1">{"portrait letter is",#N/A,FALSE,"Model"}</definedName>
    <definedName name="___________wrn6" localSheetId="3" hidden="1">{"portrait letter is",#N/A,FALSE,"Model"}</definedName>
    <definedName name="___________wrn6" hidden="1">{"portrait letter is",#N/A,FALSE,"Model"}</definedName>
    <definedName name="___________wrn7" localSheetId="4" hidden="1">{#N/A,#N/A,FALSE,"Financial";#N/A,#N/A,FALSE,"Balance Sheet";#N/A,#N/A,FALSE,"Income stmt";#N/A,#N/A,FALSE,"Ratio"}</definedName>
    <definedName name="___________wrn7" localSheetId="3" hidden="1">{#N/A,#N/A,FALSE,"Financial";#N/A,#N/A,FALSE,"Balance Sheet";#N/A,#N/A,FALSE,"Income stmt";#N/A,#N/A,FALSE,"Ratio"}</definedName>
    <definedName name="___________wrn7" hidden="1">{#N/A,#N/A,FALSE,"Financial";#N/A,#N/A,FALSE,"Balance Sheet";#N/A,#N/A,FALSE,"Income stmt";#N/A,#N/A,FALSE,"Ratio"}</definedName>
    <definedName name="___________z12" localSheetId="3" hidden="1">{"pro_view",#N/A,FALSE,"EEFSNAP2";"rep_view",#N/A,FALSE,"EEFSNAP2"}</definedName>
    <definedName name="___________z12" hidden="1">{"pro_view",#N/A,FALSE,"EEFSNAP2";"rep_view",#N/A,FALSE,"EEFSNAP2"}</definedName>
    <definedName name="_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localSheetId="3" hidden="1">{"detail",#N/A,FALSE,"mfg";"summary",#N/A,FALSE,"mfg"}</definedName>
    <definedName name="___________z25" hidden="1">{"detail",#N/A,FALSE,"mfg";"summary",#N/A,FALSE,"mfg"}</definedName>
    <definedName name="__________a1" localSheetId="3">{"'2ND_QUAR'!$A$1:$P$106"}</definedName>
    <definedName name="__________a1">{"'2ND_QUAR'!$A$1:$P$106"}</definedName>
    <definedName name="__________A11" localSheetId="3" hidden="1">{#N/A,#N/A,FALSE,"Umsatz 99";#N/A,#N/A,FALSE,"ER 99 "}</definedName>
    <definedName name="__________A11" hidden="1">{#N/A,#N/A,FALSE,"Umsatz 99";#N/A,#N/A,FALSE,"ER 99 "}</definedName>
    <definedName name="_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localSheetId="3" hidden="1">{"detail",#N/A,FALSE,"mfg";"summary",#N/A,FALSE,"mfg"}</definedName>
    <definedName name="__________abc1" hidden="1">{"detail",#N/A,FALSE,"mfg";"summary",#N/A,FALSE,"mfg"}</definedName>
    <definedName name="__________abc2" localSheetId="3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localSheetId="3" hidden="1">{"Fiesta Facer Page",#N/A,FALSE,"Q_C_S";"Fiesta Main Page",#N/A,FALSE,"V_L";"Fiesta 95BP Struct",#N/A,FALSE,"StructBP";"Fiesta Post 95BP Struct",#N/A,FALSE,"AdjStructBP"}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localSheetId="4" hidden="1">{"ww",#N/A,FALSE,"Hospital Products";"us",#N/A,FALSE,"Hospital Products";"in",#N/A,FALSE,"Hospital Products"}</definedName>
    <definedName name="__________EPO2" localSheetId="3" hidden="1">{"ww",#N/A,FALSE,"Hospital Products";"us",#N/A,FALSE,"Hospital Products";"in",#N/A,FALSE,"Hospital Products"}</definedName>
    <definedName name="__________EPO2" hidden="1">{"ww",#N/A,FALSE,"Hospital Products";"us",#N/A,FALSE,"Hospital Products";"in",#N/A,FALSE,"Hospital Products"}</definedName>
    <definedName name="__________EPO3" localSheetId="4" hidden="1">{"ww",#N/A,FALSE,"Hospital Products";"us",#N/A,FALSE,"Hospital Products";"in",#N/A,FALSE,"Hospital Products"}</definedName>
    <definedName name="__________EPO3" localSheetId="3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localSheetId="4" hidden="1">{"ww",#N/A,FALSE,"Hospital Products";"us",#N/A,FALSE,"Hospital Products";"in",#N/A,FALSE,"Hospital Products"}</definedName>
    <definedName name="__________EPO4" localSheetId="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localSheetId="3" hidden="1">{#N/A,#N/A,FALSE,"PMTABB";#N/A,#N/A,FALSE,"PMTABB"}</definedName>
    <definedName name="__________Grp16" hidden="1">{#N/A,#N/A,FALSE,"PMTABB";#N/A,#N/A,FALSE,"PMTABB"}</definedName>
    <definedName name="__________MHA1" localSheetId="4" hidden="1">{"rtn",#N/A,FALSE,"RTN";"tables",#N/A,FALSE,"RTN";"cf",#N/A,FALSE,"CF";"stats",#N/A,FALSE,"Stats";"prop",#N/A,FALSE,"Prop"}</definedName>
    <definedName name="__________MHA1" localSheetId="3" hidden="1">{"rtn",#N/A,FALSE,"RTN";"tables",#N/A,FALSE,"RTN";"cf",#N/A,FALSE,"CF";"stats",#N/A,FALSE,"Stats";"prop",#N/A,FALSE,"Prop"}</definedName>
    <definedName name="__________MHA1" hidden="1">{"rtn",#N/A,FALSE,"RTN";"tables",#N/A,FALSE,"RTN";"cf",#N/A,FALSE,"CF";"stats",#N/A,FALSE,"Stats";"prop",#N/A,FALSE,"Prop"}</definedName>
    <definedName name="_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localSheetId="3" hidden="1">{#N/A,#N/A,FALSE,"Monthly"}</definedName>
    <definedName name="__________tes2" hidden="1">{#N/A,#N/A,FALSE,"Monthly"}</definedName>
    <definedName name="__________wrn1" localSheetId="4" hidden="1">{"Annual",#N/A,FALSE,"Sales &amp; Market";"Quarterly",#N/A,FALSE,"Sales &amp; Market"}</definedName>
    <definedName name="__________wrn1" localSheetId="3" hidden="1">{"Annual",#N/A,FALSE,"Sales &amp; Market";"Quarterly",#N/A,FALSE,"Sales &amp; Market"}</definedName>
    <definedName name="__________wrn1" hidden="1">{"Annual",#N/A,FALSE,"Sales &amp; Market";"Quarterly",#N/A,FALSE,"Sales &amp; Market"}</definedName>
    <definedName name="__________wrn2" localSheetId="4" hidden="1">{"client cfbs",#N/A,FALSE,"Client"}</definedName>
    <definedName name="__________wrn2" localSheetId="3" hidden="1">{"client cfbs",#N/A,FALSE,"Client"}</definedName>
    <definedName name="__________wrn2" hidden="1">{"client cfbs",#N/A,FALSE,"Client"}</definedName>
    <definedName name="__________wrn3" localSheetId="4" hidden="1">{"client is",#N/A,FALSE,"Client"}</definedName>
    <definedName name="__________wrn3" localSheetId="3" hidden="1">{"client is",#N/A,FALSE,"Client"}</definedName>
    <definedName name="__________wrn3" hidden="1">{"client is",#N/A,FALSE,"Client"}</definedName>
    <definedName name="__________wrn4" localSheetId="4" hidden="1">{"client stats",#N/A,FALSE,"Client"}</definedName>
    <definedName name="__________wrn4" localSheetId="3" hidden="1">{"client stats",#N/A,FALSE,"Client"}</definedName>
    <definedName name="__________wrn4" hidden="1">{"client stats",#N/A,FALSE,"Client"}</definedName>
    <definedName name="__________wrn5" localSheetId="4" hidden="1">{"internal is",#N/A,FALSE,"Model"}</definedName>
    <definedName name="__________wrn5" localSheetId="3" hidden="1">{"internal is",#N/A,FALSE,"Model"}</definedName>
    <definedName name="__________wrn5" hidden="1">{"internal is",#N/A,FALSE,"Model"}</definedName>
    <definedName name="__________wrn6" localSheetId="4" hidden="1">{"portrait letter is",#N/A,FALSE,"Model"}</definedName>
    <definedName name="__________wrn6" localSheetId="3" hidden="1">{"portrait letter is",#N/A,FALSE,"Model"}</definedName>
    <definedName name="__________wrn6" hidden="1">{"portrait letter is",#N/A,FALSE,"Model"}</definedName>
    <definedName name="__________wrn7" localSheetId="4" hidden="1">{#N/A,#N/A,FALSE,"Financial";#N/A,#N/A,FALSE,"Balance Sheet";#N/A,#N/A,FALSE,"Income stmt";#N/A,#N/A,FALSE,"Ratio"}</definedName>
    <definedName name="__________wrn7" localSheetId="3" hidden="1">{#N/A,#N/A,FALSE,"Financial";#N/A,#N/A,FALSE,"Balance Sheet";#N/A,#N/A,FALSE,"Income stmt";#N/A,#N/A,FALSE,"Ratio"}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localSheetId="3" hidden="1">{"pro_view",#N/A,FALSE,"EEFSNAP2";"rep_view",#N/A,FALSE,"EEFSNAP2"}</definedName>
    <definedName name="__________z12" hidden="1">{"pro_view",#N/A,FALSE,"EEFSNAP2";"rep_view",#N/A,FALSE,"EEFSNAP2"}</definedName>
    <definedName name="_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localSheetId="3" hidden="1">{"detail",#N/A,FALSE,"mfg";"summary",#N/A,FALSE,"mfg"}</definedName>
    <definedName name="__________z25" hidden="1">{"detail",#N/A,FALSE,"mfg";"summary",#N/A,FALSE,"mfg"}</definedName>
    <definedName name="_________a1" localSheetId="3">{"'2ND_QUAR'!$A$1:$P$106"}</definedName>
    <definedName name="_________a1">{"'2ND_QUAR'!$A$1:$P$106"}</definedName>
    <definedName name="_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localSheetId="3" hidden="1">{"detail",#N/A,FALSE,"mfg";"summary",#N/A,FALSE,"mfg"}</definedName>
    <definedName name="_________abc1" hidden="1">{"detail",#N/A,FALSE,"mfg";"summary",#N/A,FALSE,"mfg"}</definedName>
    <definedName name="_________abc2" localSheetId="3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localSheetId="4" hidden="1">{"ww",#N/A,FALSE,"Hospital Products";"us",#N/A,FALSE,"Hospital Products";"in",#N/A,FALSE,"Hospital Products"}</definedName>
    <definedName name="_________EPO2" localSheetId="3" hidden="1">{"ww",#N/A,FALSE,"Hospital Products";"us",#N/A,FALSE,"Hospital Products";"in",#N/A,FALSE,"Hospital Products"}</definedName>
    <definedName name="_________EPO2" hidden="1">{"ww",#N/A,FALSE,"Hospital Products";"us",#N/A,FALSE,"Hospital Products";"in",#N/A,FALSE,"Hospital Products"}</definedName>
    <definedName name="_________EPO3" localSheetId="4" hidden="1">{"ww",#N/A,FALSE,"Hospital Products";"us",#N/A,FALSE,"Hospital Products";"in",#N/A,FALSE,"Hospital Products"}</definedName>
    <definedName name="_________EPO3" localSheetId="3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localSheetId="4" hidden="1">{"ww",#N/A,FALSE,"Hospital Products";"us",#N/A,FALSE,"Hospital Products";"in",#N/A,FALSE,"Hospital Products"}</definedName>
    <definedName name="_________EPO4" localSheetId="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localSheetId="3" hidden="1">{#N/A,#N/A,FALSE,"PMTABB";#N/A,#N/A,FALSE,"PMTABB"}</definedName>
    <definedName name="_________Grp16" hidden="1">{#N/A,#N/A,FALSE,"PMTABB";#N/A,#N/A,FALSE,"PMTABB"}</definedName>
    <definedName name="__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localSheetId="4" hidden="1">{"rtn",#N/A,FALSE,"RTN";"tables",#N/A,FALSE,"RTN";"cf",#N/A,FALSE,"CF";"stats",#N/A,FALSE,"Stats";"prop",#N/A,FALSE,"Prop"}</definedName>
    <definedName name="_________MHA1" localSheetId="3" hidden="1">{"rtn",#N/A,FALSE,"RTN";"tables",#N/A,FALSE,"RTN";"cf",#N/A,FALSE,"CF";"stats",#N/A,FALSE,"Stats";"prop",#N/A,FALSE,"Prop"}</definedName>
    <definedName name="_________MHA1" hidden="1">{"rtn",#N/A,FALSE,"RTN";"tables",#N/A,FALSE,"RTN";"cf",#N/A,FALSE,"CF";"stats",#N/A,FALSE,"Stats";"prop",#N/A,FALSE,"Prop"}</definedName>
    <definedName name="_________MHA1_1" localSheetId="4" hidden="1">{"rtn",#N/A,FALSE,"RTN";"tables",#N/A,FALSE,"RTN";"cf",#N/A,FALSE,"CF";"stats",#N/A,FALSE,"Stats";"prop",#N/A,FALSE,"Prop"}</definedName>
    <definedName name="_________MHA1_1" localSheetId="3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localSheetId="3" hidden="1">{#N/A,#N/A,FALSE,"Projections";#N/A,#N/A,FALSE,"Multiples Valuation";#N/A,#N/A,FALSE,"LBO";#N/A,#N/A,FALSE,"Multiples_Sensitivity";#N/A,#N/A,FALSE,"Summary"}</definedName>
    <definedName name="_________rod1" hidden="1">{#N/A,#N/A,FALSE,"Projections";#N/A,#N/A,FALSE,"Multiples Valuation";#N/A,#N/A,FALSE,"LBO";#N/A,#N/A,FALSE,"Multiples_Sensitivity";#N/A,#N/A,FALSE,"Summary"}</definedName>
    <definedName name="_________tes2" localSheetId="3" hidden="1">{#N/A,#N/A,FALSE,"Monthly"}</definedName>
    <definedName name="_________tes2" hidden="1">{#N/A,#N/A,FALSE,"Monthly"}</definedName>
    <definedName name="_________wrn1" localSheetId="4" hidden="1">{"Annual",#N/A,FALSE,"Sales &amp; Market";"Quarterly",#N/A,FALSE,"Sales &amp; Market"}</definedName>
    <definedName name="_________wrn1" localSheetId="3" hidden="1">{"Annual",#N/A,FALSE,"Sales &amp; Market";"Quarterly",#N/A,FALSE,"Sales &amp; Market"}</definedName>
    <definedName name="_________wrn1" hidden="1">{"Annual",#N/A,FALSE,"Sales &amp; Market";"Quarterly",#N/A,FALSE,"Sales &amp; Market"}</definedName>
    <definedName name="_________wrn2" localSheetId="4" hidden="1">{"client cfbs",#N/A,FALSE,"Client"}</definedName>
    <definedName name="_________wrn2" localSheetId="3" hidden="1">{"client cfbs",#N/A,FALSE,"Client"}</definedName>
    <definedName name="_________wrn2" hidden="1">{"client cfbs",#N/A,FALSE,"Client"}</definedName>
    <definedName name="_________wrn3" localSheetId="4" hidden="1">{"client is",#N/A,FALSE,"Client"}</definedName>
    <definedName name="_________wrn3" localSheetId="3" hidden="1">{"client is",#N/A,FALSE,"Client"}</definedName>
    <definedName name="_________wrn3" hidden="1">{"client is",#N/A,FALSE,"Client"}</definedName>
    <definedName name="_________wrn4" localSheetId="4" hidden="1">{"client stats",#N/A,FALSE,"Client"}</definedName>
    <definedName name="_________wrn4" localSheetId="3" hidden="1">{"client stats",#N/A,FALSE,"Client"}</definedName>
    <definedName name="_________wrn4" hidden="1">{"client stats",#N/A,FALSE,"Client"}</definedName>
    <definedName name="_________wrn5" localSheetId="4" hidden="1">{"internal is",#N/A,FALSE,"Model"}</definedName>
    <definedName name="_________wrn5" localSheetId="3" hidden="1">{"internal is",#N/A,FALSE,"Model"}</definedName>
    <definedName name="_________wrn5" hidden="1">{"internal is",#N/A,FALSE,"Model"}</definedName>
    <definedName name="_________wrn6" localSheetId="4" hidden="1">{"portrait letter is",#N/A,FALSE,"Model"}</definedName>
    <definedName name="_________wrn6" localSheetId="3" hidden="1">{"portrait letter is",#N/A,FALSE,"Model"}</definedName>
    <definedName name="_________wrn6" hidden="1">{"portrait letter is",#N/A,FALSE,"Model"}</definedName>
    <definedName name="_________wrn7" localSheetId="4" hidden="1">{#N/A,#N/A,FALSE,"Financial";#N/A,#N/A,FALSE,"Balance Sheet";#N/A,#N/A,FALSE,"Income stmt";#N/A,#N/A,FALSE,"Ratio"}</definedName>
    <definedName name="_________wrn7" localSheetId="3" hidden="1">{#N/A,#N/A,FALSE,"Financial";#N/A,#N/A,FALSE,"Balance Sheet";#N/A,#N/A,FALSE,"Income stmt";#N/A,#N/A,FALSE,"Ratio"}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localSheetId="3" hidden="1">{"pro_view",#N/A,FALSE,"EEFSNAP2";"rep_view",#N/A,FALSE,"EEFSNAP2"}</definedName>
    <definedName name="_________z12" hidden="1">{"pro_view",#N/A,FALSE,"EEFSNAP2";"rep_view",#N/A,FALSE,"EEFSNAP2"}</definedName>
    <definedName name="_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localSheetId="3" hidden="1">{"detail",#N/A,FALSE,"mfg";"summary",#N/A,FALSE,"mfg"}</definedName>
    <definedName name="_________z25" hidden="1">{"detail",#N/A,FALSE,"mfg";"summary",#N/A,FALSE,"mfg"}</definedName>
    <definedName name="________a1" localSheetId="3">{"'2ND_QUAR'!$A$1:$P$106"}</definedName>
    <definedName name="________a1">{"'2ND_QUAR'!$A$1:$P$106"}</definedName>
    <definedName name="________A11" localSheetId="3" hidden="1">{#N/A,#N/A,FALSE,"Umsatz 99";#N/A,#N/A,FALSE,"ER 99 "}</definedName>
    <definedName name="________A11" hidden="1">{#N/A,#N/A,FALSE,"Umsatz 99";#N/A,#N/A,FALSE,"ER 99 "}</definedName>
    <definedName name="_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localSheetId="3" hidden="1">{"detail",#N/A,FALSE,"mfg";"summary",#N/A,FALSE,"mfg"}</definedName>
    <definedName name="________abc1" hidden="1">{"detail",#N/A,FALSE,"mfg";"summary",#N/A,FALSE,"mfg"}</definedName>
    <definedName name="________abc2" localSheetId="3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localSheetId="3" hidden="1">{"Fiesta Facer Page",#N/A,FALSE,"Q_C_S";"Fiesta Main Page",#N/A,FALSE,"V_L";"Fiesta 95BP Struct",#N/A,FALSE,"StructBP";"Fiesta Post 95BP Struct",#N/A,FALSE,"AdjStructBP"}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localSheetId="4" hidden="1">{"ww",#N/A,FALSE,"Hospital Products";"us",#N/A,FALSE,"Hospital Products";"in",#N/A,FALSE,"Hospital Products"}</definedName>
    <definedName name="________EPO2" localSheetId="3" hidden="1">{"ww",#N/A,FALSE,"Hospital Products";"us",#N/A,FALSE,"Hospital Products";"in",#N/A,FALSE,"Hospital Products"}</definedName>
    <definedName name="________EPO2" hidden="1">{"ww",#N/A,FALSE,"Hospital Products";"us",#N/A,FALSE,"Hospital Products";"in",#N/A,FALSE,"Hospital Products"}</definedName>
    <definedName name="________EPO3" localSheetId="4" hidden="1">{"ww",#N/A,FALSE,"Hospital Products";"us",#N/A,FALSE,"Hospital Products";"in",#N/A,FALSE,"Hospital Products"}</definedName>
    <definedName name="________EPO3" localSheetId="3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localSheetId="4" hidden="1">{"ww",#N/A,FALSE,"Hospital Products";"us",#N/A,FALSE,"Hospital Products";"in",#N/A,FALSE,"Hospital Products"}</definedName>
    <definedName name="________EPO4" localSheetId="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localSheetId="3" hidden="1">{#N/A,#N/A,FALSE,"PMTABB";#N/A,#N/A,FALSE,"PMTABB"}</definedName>
    <definedName name="________Grp16" hidden="1">{#N/A,#N/A,FALSE,"PMTABB";#N/A,#N/A,FALSE,"PMTABB"}</definedName>
    <definedName name="________MHA1" localSheetId="4" hidden="1">{"rtn",#N/A,FALSE,"RTN";"tables",#N/A,FALSE,"RTN";"cf",#N/A,FALSE,"CF";"stats",#N/A,FALSE,"Stats";"prop",#N/A,FALSE,"Prop"}</definedName>
    <definedName name="________MHA1" localSheetId="3" hidden="1">{"rtn",#N/A,FALSE,"RTN";"tables",#N/A,FALSE,"RTN";"cf",#N/A,FALSE,"CF";"stats",#N/A,FALSE,"Stats";"prop",#N/A,FALSE,"Prop"}</definedName>
    <definedName name="________MHA1" hidden="1">{"rtn",#N/A,FALSE,"RTN";"tables",#N/A,FALSE,"RTN";"cf",#N/A,FALSE,"CF";"stats",#N/A,FALSE,"Stats";"prop",#N/A,FALSE,"Prop"}</definedName>
    <definedName name="________MHA1_1" localSheetId="4" hidden="1">{"rtn",#N/A,FALSE,"RTN";"tables",#N/A,FALSE,"RTN";"cf",#N/A,FALSE,"CF";"stats",#N/A,FALSE,"Stats";"prop",#N/A,FALSE,"Prop"}</definedName>
    <definedName name="________MHA1_1" localSheetId="3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localSheetId="3" hidden="1">{#N/A,#N/A,FALSE,"Monthly"}</definedName>
    <definedName name="________tes2" hidden="1">{#N/A,#N/A,FALSE,"Monthly"}</definedName>
    <definedName name="________wrn1" localSheetId="4" hidden="1">{"Annual",#N/A,FALSE,"Sales &amp; Market";"Quarterly",#N/A,FALSE,"Sales &amp; Market"}</definedName>
    <definedName name="________wrn1" localSheetId="3" hidden="1">{"Annual",#N/A,FALSE,"Sales &amp; Market";"Quarterly",#N/A,FALSE,"Sales &amp; Market"}</definedName>
    <definedName name="________wrn1" hidden="1">{"Annual",#N/A,FALSE,"Sales &amp; Market";"Quarterly",#N/A,FALSE,"Sales &amp; Market"}</definedName>
    <definedName name="________wrn2" localSheetId="4" hidden="1">{"client cfbs",#N/A,FALSE,"Client"}</definedName>
    <definedName name="________wrn2" localSheetId="3" hidden="1">{"client cfbs",#N/A,FALSE,"Client"}</definedName>
    <definedName name="________wrn2" hidden="1">{"client cfbs",#N/A,FALSE,"Client"}</definedName>
    <definedName name="________wrn3" localSheetId="4" hidden="1">{"client is",#N/A,FALSE,"Client"}</definedName>
    <definedName name="________wrn3" localSheetId="3" hidden="1">{"client is",#N/A,FALSE,"Client"}</definedName>
    <definedName name="________wrn3" hidden="1">{"client is",#N/A,FALSE,"Client"}</definedName>
    <definedName name="________wrn4" localSheetId="4" hidden="1">{"client stats",#N/A,FALSE,"Client"}</definedName>
    <definedName name="________wrn4" localSheetId="3" hidden="1">{"client stats",#N/A,FALSE,"Client"}</definedName>
    <definedName name="________wrn4" hidden="1">{"client stats",#N/A,FALSE,"Client"}</definedName>
    <definedName name="________wrn5" localSheetId="4" hidden="1">{"internal is",#N/A,FALSE,"Model"}</definedName>
    <definedName name="________wrn5" localSheetId="3" hidden="1">{"internal is",#N/A,FALSE,"Model"}</definedName>
    <definedName name="________wrn5" hidden="1">{"internal is",#N/A,FALSE,"Model"}</definedName>
    <definedName name="________wrn6" localSheetId="4" hidden="1">{"portrait letter is",#N/A,FALSE,"Model"}</definedName>
    <definedName name="________wrn6" localSheetId="3" hidden="1">{"portrait letter is",#N/A,FALSE,"Model"}</definedName>
    <definedName name="________wrn6" hidden="1">{"portrait letter is",#N/A,FALSE,"Model"}</definedName>
    <definedName name="________wrn7" localSheetId="4" hidden="1">{#N/A,#N/A,FALSE,"Financial";#N/A,#N/A,FALSE,"Balance Sheet";#N/A,#N/A,FALSE,"Income stmt";#N/A,#N/A,FALSE,"Ratio"}</definedName>
    <definedName name="________wrn7" localSheetId="3" hidden="1">{#N/A,#N/A,FALSE,"Financial";#N/A,#N/A,FALSE,"Balance Sheet";#N/A,#N/A,FALSE,"Income stmt";#N/A,#N/A,FALSE,"Ratio"}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localSheetId="3" hidden="1">{#N/A,#N/A,FALSE,"CMN_FE"}</definedName>
    <definedName name="________xx1" hidden="1">{#N/A,#N/A,FALSE,"CMN_FE"}</definedName>
    <definedName name="________z12" localSheetId="3" hidden="1">{"pro_view",#N/A,FALSE,"EEFSNAP2";"rep_view",#N/A,FALSE,"EEFSNAP2"}</definedName>
    <definedName name="________z12" hidden="1">{"pro_view",#N/A,FALSE,"EEFSNAP2";"rep_view",#N/A,FALSE,"EEFSNAP2"}</definedName>
    <definedName name="_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localSheetId="3" hidden="1">{"detail",#N/A,FALSE,"mfg";"summary",#N/A,FALSE,"mfg"}</definedName>
    <definedName name="________z25" hidden="1">{"detail",#N/A,FALSE,"mfg";"summary",#N/A,FALSE,"mfg"}</definedName>
    <definedName name="_______a1" localSheetId="3">{"'2ND_QUAR'!$A$1:$P$106"}</definedName>
    <definedName name="_______a1">{"'2ND_QUAR'!$A$1:$P$106"}</definedName>
    <definedName name="__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localSheetId="3" hidden="1">{"detail",#N/A,FALSE,"mfg";"summary",#N/A,FALSE,"mfg"}</definedName>
    <definedName name="_______abc1" hidden="1">{"detail",#N/A,FALSE,"mfg";"summary",#N/A,FALSE,"mfg"}</definedName>
    <definedName name="_______abc2" localSheetId="3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localSheetId="4" hidden="1">{"ww",#N/A,FALSE,"Hospital Products";"us",#N/A,FALSE,"Hospital Products";"in",#N/A,FALSE,"Hospital Products"}</definedName>
    <definedName name="_______EPO2" localSheetId="3" hidden="1">{"ww",#N/A,FALSE,"Hospital Products";"us",#N/A,FALSE,"Hospital Products";"in",#N/A,FALSE,"Hospital Products"}</definedName>
    <definedName name="_______EPO2" hidden="1">{"ww",#N/A,FALSE,"Hospital Products";"us",#N/A,FALSE,"Hospital Products";"in",#N/A,FALSE,"Hospital Products"}</definedName>
    <definedName name="_______EPO3" localSheetId="4" hidden="1">{"ww",#N/A,FALSE,"Hospital Products";"us",#N/A,FALSE,"Hospital Products";"in",#N/A,FALSE,"Hospital Products"}</definedName>
    <definedName name="_______EPO3" localSheetId="3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localSheetId="4" hidden="1">{"ww",#N/A,FALSE,"Hospital Products";"us",#N/A,FALSE,"Hospital Products";"in",#N/A,FALSE,"Hospital Products"}</definedName>
    <definedName name="_______EPO4" localSheetId="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localSheetId="3" hidden="1">{#N/A,#N/A,FALSE,"PMTABB";#N/A,#N/A,FALSE,"PMTABB"}</definedName>
    <definedName name="_______Grp16" hidden="1">{#N/A,#N/A,FALSE,"PMTABB";#N/A,#N/A,FALSE,"PMTABB"}</definedName>
    <definedName name="_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localSheetId="4" hidden="1">{"rtn",#N/A,FALSE,"RTN";"tables",#N/A,FALSE,"RTN";"cf",#N/A,FALSE,"CF";"stats",#N/A,FALSE,"Stats";"prop",#N/A,FALSE,"Prop"}</definedName>
    <definedName name="_______MHA1" localSheetId="3" hidden="1">{"rtn",#N/A,FALSE,"RTN";"tables",#N/A,FALSE,"RTN";"cf",#N/A,FALSE,"CF";"stats",#N/A,FALSE,"Stats";"prop",#N/A,FALSE,"Prop"}</definedName>
    <definedName name="_______MHA1" hidden="1">{"rtn",#N/A,FALSE,"RTN";"tables",#N/A,FALSE,"RTN";"cf",#N/A,FALSE,"CF";"stats",#N/A,FALSE,"Stats";"prop",#N/A,FALSE,"Prop"}</definedName>
    <definedName name="_______MHA1_1" localSheetId="4" hidden="1">{"rtn",#N/A,FALSE,"RTN";"tables",#N/A,FALSE,"RTN";"cf",#N/A,FALSE,"CF";"stats",#N/A,FALSE,"Stats";"prop",#N/A,FALSE,"Prop"}</definedName>
    <definedName name="_______MHA1_1" localSheetId="3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localSheetId="3" hidden="1">{#N/A,#N/A,FALSE,"Projections";#N/A,#N/A,FALSE,"Multiples Valuation";#N/A,#N/A,FALSE,"LBO";#N/A,#N/A,FALSE,"Multiples_Sensitivity";#N/A,#N/A,FALSE,"Summary"}</definedName>
    <definedName name="_______rod1" hidden="1">{#N/A,#N/A,FALSE,"Projections";#N/A,#N/A,FALSE,"Multiples Valuation";#N/A,#N/A,FALSE,"LBO";#N/A,#N/A,FALSE,"Multiples_Sensitivity";#N/A,#N/A,FALSE,"Summary"}</definedName>
    <definedName name="_______tes2" localSheetId="3" hidden="1">{#N/A,#N/A,FALSE,"Monthly"}</definedName>
    <definedName name="_______tes2" hidden="1">{#N/A,#N/A,FALSE,"Monthly"}</definedName>
    <definedName name="_______xlfn.BAHTTEXT">#NAME?</definedName>
    <definedName name="_______xx1" localSheetId="3" hidden="1">{#N/A,#N/A,FALSE,"CMN_FE"}</definedName>
    <definedName name="_______xx1" hidden="1">{#N/A,#N/A,FALSE,"CMN_FE"}</definedName>
    <definedName name="_______z12" localSheetId="3" hidden="1">{"pro_view",#N/A,FALSE,"EEFSNAP2";"rep_view",#N/A,FALSE,"EEFSNAP2"}</definedName>
    <definedName name="_______z12" hidden="1">{"pro_view",#N/A,FALSE,"EEFSNAP2";"rep_view",#N/A,FALSE,"EEFSNAP2"}</definedName>
    <definedName name="__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localSheetId="3" hidden="1">{"detail",#N/A,FALSE,"mfg";"summary",#N/A,FALSE,"mfg"}</definedName>
    <definedName name="_______z25" hidden="1">{"detail",#N/A,FALSE,"mfg";"summary",#N/A,FALSE,"mfg"}</definedName>
    <definedName name="______a1" localSheetId="3">{"'2ND_QUAR'!$A$1:$P$106"}</definedName>
    <definedName name="______a1">{"'2ND_QUAR'!$A$1:$P$106"}</definedName>
    <definedName name="______A11" localSheetId="3" hidden="1">{#N/A,#N/A,FALSE,"Umsatz 99";#N/A,#N/A,FALSE,"ER 99 "}</definedName>
    <definedName name="______A11" hidden="1">{#N/A,#N/A,FALSE,"Umsatz 99";#N/A,#N/A,FALSE,"ER 99 "}</definedName>
    <definedName name="______aaa1" localSheetId="3" hidden="1">{#N/A,#N/A,FALSE,"REPORT"}</definedName>
    <definedName name="______aaa1" hidden="1">{#N/A,#N/A,FALSE,"REPORT"}</definedName>
    <definedName name="______aas1" localSheetId="3" hidden="1">{#N/A,#N/A,FALSE,"REPORT"}</definedName>
    <definedName name="______aas1" hidden="1">{#N/A,#N/A,FALSE,"REPORT"}</definedName>
    <definedName name="______ACS2000" localSheetId="3" hidden="1">{#N/A,#N/A,FALSE,"REPORT"}</definedName>
    <definedName name="______ACS2000" hidden="1">{#N/A,#N/A,FALSE,"REPORT"}</definedName>
    <definedName name="______b111" localSheetId="3" hidden="1">{#N/A,#N/A,FALSE,"Pharm";#N/A,#N/A,FALSE,"WWCM"}</definedName>
    <definedName name="______b111" hidden="1">{#N/A,#N/A,FALSE,"Pharm";#N/A,#N/A,FALSE,"WWCM"}</definedName>
    <definedName name="______bg1" hidden="1">#REF!</definedName>
    <definedName name="______c" localSheetId="3" hidden="1">{"Fiesta Facer Page",#N/A,FALSE,"Q_C_S";"Fiesta Main Page",#N/A,FALSE,"V_L";"Fiesta 95BP Struct",#N/A,FALSE,"StructBP";"Fiesta Post 95BP Struct",#N/A,FALSE,"AdjStructBP"}</definedName>
    <definedName name="______c" hidden="1">{"Fiesta Facer Page",#N/A,FALSE,"Q_C_S";"Fiesta Main Page",#N/A,FALSE,"V_L";"Fiesta 95BP Struct",#N/A,FALSE,"StructBP";"Fiesta Post 95BP Struct",#N/A,FALSE,"AdjStructBP"}</definedName>
    <definedName name="__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localSheetId="4" hidden="1">{"ww",#N/A,FALSE,"Hospital Products";"us",#N/A,FALSE,"Hospital Products";"in",#N/A,FALSE,"Hospital Products"}</definedName>
    <definedName name="______EPO2" localSheetId="3" hidden="1">{"ww",#N/A,FALSE,"Hospital Products";"us",#N/A,FALSE,"Hospital Products";"in",#N/A,FALSE,"Hospital Products"}</definedName>
    <definedName name="______EPO2" hidden="1">{"ww",#N/A,FALSE,"Hospital Products";"us",#N/A,FALSE,"Hospital Products";"in",#N/A,FALSE,"Hospital Products"}</definedName>
    <definedName name="______EPO3" localSheetId="4" hidden="1">{"ww",#N/A,FALSE,"Hospital Products";"us",#N/A,FALSE,"Hospital Products";"in",#N/A,FALSE,"Hospital Products"}</definedName>
    <definedName name="______EPO3" localSheetId="3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localSheetId="4" hidden="1">{"ww",#N/A,FALSE,"Hospital Products";"us",#N/A,FALSE,"Hospital Products";"in",#N/A,FALSE,"Hospital Products"}</definedName>
    <definedName name="______EPO4" localSheetId="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localSheetId="3" hidden="1">{#N/A,#N/A,FALSE,"PMTABB";#N/A,#N/A,FALSE,"PMTABB"}</definedName>
    <definedName name="______Grp16" hidden="1">{#N/A,#N/A,FALSE,"PMTABB";#N/A,#N/A,FALSE,"PMTABB"}</definedName>
    <definedName name="______GRP16stb" localSheetId="3" hidden="1">{#N/A,#N/A,FALSE,"PMTABB";#N/A,#N/A,FALSE,"PMTABB"}</definedName>
    <definedName name="______GRP16stb" hidden="1">{#N/A,#N/A,FALSE,"PMTABB";#N/A,#N/A,FALSE,"PMTABB"}</definedName>
    <definedName name="_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localSheetId="4" hidden="1">{"rtn",#N/A,FALSE,"RTN";"tables",#N/A,FALSE,"RTN";"cf",#N/A,FALSE,"CF";"stats",#N/A,FALSE,"Stats";"prop",#N/A,FALSE,"Prop"}</definedName>
    <definedName name="______MHA1" localSheetId="3" hidden="1">{"rtn",#N/A,FALSE,"RTN";"tables",#N/A,FALSE,"RTN";"cf",#N/A,FALSE,"CF";"stats",#N/A,FALSE,"Stats";"prop",#N/A,FALSE,"Prop"}</definedName>
    <definedName name="______MHA1" hidden="1">{"rtn",#N/A,FALSE,"RTN";"tables",#N/A,FALSE,"RTN";"cf",#N/A,FALSE,"CF";"stats",#N/A,FALSE,"Stats";"prop",#N/A,FALSE,"Prop"}</definedName>
    <definedName name="______MHA1_1" localSheetId="4" hidden="1">{"rtn",#N/A,FALSE,"RTN";"tables",#N/A,FALSE,"RTN";"cf",#N/A,FALSE,"CF";"stats",#N/A,FALSE,"Stats";"prop",#N/A,FALSE,"Prop"}</definedName>
    <definedName name="______MHA1_1" localSheetId="3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localSheetId="3" hidden="1">{#N/A,#N/A,FALSE,"Pharm";#N/A,#N/A,FALSE,"WWCM"}</definedName>
    <definedName name="______r" hidden="1">{#N/A,#N/A,FALSE,"Pharm";#N/A,#N/A,FALSE,"WWCM"}</definedName>
    <definedName name="______RIV1">#REF!</definedName>
    <definedName name="______rod1" localSheetId="3" hidden="1">{#N/A,#N/A,FALSE,"Projections";#N/A,#N/A,FALSE,"Multiples Valuation";#N/A,#N/A,FALSE,"LBO";#N/A,#N/A,FALSE,"Multiples_Sensitivity";#N/A,#N/A,FALSE,"Summary"}</definedName>
    <definedName name="______rod1" hidden="1">{#N/A,#N/A,FALSE,"Projections";#N/A,#N/A,FALSE,"Multiples Valuation";#N/A,#N/A,FALSE,"LBO";#N/A,#N/A,FALSE,"Multiples_Sensitivity";#N/A,#N/A,FALSE,"Summary"}</definedName>
    <definedName name="______tes2" localSheetId="3" hidden="1">{#N/A,#N/A,FALSE,"Monthly"}</definedName>
    <definedName name="______tes2" hidden="1">{#N/A,#N/A,FALSE,"Monthly"}</definedName>
    <definedName name="______tm1" localSheetId="3" hidden="1">{#N/A,#N/A,FALSE,"Pharm";#N/A,#N/A,FALSE,"WWCM"}</definedName>
    <definedName name="______tm1" hidden="1">{#N/A,#N/A,FALSE,"Pharm";#N/A,#N/A,FALSE,"WWCM"}</definedName>
    <definedName name="______wrn1" localSheetId="4" hidden="1">{"Annual",#N/A,FALSE,"Sales &amp; Market";"Quarterly",#N/A,FALSE,"Sales &amp; Market"}</definedName>
    <definedName name="______wrn1" localSheetId="3" hidden="1">{"Annual",#N/A,FALSE,"Sales &amp; Market";"Quarterly",#N/A,FALSE,"Sales &amp; Market"}</definedName>
    <definedName name="______wrn1" hidden="1">{"Annual",#N/A,FALSE,"Sales &amp; Market";"Quarterly",#N/A,FALSE,"Sales &amp; Market"}</definedName>
    <definedName name="______wrn2" localSheetId="4" hidden="1">{"client cfbs",#N/A,FALSE,"Client"}</definedName>
    <definedName name="______wrn2" localSheetId="3" hidden="1">{"client cfbs",#N/A,FALSE,"Client"}</definedName>
    <definedName name="______wrn2" hidden="1">{"client cfbs",#N/A,FALSE,"Client"}</definedName>
    <definedName name="______wrn3" localSheetId="4" hidden="1">{"client is",#N/A,FALSE,"Client"}</definedName>
    <definedName name="______wrn3" localSheetId="3" hidden="1">{"client is",#N/A,FALSE,"Client"}</definedName>
    <definedName name="______wrn3" hidden="1">{"client is",#N/A,FALSE,"Client"}</definedName>
    <definedName name="______wrn4" localSheetId="4" hidden="1">{"client stats",#N/A,FALSE,"Client"}</definedName>
    <definedName name="______wrn4" localSheetId="3" hidden="1">{"client stats",#N/A,FALSE,"Client"}</definedName>
    <definedName name="______wrn4" hidden="1">{"client stats",#N/A,FALSE,"Client"}</definedName>
    <definedName name="______wrn5" localSheetId="4" hidden="1">{"internal is",#N/A,FALSE,"Model"}</definedName>
    <definedName name="______wrn5" localSheetId="3" hidden="1">{"internal is",#N/A,FALSE,"Model"}</definedName>
    <definedName name="______wrn5" hidden="1">{"internal is",#N/A,FALSE,"Model"}</definedName>
    <definedName name="______wrn6" localSheetId="4" hidden="1">{"portrait letter is",#N/A,FALSE,"Model"}</definedName>
    <definedName name="______wrn6" localSheetId="3" hidden="1">{"portrait letter is",#N/A,FALSE,"Model"}</definedName>
    <definedName name="______wrn6" hidden="1">{"portrait letter is",#N/A,FALSE,"Model"}</definedName>
    <definedName name="______wrn7" localSheetId="4" hidden="1">{#N/A,#N/A,FALSE,"Financial";#N/A,#N/A,FALSE,"Balance Sheet";#N/A,#N/A,FALSE,"Income stmt";#N/A,#N/A,FALSE,"Ratio"}</definedName>
    <definedName name="______wrn7" localSheetId="3" hidden="1">{#N/A,#N/A,FALSE,"Financial";#N/A,#N/A,FALSE,"Balance Sheet";#N/A,#N/A,FALSE,"Income stmt";#N/A,#N/A,FALSE,"Ratio"}</definedName>
    <definedName name="______wrn7" hidden="1">{#N/A,#N/A,FALSE,"Financial";#N/A,#N/A,FALSE,"Balance Sheet";#N/A,#N/A,FALSE,"Income stmt";#N/A,#N/A,FALSE,"Ratio"}</definedName>
    <definedName name="______X2" localSheetId="3" hidden="1">{#N/A,#N/A,FALSE,"Other";#N/A,#N/A,FALSE,"Ace";#N/A,#N/A,FALSE,"Derm"}</definedName>
    <definedName name="______X2" hidden="1">{#N/A,#N/A,FALSE,"Other";#N/A,#N/A,FALSE,"Ace";#N/A,#N/A,FALSE,"Derm"}</definedName>
    <definedName name="______xlfn.BAHTTEXT">#NAME?</definedName>
    <definedName name="______xx1" localSheetId="3" hidden="1">{#N/A,#N/A,FALSE,"CMN_FE"}</definedName>
    <definedName name="______xx1" hidden="1">{#N/A,#N/A,FALSE,"CMN_FE"}</definedName>
    <definedName name="_____3">#REF!</definedName>
    <definedName name="_____a1" localSheetId="3">{"'2ND_QUAR'!$A$1:$P$106"}</definedName>
    <definedName name="_____a1">{"'2ND_QUAR'!$A$1:$P$106"}</definedName>
    <definedName name="_____A11" localSheetId="3" hidden="1">{#N/A,#N/A,FALSE,"Umsatz 99";#N/A,#N/A,FALSE,"ER 99 "}</definedName>
    <definedName name="_____A11" hidden="1">{#N/A,#N/A,FALSE,"Umsatz 99";#N/A,#N/A,FALSE,"ER 99 "}</definedName>
    <definedName name="_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localSheetId="3" hidden="1">{"detail",#N/A,FALSE,"mfg";"summary",#N/A,FALSE,"mfg"}</definedName>
    <definedName name="_____abc1" hidden="1">{"detail",#N/A,FALSE,"mfg";"summary",#N/A,FALSE,"mfg"}</definedName>
    <definedName name="_____abc2" localSheetId="3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localSheetId="3" hidden="1">{"Fiesta Facer Page",#N/A,FALSE,"Q_C_S";"Fiesta Main Page",#N/A,FALSE,"V_L";"Fiesta 95BP Struct",#N/A,FALSE,"StructBP";"Fiesta Post 95BP Struct",#N/A,FALSE,"AdjStructBP"}</definedName>
    <definedName name="_____c" hidden="1">{"Fiesta Facer Page",#N/A,FALSE,"Q_C_S";"Fiesta Main Page",#N/A,FALSE,"V_L";"Fiesta 95BP Struct",#N/A,FALSE,"StructBP";"Fiesta Post 95BP Struct",#N/A,FALSE,"AdjStructBP"}</definedName>
    <definedName name="_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localSheetId="4" hidden="1">{"ww",#N/A,FALSE,"Hospital Products";"us",#N/A,FALSE,"Hospital Products";"in",#N/A,FALSE,"Hospital Products"}</definedName>
    <definedName name="_____EPO2" localSheetId="3" hidden="1">{"ww",#N/A,FALSE,"Hospital Products";"us",#N/A,FALSE,"Hospital Products";"in",#N/A,FALSE,"Hospital Products"}</definedName>
    <definedName name="_____EPO2" hidden="1">{"ww",#N/A,FALSE,"Hospital Products";"us",#N/A,FALSE,"Hospital Products";"in",#N/A,FALSE,"Hospital Products"}</definedName>
    <definedName name="_____EPO3" localSheetId="4" hidden="1">{"ww",#N/A,FALSE,"Hospital Products";"us",#N/A,FALSE,"Hospital Products";"in",#N/A,FALSE,"Hospital Products"}</definedName>
    <definedName name="_____EPO3" localSheetId="3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localSheetId="4" hidden="1">{"ww",#N/A,FALSE,"Hospital Products";"us",#N/A,FALSE,"Hospital Products";"in",#N/A,FALSE,"Hospital Products"}</definedName>
    <definedName name="_____EPO4" localSheetId="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localSheetId="3" hidden="1">{#N/A,#N/A,FALSE,"PMTABB";#N/A,#N/A,FALSE,"PMTABB"}</definedName>
    <definedName name="_____Grp16" hidden="1">{#N/A,#N/A,FALSE,"PMTABB";#N/A,#N/A,FALSE,"PMTABB"}</definedName>
    <definedName name="__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localSheetId="4" hidden="1">{"rtn",#N/A,FALSE,"RTN";"tables",#N/A,FALSE,"RTN";"cf",#N/A,FALSE,"CF";"stats",#N/A,FALSE,"Stats";"prop",#N/A,FALSE,"Prop"}</definedName>
    <definedName name="_____MHA1" localSheetId="3" hidden="1">{"rtn",#N/A,FALSE,"RTN";"tables",#N/A,FALSE,"RTN";"cf",#N/A,FALSE,"CF";"stats",#N/A,FALSE,"Stats";"prop",#N/A,FALSE,"Prop"}</definedName>
    <definedName name="_____MHA1" hidden="1">{"rtn",#N/A,FALSE,"RTN";"tables",#N/A,FALSE,"RTN";"cf",#N/A,FALSE,"CF";"stats",#N/A,FALSE,"Stats";"prop",#N/A,FALSE,"Prop"}</definedName>
    <definedName name="_____MHA1_1" localSheetId="4" hidden="1">{"rtn",#N/A,FALSE,"RTN";"tables",#N/A,FALSE,"RTN";"cf",#N/A,FALSE,"CF";"stats",#N/A,FALSE,"Stats";"prop",#N/A,FALSE,"Prop"}</definedName>
    <definedName name="_____MHA1_1" localSheetId="3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localSheetId="3" hidden="1">{#N/A,#N/A,FALSE,"Projections";#N/A,#N/A,FALSE,"Multiples Valuation";#N/A,#N/A,FALSE,"LBO";#N/A,#N/A,FALSE,"Multiples_Sensitivity";#N/A,#N/A,FALSE,"Summary"}</definedName>
    <definedName name="_____rod1" hidden="1">{#N/A,#N/A,FALSE,"Projections";#N/A,#N/A,FALSE,"Multiples Valuation";#N/A,#N/A,FALSE,"LBO";#N/A,#N/A,FALSE,"Multiples_Sensitivity";#N/A,#N/A,FALSE,"Summary"}</definedName>
    <definedName name="_____tes2" localSheetId="3" hidden="1">{#N/A,#N/A,FALSE,"Monthly"}</definedName>
    <definedName name="_____tes2" hidden="1">{#N/A,#N/A,FALSE,"Monthly"}</definedName>
    <definedName name="_____wrn1" localSheetId="4" hidden="1">{"Annual",#N/A,FALSE,"Sales &amp; Market";"Quarterly",#N/A,FALSE,"Sales &amp; Market"}</definedName>
    <definedName name="_____wrn1" localSheetId="3" hidden="1">{"Annual",#N/A,FALSE,"Sales &amp; Market";"Quarterly",#N/A,FALSE,"Sales &amp; Market"}</definedName>
    <definedName name="_____wrn1" hidden="1">{"Annual",#N/A,FALSE,"Sales &amp; Market";"Quarterly",#N/A,FALSE,"Sales &amp; Market"}</definedName>
    <definedName name="_____wrn2" localSheetId="4" hidden="1">{"client cfbs",#N/A,FALSE,"Client"}</definedName>
    <definedName name="_____wrn2" localSheetId="3" hidden="1">{"client cfbs",#N/A,FALSE,"Client"}</definedName>
    <definedName name="_____wrn2" hidden="1">{"client cfbs",#N/A,FALSE,"Client"}</definedName>
    <definedName name="_____wrn3" localSheetId="4" hidden="1">{"client is",#N/A,FALSE,"Client"}</definedName>
    <definedName name="_____wrn3" localSheetId="3" hidden="1">{"client is",#N/A,FALSE,"Client"}</definedName>
    <definedName name="_____wrn3" hidden="1">{"client is",#N/A,FALSE,"Client"}</definedName>
    <definedName name="_____wrn4" localSheetId="4" hidden="1">{"client stats",#N/A,FALSE,"Client"}</definedName>
    <definedName name="_____wrn4" localSheetId="3" hidden="1">{"client stats",#N/A,FALSE,"Client"}</definedName>
    <definedName name="_____wrn4" hidden="1">{"client stats",#N/A,FALSE,"Client"}</definedName>
    <definedName name="_____wrn5" localSheetId="4" hidden="1">{"internal is",#N/A,FALSE,"Model"}</definedName>
    <definedName name="_____wrn5" localSheetId="3" hidden="1">{"internal is",#N/A,FALSE,"Model"}</definedName>
    <definedName name="_____wrn5" hidden="1">{"internal is",#N/A,FALSE,"Model"}</definedName>
    <definedName name="_____wrn6" localSheetId="4" hidden="1">{"portrait letter is",#N/A,FALSE,"Model"}</definedName>
    <definedName name="_____wrn6" localSheetId="3" hidden="1">{"portrait letter is",#N/A,FALSE,"Model"}</definedName>
    <definedName name="_____wrn6" hidden="1">{"portrait letter is",#N/A,FALSE,"Model"}</definedName>
    <definedName name="_____wrn7" localSheetId="4" hidden="1">{#N/A,#N/A,FALSE,"Financial";#N/A,#N/A,FALSE,"Balance Sheet";#N/A,#N/A,FALSE,"Income stmt";#N/A,#N/A,FALSE,"Ratio"}</definedName>
    <definedName name="_____wrn7" localSheetId="3" hidden="1">{#N/A,#N/A,FALSE,"Financial";#N/A,#N/A,FALSE,"Balance Sheet";#N/A,#N/A,FALSE,"Income stmt";#N/A,#N/A,FALSE,"Ratio"}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localSheetId="3" hidden="1">{#N/A,#N/A,FALSE,"CMN_FE"}</definedName>
    <definedName name="_____xx1" hidden="1">{#N/A,#N/A,FALSE,"CMN_FE"}</definedName>
    <definedName name="_____z12" localSheetId="3" hidden="1">{"pro_view",#N/A,FALSE,"EEFSNAP2";"rep_view",#N/A,FALSE,"EEFSNAP2"}</definedName>
    <definedName name="_____z12" hidden="1">{"pro_view",#N/A,FALSE,"EEFSNAP2";"rep_view",#N/A,FALSE,"EEFSNAP2"}</definedName>
    <definedName name="_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localSheetId="3" hidden="1">{"detail",#N/A,FALSE,"mfg";"summary",#N/A,FALSE,"mfg"}</definedName>
    <definedName name="_____z25" hidden="1">{"detail",#N/A,FALSE,"mfg";"summary",#N/A,FALSE,"mfg"}</definedName>
    <definedName name="____a1" localSheetId="3">{"'2ND_QUAR'!$A$1:$P$106"}</definedName>
    <definedName name="____a1">{"'2ND_QUAR'!$A$1:$P$106"}</definedName>
    <definedName name="____A11" localSheetId="3" hidden="1">{#N/A,#N/A,FALSE,"Umsatz 99";#N/A,#N/A,FALSE,"ER 99 "}</definedName>
    <definedName name="____A11" hidden="1">{#N/A,#N/A,FALSE,"Umsatz 99";#N/A,#N/A,FALSE,"ER 99 "}</definedName>
    <definedName name="_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localSheetId="3" hidden="1">{"detail",#N/A,FALSE,"mfg";"summary",#N/A,FALSE,"mfg"}</definedName>
    <definedName name="____abc1" hidden="1">{"detail",#N/A,FALSE,"mfg";"summary",#N/A,FALSE,"mfg"}</definedName>
    <definedName name="____abc2" localSheetId="3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localSheetId="3" hidden="1">{"Fiesta Facer Page",#N/A,FALSE,"Q_C_S";"Fiesta Main Page",#N/A,FALSE,"V_L";"Fiesta 95BP Struct",#N/A,FALSE,"StructBP";"Fiesta Post 95BP Struct",#N/A,FALSE,"AdjStructBP"}</definedName>
    <definedName name="____c" hidden="1">{"Fiesta Facer Page",#N/A,FALSE,"Q_C_S";"Fiesta Main Page",#N/A,FALSE,"V_L";"Fiesta 95BP Struct",#N/A,FALSE,"StructBP";"Fiesta Post 95BP Struct",#N/A,FALSE,"AdjStructBP"}</definedName>
    <definedName name="____D33" localSheetId="3" hidden="1">{"Olk by Qtr Full",#N/A,FALSE,"Tot PalmPalm";"Olk by Qtr Full",#N/A,FALSE,"Tot Device";"Olk by Qtr Full",#N/A,FALSE,"Platform";"Olk by Qtr Full",#N/A,FALSE,"Palm.Net";"Olk by Qtr Full",#N/A,FALSE,"Elim"}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localSheetId="4" hidden="1">{"ww",#N/A,FALSE,"Hospital Products";"us",#N/A,FALSE,"Hospital Products";"in",#N/A,FALSE,"Hospital Products"}</definedName>
    <definedName name="____EPO2" localSheetId="3" hidden="1">{"ww",#N/A,FALSE,"Hospital Products";"us",#N/A,FALSE,"Hospital Products";"in",#N/A,FALSE,"Hospital Products"}</definedName>
    <definedName name="____EPO2" hidden="1">{"ww",#N/A,FALSE,"Hospital Products";"us",#N/A,FALSE,"Hospital Products";"in",#N/A,FALSE,"Hospital Products"}</definedName>
    <definedName name="____EPO3" localSheetId="4" hidden="1">{"ww",#N/A,FALSE,"Hospital Products";"us",#N/A,FALSE,"Hospital Products";"in",#N/A,FALSE,"Hospital Products"}</definedName>
    <definedName name="____EPO3" localSheetId="3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localSheetId="4" hidden="1">{"ww",#N/A,FALSE,"Hospital Products";"us",#N/A,FALSE,"Hospital Products";"in",#N/A,FALSE,"Hospital Products"}</definedName>
    <definedName name="____EPO4" localSheetId="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localSheetId="3" hidden="1">{#N/A,#N/A,FALSE,"PMTABB";#N/A,#N/A,FALSE,"PMTABB"}</definedName>
    <definedName name="____Grp16" hidden="1">{#N/A,#N/A,FALSE,"PMTABB";#N/A,#N/A,FALSE,"PMTABB"}</definedName>
    <definedName name="____Iri1">#REF!</definedName>
    <definedName name="____key2" hidden="1">#REF!</definedName>
    <definedName name="____mdc2" localSheetId="3" hidden="1">{#N/A,#N/A,FALSE,"Sheet1"}</definedName>
    <definedName name="____mdc2" hidden="1">{#N/A,#N/A,FALSE,"Sheet1"}</definedName>
    <definedName name="____MHA1" localSheetId="4" hidden="1">{"rtn",#N/A,FALSE,"RTN";"tables",#N/A,FALSE,"RTN";"cf",#N/A,FALSE,"CF";"stats",#N/A,FALSE,"Stats";"prop",#N/A,FALSE,"Prop"}</definedName>
    <definedName name="____MHA1" localSheetId="3" hidden="1">{"rtn",#N/A,FALSE,"RTN";"tables",#N/A,FALSE,"RTN";"cf",#N/A,FALSE,"CF";"stats",#N/A,FALSE,"Stats";"prop",#N/A,FALSE,"Prop"}</definedName>
    <definedName name="____MHA1" hidden="1">{"rtn",#N/A,FALSE,"RTN";"tables",#N/A,FALSE,"RTN";"cf",#N/A,FALSE,"CF";"stats",#N/A,FALSE,"Stats";"prop",#N/A,FALSE,"Prop"}</definedName>
    <definedName name="____MHA1_1" localSheetId="4" hidden="1">{"rtn",#N/A,FALSE,"RTN";"tables",#N/A,FALSE,"RTN";"cf",#N/A,FALSE,"CF";"stats",#N/A,FALSE,"Stats";"prop",#N/A,FALSE,"Prop"}</definedName>
    <definedName name="____MHA1_1" localSheetId="3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localSheetId="3" hidden="1">{#N/A,#N/A,FALSE,"Monthly"}</definedName>
    <definedName name="____tes2" hidden="1">{#N/A,#N/A,FALSE,"Monthly"}</definedName>
    <definedName name="____VSK1" localSheetId="3" hidden="1">{#N/A,#N/A,FALSE,"FINAL"}</definedName>
    <definedName name="____VSK1" hidden="1">{#N/A,#N/A,FALSE,"FINAL"}</definedName>
    <definedName name="____VSK2" localSheetId="3" hidden="1">{#N/A,#N/A,FALSE,"FINAL"}</definedName>
    <definedName name="____VSK2" hidden="1">{#N/A,#N/A,FALSE,"FINAL"}</definedName>
    <definedName name="____wr3" localSheetId="3" hidden="1">{#N/A,#N/A,FALSE,"ASSUMPTIONS";#N/A,#N/A,FALSE,"Valuation Summary";"page1",#N/A,FALSE,"PRESENTATION";"page2",#N/A,FALSE,"PRESENTATION";#N/A,#N/A,FALSE,"ORIGINAL_ROLLBACK"}</definedName>
    <definedName name="____wr3" hidden="1">{#N/A,#N/A,FALSE,"ASSUMPTIONS";#N/A,#N/A,FALSE,"Valuation Summary";"page1",#N/A,FALSE,"PRESENTATION";"page2",#N/A,FALSE,"PRESENTATION";#N/A,#N/A,FALSE,"ORIGINAL_ROLLBACK"}</definedName>
    <definedName name="____wrn1" localSheetId="4" hidden="1">{"Annual",#N/A,FALSE,"Sales &amp; Market";"Quarterly",#N/A,FALSE,"Sales &amp; Market"}</definedName>
    <definedName name="____wrn1" localSheetId="3" hidden="1">{"Annual",#N/A,FALSE,"Sales &amp; Market";"Quarterly",#N/A,FALSE,"Sales &amp; Market"}</definedName>
    <definedName name="____wrn1" hidden="1">{"Annual",#N/A,FALSE,"Sales &amp; Market";"Quarterly",#N/A,FALSE,"Sales &amp; Market"}</definedName>
    <definedName name="____wrn2" localSheetId="4" hidden="1">{"client cfbs",#N/A,FALSE,"Client"}</definedName>
    <definedName name="____wrn2" localSheetId="3" hidden="1">{"client cfbs",#N/A,FALSE,"Client"}</definedName>
    <definedName name="____wrn2" hidden="1">{"client cfbs",#N/A,FALSE,"Client"}</definedName>
    <definedName name="____wrn3" localSheetId="4" hidden="1">{"client is",#N/A,FALSE,"Client"}</definedName>
    <definedName name="____wrn3" localSheetId="3" hidden="1">{"client is",#N/A,FALSE,"Client"}</definedName>
    <definedName name="____wrn3" hidden="1">{"client is",#N/A,FALSE,"Client"}</definedName>
    <definedName name="____wrn4" localSheetId="4" hidden="1">{"client stats",#N/A,FALSE,"Client"}</definedName>
    <definedName name="____wrn4" localSheetId="3" hidden="1">{"client stats",#N/A,FALSE,"Client"}</definedName>
    <definedName name="____wrn4" hidden="1">{"client stats",#N/A,FALSE,"Client"}</definedName>
    <definedName name="____wrn5" localSheetId="4" hidden="1">{"internal is",#N/A,FALSE,"Model"}</definedName>
    <definedName name="____wrn5" localSheetId="3" hidden="1">{"internal is",#N/A,FALSE,"Model"}</definedName>
    <definedName name="____wrn5" hidden="1">{"internal is",#N/A,FALSE,"Model"}</definedName>
    <definedName name="____wrn6" localSheetId="4" hidden="1">{"portrait letter is",#N/A,FALSE,"Model"}</definedName>
    <definedName name="____wrn6" localSheetId="3" hidden="1">{"portrait letter is",#N/A,FALSE,"Model"}</definedName>
    <definedName name="____wrn6" hidden="1">{"portrait letter is",#N/A,FALSE,"Model"}</definedName>
    <definedName name="____wrn7" localSheetId="4" hidden="1">{#N/A,#N/A,FALSE,"Financial";#N/A,#N/A,FALSE,"Balance Sheet";#N/A,#N/A,FALSE,"Income stmt";#N/A,#N/A,FALSE,"Ratio"}</definedName>
    <definedName name="____wrn7" localSheetId="3" hidden="1">{#N/A,#N/A,FALSE,"Financial";#N/A,#N/A,FALSE,"Balance Sheet";#N/A,#N/A,FALSE,"Income stmt";#N/A,#N/A,FALSE,"Ratio"}</definedName>
    <definedName name="____wrn7" hidden="1">{#N/A,#N/A,FALSE,"Financial";#N/A,#N/A,FALSE,"Balance Sheet";#N/A,#N/A,FALSE,"Income stmt";#N/A,#N/A,FALSE,"Ratio"}</definedName>
    <definedName name="____x1" localSheetId="3" hidden="1">{"detail",#N/A,FALSE,"mfg";"summary",#N/A,FALSE,"mfg"}</definedName>
    <definedName name="____x1" hidden="1">{"detail",#N/A,FALSE,"mfg";"summary",#N/A,FALSE,"mfg"}</definedName>
    <definedName name="____x2" localSheetId="3" hidden="1">{#N/A,"PURCHM",FALSE,"Business Analysis";#N/A,"SPADD",FALSE,"Business Analysis"}</definedName>
    <definedName name="____x2" hidden="1">{#N/A,"PURCHM",FALSE,"Business Analysis";#N/A,"SPADD",FALSE,"Business Analysis"}</definedName>
    <definedName name="____x3" localSheetId="3" hidden="1">{"detail",#N/A,FALSE,"mfg";"summary",#N/A,FALSE,"mfg"}</definedName>
    <definedName name="____x3" hidden="1">{"detail",#N/A,FALSE,"mfg";"summary",#N/A,FALSE,"mfg"}</definedName>
    <definedName name="____x4" localSheetId="3" hidden="1">{#N/A,"PURCHM",FALSE,"Business Analysis";#N/A,"SPADD",FALSE,"Business Analysis"}</definedName>
    <definedName name="____x4" hidden="1">{#N/A,"PURCHM",FALSE,"Business Analysis";#N/A,"SPADD",FALSE,"Business Analysis"}</definedName>
    <definedName name="___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localSheetId="3" hidden="1">{#N/A,#N/A,FALSE,"CMN_FE"}</definedName>
    <definedName name="____xx1" hidden="1">{#N/A,#N/A,FALSE,"CMN_FE"}</definedName>
    <definedName name="____xx10" localSheetId="3" hidden="1">{#N/A,"PURCHM",FALSE,"Business Analysis";#N/A,"SPADD",FALSE,"Business Analysis"}</definedName>
    <definedName name="____xx10" hidden="1">{#N/A,"PURCHM",FALSE,"Business Analysis";#N/A,"SPADD",FALSE,"Business Analysis"}</definedName>
    <definedName name="____xx3" localSheetId="3" hidden="1">{"detail",#N/A,FALSE,"mfg";"summary",#N/A,FALSE,"mfg"}</definedName>
    <definedName name="____xx3" hidden="1">{"detail",#N/A,FALSE,"mfg";"summary",#N/A,FALSE,"mfg"}</definedName>
    <definedName name="___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localSheetId="3" hidden="1">{"oct_res_comm",#N/A,FALSE,"VarToBud"}</definedName>
    <definedName name="____xx7" hidden="1">{"oct_res_comm",#N/A,FALSE,"VarToBud"}</definedName>
    <definedName name="___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localSheetId="3" hidden="1">{"AS REP",#N/A,FALSE,"EEFSNAP2";"PROP",#N/A,FALSE,"EEFSNAP2";"RISKS",#N/A,FALSE,"EEFSNAP2";"VIEW ALL",#N/A,FALSE,"EEFSNAP2"}</definedName>
    <definedName name="____xx9" hidden="1">{"AS REP",#N/A,FALSE,"EEFSNAP2";"PROP",#N/A,FALSE,"EEFSNAP2";"RISKS",#N/A,FALSE,"EEFSNAP2";"VIEW ALL",#N/A,FALSE,"EEFSNAP2"}</definedName>
    <definedName name="____z12" localSheetId="3" hidden="1">{"pro_view",#N/A,FALSE,"EEFSNAP2";"rep_view",#N/A,FALSE,"EEFSNAP2"}</definedName>
    <definedName name="____z12" hidden="1">{"pro_view",#N/A,FALSE,"EEFSNAP2";"rep_view",#N/A,FALSE,"EEFSNAP2"}</definedName>
    <definedName name="_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localSheetId="3" hidden="1">{"detail",#N/A,FALSE,"mfg";"summary",#N/A,FALSE,"mfg"}</definedName>
    <definedName name="____z25" hidden="1">{"detail",#N/A,FALSE,"mfg";"summary",#N/A,FALSE,"mfg"}</definedName>
    <definedName name="____zz1" localSheetId="3" hidden="1">{"pro_view",#N/A,FALSE,"EEFSNAP2";"rep_view",#N/A,FALSE,"EEFSNAP2"}</definedName>
    <definedName name="____zz1" hidden="1">{"pro_view",#N/A,FALSE,"EEFSNAP2";"rep_view",#N/A,FALSE,"EEFSNAP2"}</definedName>
    <definedName name="___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 localSheetId="3">{"'2ND_QUAR'!$A$1:$P$106"}</definedName>
    <definedName name="___a1">{"'2ND_QUAR'!$A$1:$P$106"}</definedName>
    <definedName name="___A11" localSheetId="3" hidden="1">{#N/A,#N/A,FALSE,"Umsatz 99";#N/A,#N/A,FALSE,"ER 99 "}</definedName>
    <definedName name="___A11" hidden="1">{#N/A,#N/A,FALSE,"Umsatz 99";#N/A,#N/A,FALSE,"ER 99 "}</definedName>
    <definedName name="___a2" localSheetId="3">{"'1-TheatreBkgs'!$A$1:$L$102"}</definedName>
    <definedName name="___a2">{"'1-TheatreBkgs'!$A$1:$L$102"}</definedName>
    <definedName name="___a3" localSheetId="3">{"'1-TheatreBkgs'!$A$1:$L$102"}</definedName>
    <definedName name="___a3">{"'1-TheatreBkgs'!$A$1:$L$102"}</definedName>
    <definedName name="___a4" localSheetId="3">{"'1-TheatreBkgs'!$A$1:$L$102"}</definedName>
    <definedName name="___a4">{"'1-TheatreBkgs'!$A$1:$L$102"}</definedName>
    <definedName name="___AAA1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localSheetId="3" hidden="1">{"detail",#N/A,FALSE,"mfg";"summary",#N/A,FALSE,"mfg"}</definedName>
    <definedName name="___abc1" hidden="1">{"detail",#N/A,FALSE,"mfg";"summary",#N/A,FALSE,"mfg"}</definedName>
    <definedName name="___abc2" localSheetId="3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localSheetId="3" hidden="1">{"Fiesta Facer Page",#N/A,FALSE,"Q_C_S";"Fiesta Main Page",#N/A,FALSE,"V_L";"Fiesta 95BP Struct",#N/A,FALSE,"StructBP";"Fiesta Post 95BP Struct",#N/A,FALSE,"AdjStructBP"}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localSheetId="4" hidden="1">{"ww",#N/A,FALSE,"Hospital Products";"us",#N/A,FALSE,"Hospital Products";"in",#N/A,FALSE,"Hospital Products"}</definedName>
    <definedName name="___EPO2" localSheetId="3" hidden="1">{"ww",#N/A,FALSE,"Hospital Products";"us",#N/A,FALSE,"Hospital Products";"in",#N/A,FALSE,"Hospital Products"}</definedName>
    <definedName name="___EPO2" hidden="1">{"ww",#N/A,FALSE,"Hospital Products";"us",#N/A,FALSE,"Hospital Products";"in",#N/A,FALSE,"Hospital Products"}</definedName>
    <definedName name="___EPO3" localSheetId="4" hidden="1">{"ww",#N/A,FALSE,"Hospital Products";"us",#N/A,FALSE,"Hospital Products";"in",#N/A,FALSE,"Hospital Products"}</definedName>
    <definedName name="___EPO3" localSheetId="3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localSheetId="4" hidden="1">{"ww",#N/A,FALSE,"Hospital Products";"us",#N/A,FALSE,"Hospital Products";"in",#N/A,FALSE,"Hospital Products"}</definedName>
    <definedName name="___EPO4" localSheetId="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localSheetId="3" hidden="1">{"incomemth",#N/A,TRUE,"forecast00";"incomepercentmth",#N/A,TRUE,"forecast00";"balancemth",#N/A,TRUE,"forecast00";"cashmth",#N/A,TRUE,"forecast00";"covenantmth",#N/A,TRUE,"forecast00"}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localSheetId="3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localSheetId="3" hidden="1">{"incomemth",#N/A,TRUE,"forecast00";"incomepercentmth",#N/A,TRUE,"forecast00";"balancemth",#N/A,TRUE,"forecast00";"cashmth",#N/A,TRUE,"forecast00";"covenantmth",#N/A,TRUE,"forecast00"}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localSheetId="3" hidden="1">{#N/A,#N/A,FALSE,"PMTABB";#N/A,#N/A,FALSE,"PMTABB"}</definedName>
    <definedName name="___Grp16" hidden="1">{#N/A,#N/A,FALSE,"PMTABB";#N/A,#N/A,FALSE,"PMTABB"}</definedName>
    <definedName name="_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localSheetId="3" hidden="1">{"table",#N/A,FALSE,"COVER";"income_statement",#N/A,FALSE,"COVER"}</definedName>
    <definedName name="___m1" hidden="1">{"table",#N/A,FALSE,"COVER";"income_statement",#N/A,FALSE,"COVER"}</definedName>
    <definedName name="___m2" localSheetId="3" hidden="1">{"table",#N/A,FALSE,"COVER";"income_statement",#N/A,FALSE,"COVER"}</definedName>
    <definedName name="___m2" hidden="1">{"table",#N/A,FALSE,"COVER";"income_statement",#N/A,FALSE,"COVER"}</definedName>
    <definedName name="___m3" localSheetId="3" hidden="1">{"table",#N/A,FALSE,"COVER";"income_statement",#N/A,FALSE,"COVER"}</definedName>
    <definedName name="___m3" hidden="1">{"table",#N/A,FALSE,"COVER";"income_statement",#N/A,FALSE,"COVER"}</definedName>
    <definedName name="___m4" localSheetId="3" hidden="1">{"table",#N/A,FALSE,"COVER";"income_statement",#N/A,FALSE,"COVER"}</definedName>
    <definedName name="___m4" hidden="1">{"table",#N/A,FALSE,"COVER";"income_statement",#N/A,FALSE,"COVER"}</definedName>
    <definedName name="___m5" localSheetId="3" hidden="1">{"table",#N/A,FALSE,"COVER";"income_statement",#N/A,FALSE,"COVER"}</definedName>
    <definedName name="___m5" hidden="1">{"table",#N/A,FALSE,"COVER";"income_statement",#N/A,FALSE,"COVER"}</definedName>
    <definedName name="___m6" localSheetId="3" hidden="1">{"table",#N/A,FALSE,"COVER";"income_statement",#N/A,FALSE,"COVER"}</definedName>
    <definedName name="___m6" hidden="1">{"table",#N/A,FALSE,"COVER";"income_statement",#N/A,FALSE,"COVER"}</definedName>
    <definedName name="___m7" localSheetId="3" hidden="1">{"table",#N/A,FALSE,"COVER";"income_statement",#N/A,FALSE,"COVER"}</definedName>
    <definedName name="___m7" hidden="1">{"table",#N/A,FALSE,"COVER";"income_statement",#N/A,FALSE,"COVER"}</definedName>
    <definedName name="___m8" localSheetId="3" hidden="1">{"table",#N/A,FALSE,"COVER";"income_statement",#N/A,FALSE,"COVER"}</definedName>
    <definedName name="___m8" hidden="1">{"table",#N/A,FALSE,"COVER";"income_statement",#N/A,FALSE,"COVER"}</definedName>
    <definedName name="___m9" localSheetId="3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localSheetId="4" hidden="1">{"rtn",#N/A,FALSE,"RTN";"tables",#N/A,FALSE,"RTN";"cf",#N/A,FALSE,"CF";"stats",#N/A,FALSE,"Stats";"prop",#N/A,FALSE,"Prop"}</definedName>
    <definedName name="___MHA1" localSheetId="3" hidden="1">{"rtn",#N/A,FALSE,"RTN";"tables",#N/A,FALSE,"RTN";"cf",#N/A,FALSE,"CF";"stats",#N/A,FALSE,"Stats";"prop",#N/A,FALSE,"Prop"}</definedName>
    <definedName name="___MHA1" hidden="1">{"rtn",#N/A,FALSE,"RTN";"tables",#N/A,FALSE,"RTN";"cf",#N/A,FALSE,"CF";"stats",#N/A,FALSE,"Stats";"prop",#N/A,FALSE,"Prop"}</definedName>
    <definedName name="___MHA1_1" localSheetId="4" hidden="1">{"rtn",#N/A,FALSE,"RTN";"tables",#N/A,FALSE,"RTN";"cf",#N/A,FALSE,"CF";"stats",#N/A,FALSE,"Stats";"prop",#N/A,FALSE,"Prop"}</definedName>
    <definedName name="___MHA1_1" localSheetId="3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localSheetId="3" hidden="1">{#N/A,#N/A,FALSE,"Projections";#N/A,#N/A,FALSE,"Multiples Valuation";#N/A,#N/A,FALSE,"LBO";#N/A,#N/A,FALSE,"Multiples_Sensitivity";#N/A,#N/A,FALSE,"Summary"}</definedName>
    <definedName name="___rod1" hidden="1">{#N/A,#N/A,FALSE,"Projections";#N/A,#N/A,FALSE,"Multiples Valuation";#N/A,#N/A,FALSE,"LBO";#N/A,#N/A,FALSE,"Multiples_Sensitivity";#N/A,#N/A,FALSE,"Summary"}</definedName>
    <definedName name="___tes2" localSheetId="3" hidden="1">{#N/A,#N/A,FALSE,"Monthly"}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 localSheetId="3">{"'1-TheatreBkgs'!$A$1:$L$102"}</definedName>
    <definedName name="___v1">{"'1-TheatreBkgs'!$A$1:$L$102"}</definedName>
    <definedName name="___V2" localSheetId="3">{"'1-TheatreBkgs'!$A$1:$L$102"}</definedName>
    <definedName name="___V2">{"'1-TheatreBkgs'!$A$1:$L$102"}</definedName>
    <definedName name="___v3" localSheetId="3">{"'1-TheatreBkgs'!$A$1:$L$102"}</definedName>
    <definedName name="___v3">{"'1-TheatreBkgs'!$A$1:$L$102"}</definedName>
    <definedName name="___VSK1" localSheetId="3" hidden="1">{#N/A,#N/A,FALSE,"FINAL"}</definedName>
    <definedName name="___VSK1" hidden="1">{#N/A,#N/A,FALSE,"FINAL"}</definedName>
    <definedName name="___VSK2" localSheetId="3" hidden="1">{#N/A,#N/A,FALSE,"FINAL"}</definedName>
    <definedName name="___VSK2" hidden="1">{#N/A,#N/A,FALSE,"FINAL"}</definedName>
    <definedName name="___wrn1" localSheetId="4" hidden="1">{"Annual",#N/A,FALSE,"Sales &amp; Market";"Quarterly",#N/A,FALSE,"Sales &amp; Market"}</definedName>
    <definedName name="___wrn1" localSheetId="3" hidden="1">{"Annual",#N/A,FALSE,"Sales &amp; Market";"Quarterly",#N/A,FALSE,"Sales &amp; Market"}</definedName>
    <definedName name="___wrn1" hidden="1">{"Annual",#N/A,FALSE,"Sales &amp; Market";"Quarterly",#N/A,FALSE,"Sales &amp; Market"}</definedName>
    <definedName name="___wrn2" localSheetId="4" hidden="1">{"client cfbs",#N/A,FALSE,"Client"}</definedName>
    <definedName name="___wrn2" localSheetId="3" hidden="1">{"client cfbs",#N/A,FALSE,"Client"}</definedName>
    <definedName name="___wrn2" hidden="1">{"client cfbs",#N/A,FALSE,"Client"}</definedName>
    <definedName name="___wrn3" localSheetId="4" hidden="1">{"client is",#N/A,FALSE,"Client"}</definedName>
    <definedName name="___wrn3" localSheetId="3" hidden="1">{"client is",#N/A,FALSE,"Client"}</definedName>
    <definedName name="___wrn3" hidden="1">{"client is",#N/A,FALSE,"Client"}</definedName>
    <definedName name="___wrn4" localSheetId="4" hidden="1">{"client stats",#N/A,FALSE,"Client"}</definedName>
    <definedName name="___wrn4" localSheetId="3" hidden="1">{"client stats",#N/A,FALSE,"Client"}</definedName>
    <definedName name="___wrn4" hidden="1">{"client stats",#N/A,FALSE,"Client"}</definedName>
    <definedName name="___wrn5" localSheetId="4" hidden="1">{"internal is",#N/A,FALSE,"Model"}</definedName>
    <definedName name="___wrn5" localSheetId="3" hidden="1">{"internal is",#N/A,FALSE,"Model"}</definedName>
    <definedName name="___wrn5" hidden="1">{"internal is",#N/A,FALSE,"Model"}</definedName>
    <definedName name="___wrn6" localSheetId="4" hidden="1">{"portrait letter is",#N/A,FALSE,"Model"}</definedName>
    <definedName name="___wrn6" localSheetId="3" hidden="1">{"portrait letter is",#N/A,FALSE,"Model"}</definedName>
    <definedName name="___wrn6" hidden="1">{"portrait letter is",#N/A,FALSE,"Model"}</definedName>
    <definedName name="___wrn7" localSheetId="4" hidden="1">{#N/A,#N/A,FALSE,"Financial";#N/A,#N/A,FALSE,"Balance Sheet";#N/A,#N/A,FALSE,"Income stmt";#N/A,#N/A,FALSE,"Ratio"}</definedName>
    <definedName name="___wrn7" localSheetId="3" hidden="1">{#N/A,#N/A,FALSE,"Financial";#N/A,#N/A,FALSE,"Balance Sheet";#N/A,#N/A,FALSE,"Income stmt";#N/A,#N/A,FALSE,"Ratio"}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localSheetId="3" hidden="1">{#N/A,#N/A,FALSE,"CMN_FE"}</definedName>
    <definedName name="___xx1" hidden="1">{#N/A,#N/A,FALSE,"CMN_FE"}</definedName>
    <definedName name="__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localSheetId="3" hidden="1">{"pro_view",#N/A,FALSE,"EEFSNAP2";"rep_view",#N/A,FALSE,"EEFSNAP2"}</definedName>
    <definedName name="___z12" hidden="1">{"pro_view",#N/A,FALSE,"EEFSNAP2";"rep_view",#N/A,FALSE,"EEFSNAP2"}</definedName>
    <definedName name="_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localSheetId="3" hidden="1">{"detail",#N/A,FALSE,"mfg";"summary",#N/A,FALSE,"mfg"}</definedName>
    <definedName name="___z25" hidden="1">{"detail",#N/A,FALSE,"mfg";"summary",#N/A,FALSE,"mfg"}</definedName>
    <definedName name="__123Graph_A" localSheetId="4" hidden="1">[2]Historical!#REF!</definedName>
    <definedName name="__123Graph_A" hidden="1">#REF!</definedName>
    <definedName name="__123Graph_AChart1" hidden="1">#REF!</definedName>
    <definedName name="__123Graph_ACOSTS" hidden="1">#REF!</definedName>
    <definedName name="__123Graph_ACURRENT" localSheetId="4" hidden="1">[3]RUL2!$E$289:$E$326</definedName>
    <definedName name="__123Graph_ACURRENT" hidden="1">#REF!</definedName>
    <definedName name="__123Graph_AGraph1" hidden="1">#REF!</definedName>
    <definedName name="__123Graph_AINC2" localSheetId="4" hidden="1">[4]הכנסות!#REF!</definedName>
    <definedName name="__123Graph_AINC2" hidden="1">#REF!</definedName>
    <definedName name="__123Graph_AINC3" localSheetId="4" hidden="1">[4]הכנסות!#REF!</definedName>
    <definedName name="__123Graph_AINC3" hidden="1">#REF!</definedName>
    <definedName name="__123Graph_ANPV" hidden="1">#REF!</definedName>
    <definedName name="__123Graph_APRINCIPAL" localSheetId="4" hidden="1">'[5]Herramientas para análisis-VBA'!#REF!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localSheetId="4" hidden="1">[4]הכנסות!#REF!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localSheetId="4" hidden="1">[6]INVTREND!$E$85:$E$106</definedName>
    <definedName name="__123Graph_C" hidden="1">#REF!</definedName>
    <definedName name="__123Graph_CChart1" hidden="1">#REF!</definedName>
    <definedName name="__123Graph_CCurrent" hidden="1">#REF!</definedName>
    <definedName name="__123Graph_CINC2" localSheetId="4" hidden="1">[4]הכנסות!#REF!</definedName>
    <definedName name="__123Graph_CINC2" hidden="1">#REF!</definedName>
    <definedName name="__123Graph_CRPE97" hidden="1">#REF!</definedName>
    <definedName name="__123Graph_CTRAIN" hidden="1">#REF!</definedName>
    <definedName name="__123Graph_D" localSheetId="4" hidden="1">'[7]M&amp;E-TC'!#REF!</definedName>
    <definedName name="__123Graph_D" hidden="1">#REF!</definedName>
    <definedName name="__123Graph_DChart1" hidden="1">#REF!</definedName>
    <definedName name="__123Graph_DCurrent" hidden="1">#REF!</definedName>
    <definedName name="__123Graph_DINC2" localSheetId="4" hidden="1">[4]הכנסות!#REF!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localSheetId="4" hidden="1">[4]הכנסות!#REF!</definedName>
    <definedName name="__123Graph_EINC2" hidden="1">#REF!</definedName>
    <definedName name="__123Graph_ETRAIN" hidden="1">#REF!</definedName>
    <definedName name="__123Graph_F" localSheetId="4" hidden="1">[8]TC!#REF!</definedName>
    <definedName name="__123Graph_F" hidden="1">#REF!</definedName>
    <definedName name="__123Graph_LBL_A" hidden="1">#REF!</definedName>
    <definedName name="__123Graph_LBL_APRINCIPAL" localSheetId="4" hidden="1">'[5]Herramientas para análisis-VBA'!#REF!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localSheetId="4" hidden="1">[3]RUL2!$A$289:$A$326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localSheetId="4" hidden="1">[4]הכנסות!#REF!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 localSheetId="3">{"'2ND_QUAR'!$A$1:$P$106"}</definedName>
    <definedName name="__a1">{"'2ND_QUAR'!$A$1:$P$106"}</definedName>
    <definedName name="__a1_1" localSheetId="3" hidden="1">{#N/A,#N/A,FALSE,"Pharm";#N/A,#N/A,FALSE,"WWCM"}</definedName>
    <definedName name="__a1_1" hidden="1">{#N/A,#N/A,FALSE,"Pharm";#N/A,#N/A,FALSE,"WWCM"}</definedName>
    <definedName name="__a1_2" localSheetId="3" hidden="1">{#N/A,#N/A,FALSE,"Pharm";#N/A,#N/A,FALSE,"WWCM"}</definedName>
    <definedName name="__a1_2" hidden="1">{#N/A,#N/A,FALSE,"Pharm";#N/A,#N/A,FALSE,"WWCM"}</definedName>
    <definedName name="__a1_3" localSheetId="3" hidden="1">{#N/A,#N/A,FALSE,"Pharm";#N/A,#N/A,FALSE,"WWCM"}</definedName>
    <definedName name="__a1_3" hidden="1">{#N/A,#N/A,FALSE,"Pharm";#N/A,#N/A,FALSE,"WWCM"}</definedName>
    <definedName name="__a1_4" localSheetId="3" hidden="1">{#N/A,#N/A,FALSE,"Pharm";#N/A,#N/A,FALSE,"WWCM"}</definedName>
    <definedName name="__a1_4" hidden="1">{#N/A,#N/A,FALSE,"Pharm";#N/A,#N/A,FALSE,"WWCM"}</definedName>
    <definedName name="__A11" localSheetId="3" hidden="1">{#N/A,#N/A,FALSE,"Umsatz 99";#N/A,#N/A,FALSE,"ER 99 "}</definedName>
    <definedName name="__A11" hidden="1">{#N/A,#N/A,FALSE,"Umsatz 99";#N/A,#N/A,FALSE,"ER 99 "}</definedName>
    <definedName name="__A11_1" localSheetId="3" hidden="1">{#N/A,#N/A,FALSE,"Umsatz 99";#N/A,#N/A,FALSE,"ER 99 "}</definedName>
    <definedName name="__A11_1" hidden="1">{#N/A,#N/A,FALSE,"Umsatz 99";#N/A,#N/A,FALSE,"ER 99 "}</definedName>
    <definedName name="__A11_1_1" localSheetId="3" hidden="1">{#N/A,#N/A,FALSE,"Umsatz 99";#N/A,#N/A,FALSE,"ER 99 "}</definedName>
    <definedName name="__A11_1_1" hidden="1">{#N/A,#N/A,FALSE,"Umsatz 99";#N/A,#N/A,FALSE,"ER 99 "}</definedName>
    <definedName name="__A11_1_2" localSheetId="3" hidden="1">{#N/A,#N/A,FALSE,"Umsatz 99";#N/A,#N/A,FALSE,"ER 99 "}</definedName>
    <definedName name="__A11_1_2" hidden="1">{#N/A,#N/A,FALSE,"Umsatz 99";#N/A,#N/A,FALSE,"ER 99 "}</definedName>
    <definedName name="__A11_1_3" localSheetId="3" hidden="1">{#N/A,#N/A,FALSE,"Umsatz 99";#N/A,#N/A,FALSE,"ER 99 "}</definedName>
    <definedName name="__A11_1_3" hidden="1">{#N/A,#N/A,FALSE,"Umsatz 99";#N/A,#N/A,FALSE,"ER 99 "}</definedName>
    <definedName name="__A11_1_4" localSheetId="3" hidden="1">{#N/A,#N/A,FALSE,"Umsatz 99";#N/A,#N/A,FALSE,"ER 99 "}</definedName>
    <definedName name="__A11_1_4" hidden="1">{#N/A,#N/A,FALSE,"Umsatz 99";#N/A,#N/A,FALSE,"ER 99 "}</definedName>
    <definedName name="__A11_1_5" localSheetId="3" hidden="1">{#N/A,#N/A,FALSE,"Umsatz 99";#N/A,#N/A,FALSE,"ER 99 "}</definedName>
    <definedName name="__A11_1_5" hidden="1">{#N/A,#N/A,FALSE,"Umsatz 99";#N/A,#N/A,FALSE,"ER 99 "}</definedName>
    <definedName name="__A11_2" localSheetId="3" hidden="1">{#N/A,#N/A,FALSE,"Umsatz 99";#N/A,#N/A,FALSE,"ER 99 "}</definedName>
    <definedName name="__A11_2" hidden="1">{#N/A,#N/A,FALSE,"Umsatz 99";#N/A,#N/A,FALSE,"ER 99 "}</definedName>
    <definedName name="__A11_2_1" localSheetId="3" hidden="1">{#N/A,#N/A,FALSE,"Umsatz 99";#N/A,#N/A,FALSE,"ER 99 "}</definedName>
    <definedName name="__A11_2_1" hidden="1">{#N/A,#N/A,FALSE,"Umsatz 99";#N/A,#N/A,FALSE,"ER 99 "}</definedName>
    <definedName name="__A11_2_2" localSheetId="3" hidden="1">{#N/A,#N/A,FALSE,"Umsatz 99";#N/A,#N/A,FALSE,"ER 99 "}</definedName>
    <definedName name="__A11_2_2" hidden="1">{#N/A,#N/A,FALSE,"Umsatz 99";#N/A,#N/A,FALSE,"ER 99 "}</definedName>
    <definedName name="__A11_2_3" localSheetId="3" hidden="1">{#N/A,#N/A,FALSE,"Umsatz 99";#N/A,#N/A,FALSE,"ER 99 "}</definedName>
    <definedName name="__A11_2_3" hidden="1">{#N/A,#N/A,FALSE,"Umsatz 99";#N/A,#N/A,FALSE,"ER 99 "}</definedName>
    <definedName name="__A11_2_4" localSheetId="3" hidden="1">{#N/A,#N/A,FALSE,"Umsatz 99";#N/A,#N/A,FALSE,"ER 99 "}</definedName>
    <definedName name="__A11_2_4" hidden="1">{#N/A,#N/A,FALSE,"Umsatz 99";#N/A,#N/A,FALSE,"ER 99 "}</definedName>
    <definedName name="__A11_2_5" localSheetId="3" hidden="1">{#N/A,#N/A,FALSE,"Umsatz 99";#N/A,#N/A,FALSE,"ER 99 "}</definedName>
    <definedName name="__A11_2_5" hidden="1">{#N/A,#N/A,FALSE,"Umsatz 99";#N/A,#N/A,FALSE,"ER 99 "}</definedName>
    <definedName name="__A11_3" localSheetId="3" hidden="1">{#N/A,#N/A,FALSE,"Umsatz 99";#N/A,#N/A,FALSE,"ER 99 "}</definedName>
    <definedName name="__A11_3" hidden="1">{#N/A,#N/A,FALSE,"Umsatz 99";#N/A,#N/A,FALSE,"ER 99 "}</definedName>
    <definedName name="__A11_3_1" localSheetId="3" hidden="1">{#N/A,#N/A,FALSE,"Umsatz 99";#N/A,#N/A,FALSE,"ER 99 "}</definedName>
    <definedName name="__A11_3_1" hidden="1">{#N/A,#N/A,FALSE,"Umsatz 99";#N/A,#N/A,FALSE,"ER 99 "}</definedName>
    <definedName name="__A11_3_2" localSheetId="3" hidden="1">{#N/A,#N/A,FALSE,"Umsatz 99";#N/A,#N/A,FALSE,"ER 99 "}</definedName>
    <definedName name="__A11_3_2" hidden="1">{#N/A,#N/A,FALSE,"Umsatz 99";#N/A,#N/A,FALSE,"ER 99 "}</definedName>
    <definedName name="__A11_3_3" localSheetId="3" hidden="1">{#N/A,#N/A,FALSE,"Umsatz 99";#N/A,#N/A,FALSE,"ER 99 "}</definedName>
    <definedName name="__A11_3_3" hidden="1">{#N/A,#N/A,FALSE,"Umsatz 99";#N/A,#N/A,FALSE,"ER 99 "}</definedName>
    <definedName name="__A11_3_4" localSheetId="3" hidden="1">{#N/A,#N/A,FALSE,"Umsatz 99";#N/A,#N/A,FALSE,"ER 99 "}</definedName>
    <definedName name="__A11_3_4" hidden="1">{#N/A,#N/A,FALSE,"Umsatz 99";#N/A,#N/A,FALSE,"ER 99 "}</definedName>
    <definedName name="__A11_3_5" localSheetId="3" hidden="1">{#N/A,#N/A,FALSE,"Umsatz 99";#N/A,#N/A,FALSE,"ER 99 "}</definedName>
    <definedName name="__A11_3_5" hidden="1">{#N/A,#N/A,FALSE,"Umsatz 99";#N/A,#N/A,FALSE,"ER 99 "}</definedName>
    <definedName name="__A11_4" localSheetId="3" hidden="1">{#N/A,#N/A,FALSE,"Umsatz 99";#N/A,#N/A,FALSE,"ER 99 "}</definedName>
    <definedName name="__A11_4" hidden="1">{#N/A,#N/A,FALSE,"Umsatz 99";#N/A,#N/A,FALSE,"ER 99 "}</definedName>
    <definedName name="__A11_4_1" localSheetId="3" hidden="1">{#N/A,#N/A,FALSE,"Umsatz 99";#N/A,#N/A,FALSE,"ER 99 "}</definedName>
    <definedName name="__A11_4_1" hidden="1">{#N/A,#N/A,FALSE,"Umsatz 99";#N/A,#N/A,FALSE,"ER 99 "}</definedName>
    <definedName name="__A11_4_2" localSheetId="3" hidden="1">{#N/A,#N/A,FALSE,"Umsatz 99";#N/A,#N/A,FALSE,"ER 99 "}</definedName>
    <definedName name="__A11_4_2" hidden="1">{#N/A,#N/A,FALSE,"Umsatz 99";#N/A,#N/A,FALSE,"ER 99 "}</definedName>
    <definedName name="__A11_4_3" localSheetId="3" hidden="1">{#N/A,#N/A,FALSE,"Umsatz 99";#N/A,#N/A,FALSE,"ER 99 "}</definedName>
    <definedName name="__A11_4_3" hidden="1">{#N/A,#N/A,FALSE,"Umsatz 99";#N/A,#N/A,FALSE,"ER 99 "}</definedName>
    <definedName name="__A11_4_4" localSheetId="3" hidden="1">{#N/A,#N/A,FALSE,"Umsatz 99";#N/A,#N/A,FALSE,"ER 99 "}</definedName>
    <definedName name="__A11_4_4" hidden="1">{#N/A,#N/A,FALSE,"Umsatz 99";#N/A,#N/A,FALSE,"ER 99 "}</definedName>
    <definedName name="__A11_4_5" localSheetId="3" hidden="1">{#N/A,#N/A,FALSE,"Umsatz 99";#N/A,#N/A,FALSE,"ER 99 "}</definedName>
    <definedName name="__A11_4_5" hidden="1">{#N/A,#N/A,FALSE,"Umsatz 99";#N/A,#N/A,FALSE,"ER 99 "}</definedName>
    <definedName name="__A11_5" localSheetId="3" hidden="1">{#N/A,#N/A,FALSE,"Umsatz 99";#N/A,#N/A,FALSE,"ER 99 "}</definedName>
    <definedName name="__A11_5" hidden="1">{#N/A,#N/A,FALSE,"Umsatz 99";#N/A,#N/A,FALSE,"ER 99 "}</definedName>
    <definedName name="__A11_5_1" localSheetId="3" hidden="1">{#N/A,#N/A,FALSE,"Umsatz 99";#N/A,#N/A,FALSE,"ER 99 "}</definedName>
    <definedName name="__A11_5_1" hidden="1">{#N/A,#N/A,FALSE,"Umsatz 99";#N/A,#N/A,FALSE,"ER 99 "}</definedName>
    <definedName name="__A11_5_2" localSheetId="3" hidden="1">{#N/A,#N/A,FALSE,"Umsatz 99";#N/A,#N/A,FALSE,"ER 99 "}</definedName>
    <definedName name="__A11_5_2" hidden="1">{#N/A,#N/A,FALSE,"Umsatz 99";#N/A,#N/A,FALSE,"ER 99 "}</definedName>
    <definedName name="__A11_5_3" localSheetId="3" hidden="1">{#N/A,#N/A,FALSE,"Umsatz 99";#N/A,#N/A,FALSE,"ER 99 "}</definedName>
    <definedName name="__A11_5_3" hidden="1">{#N/A,#N/A,FALSE,"Umsatz 99";#N/A,#N/A,FALSE,"ER 99 "}</definedName>
    <definedName name="__A11_5_4" localSheetId="3" hidden="1">{#N/A,#N/A,FALSE,"Umsatz 99";#N/A,#N/A,FALSE,"ER 99 "}</definedName>
    <definedName name="__A11_5_4" hidden="1">{#N/A,#N/A,FALSE,"Umsatz 99";#N/A,#N/A,FALSE,"ER 99 "}</definedName>
    <definedName name="__A11_5_5" localSheetId="3" hidden="1">{#N/A,#N/A,FALSE,"Umsatz 99";#N/A,#N/A,FALSE,"ER 99 "}</definedName>
    <definedName name="__A11_5_5" hidden="1">{#N/A,#N/A,FALSE,"Umsatz 99";#N/A,#N/A,FALSE,"ER 99 "}</definedName>
    <definedName name="__a3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localSheetId="3" hidden="1">{#N/A,#N/A,TRUE,"Pro Forma";#N/A,#N/A,TRUE,"PF_Bal";#N/A,#N/A,TRUE,"PF_INC";#N/A,#N/A,TRUE,"CBE";#N/A,#N/A,TRUE,"SWK"}</definedName>
    <definedName name="__aa1" hidden="1">{#N/A,#N/A,TRUE,"Pro Forma";#N/A,#N/A,TRUE,"PF_Bal";#N/A,#N/A,TRUE,"PF_INC";#N/A,#N/A,TRUE,"CBE";#N/A,#N/A,TRUE,"SWK"}</definedName>
    <definedName name="__aaa1" localSheetId="3" hidden="1">{#N/A,#N/A,FALSE,"REPORT"}</definedName>
    <definedName name="__aaa1" hidden="1">{#N/A,#N/A,FALSE,"REPORT"}</definedName>
    <definedName name="__aaa1_1" localSheetId="3" hidden="1">{#N/A,#N/A,FALSE,"REPORT"}</definedName>
    <definedName name="__aaa1_1" hidden="1">{#N/A,#N/A,FALSE,"REPORT"}</definedName>
    <definedName name="__aaa1_2" localSheetId="3" hidden="1">{#N/A,#N/A,FALSE,"REPORT"}</definedName>
    <definedName name="__aaa1_2" hidden="1">{#N/A,#N/A,FALSE,"REPORT"}</definedName>
    <definedName name="__aaa1_3" localSheetId="3" hidden="1">{#N/A,#N/A,FALSE,"REPORT"}</definedName>
    <definedName name="__aaa1_3" hidden="1">{#N/A,#N/A,FALSE,"REPORT"}</definedName>
    <definedName name="__aaa1_4" localSheetId="3" hidden="1">{#N/A,#N/A,FALSE,"REPORT"}</definedName>
    <definedName name="__aaa1_4" hidden="1">{#N/A,#N/A,FALSE,"REPORT"}</definedName>
    <definedName name="__aas1" localSheetId="3" hidden="1">{#N/A,#N/A,FALSE,"REPORT"}</definedName>
    <definedName name="__aas1" hidden="1">{#N/A,#N/A,FALSE,"REPORT"}</definedName>
    <definedName name="__aas1_1" localSheetId="3" hidden="1">{#N/A,#N/A,FALSE,"REPORT"}</definedName>
    <definedName name="__aas1_1" hidden="1">{#N/A,#N/A,FALSE,"REPORT"}</definedName>
    <definedName name="__aas1_2" localSheetId="3" hidden="1">{#N/A,#N/A,FALSE,"REPORT"}</definedName>
    <definedName name="__aas1_2" hidden="1">{#N/A,#N/A,FALSE,"REPORT"}</definedName>
    <definedName name="__aas1_3" localSheetId="3" hidden="1">{#N/A,#N/A,FALSE,"REPORT"}</definedName>
    <definedName name="__aas1_3" hidden="1">{#N/A,#N/A,FALSE,"REPORT"}</definedName>
    <definedName name="__aas1_4" localSheetId="3" hidden="1">{#N/A,#N/A,FALSE,"REPORT"}</definedName>
    <definedName name="__aas1_4" hidden="1">{#N/A,#N/A,FALSE,"REPORT"}</definedName>
    <definedName name="__ab1" localSheetId="3" hidden="1">{"comp1",#N/A,FALSE,"COMPS";"footnotes",#N/A,FALSE,"COMPS"}</definedName>
    <definedName name="__ab1" hidden="1">{"comp1",#N/A,FALSE,"COMPS";"footnotes",#N/A,FALSE,"COMPS"}</definedName>
    <definedName name="__abc1" localSheetId="3" hidden="1">{"detail",#N/A,FALSE,"mfg";"summary",#N/A,FALSE,"mfg"}</definedName>
    <definedName name="__abc1" hidden="1">{"detail",#N/A,FALSE,"mfg";"summary",#N/A,FALSE,"mfg"}</definedName>
    <definedName name="__abc2" localSheetId="3" hidden="1">{"detail",#N/A,FALSE,"mfg";"summary",#N/A,FALSE,"mfg"}</definedName>
    <definedName name="__abc2" hidden="1">{"detail",#N/A,FALSE,"mfg";"summary",#N/A,FALSE,"mfg"}</definedName>
    <definedName name="__abc3" localSheetId="3" hidden="1">{"detail",#N/A,FALSE,"mfg";"summary",#N/A,FALSE,"mfg"}</definedName>
    <definedName name="__abc3" hidden="1">{"detail",#N/A,FALSE,"mfg";"summary",#N/A,FALSE,"mfg"}</definedName>
    <definedName name="__ACS2000" localSheetId="3" hidden="1">{#N/A,#N/A,FALSE,"REPORT"}</definedName>
    <definedName name="__ACS2000" hidden="1">{#N/A,#N/A,FALSE,"REPORT"}</definedName>
    <definedName name="__ACS2000_1" localSheetId="3" hidden="1">{#N/A,#N/A,FALSE,"REPORT"}</definedName>
    <definedName name="__ACS2000_1" hidden="1">{#N/A,#N/A,FALSE,"REPORT"}</definedName>
    <definedName name="__ACS2000_2" localSheetId="3" hidden="1">{#N/A,#N/A,FALSE,"REPORT"}</definedName>
    <definedName name="__ACS2000_2" hidden="1">{#N/A,#N/A,FALSE,"REPORT"}</definedName>
    <definedName name="__ACS2000_3" localSheetId="3" hidden="1">{#N/A,#N/A,FALSE,"REPORT"}</definedName>
    <definedName name="__ACS2000_3" hidden="1">{#N/A,#N/A,FALSE,"REPORT"}</definedName>
    <definedName name="__ACS2000_4" localSheetId="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localSheetId="3" hidden="1">{#N/A,#N/A,FALSE,"Calc";#N/A,#N/A,FALSE,"Sensitivity";#N/A,#N/A,FALSE,"LT Earn.Dil.";#N/A,#N/A,FALSE,"Dil. AVP"}</definedName>
    <definedName name="__ae1" hidden="1">{#N/A,#N/A,FALSE,"Calc";#N/A,#N/A,FALSE,"Sensitivity";#N/A,#N/A,FALSE,"LT Earn.Dil.";#N/A,#N/A,FALSE,"Dil. AVP"}</definedName>
    <definedName name="__am1" localSheetId="3" hidden="1">{#N/A,#N/A,TRUE,"Pro Forma";#N/A,#N/A,TRUE,"PF_Bal";#N/A,#N/A,TRUE,"PF_INC";#N/A,#N/A,TRUE,"CBE";#N/A,#N/A,TRUE,"SWK"}</definedName>
    <definedName name="__am1" hidden="1">{#N/A,#N/A,TRUE,"Pro Forma";#N/A,#N/A,TRUE,"PF_Bal";#N/A,#N/A,TRUE,"PF_INC";#N/A,#N/A,TRUE,"CBE";#N/A,#N/A,TRUE,"SWK"}</definedName>
    <definedName name="__ap2" localSheetId="3" hidden="1">{"detail",#N/A,FALSE,"mfg";"summary",#N/A,FALSE,"mfg"}</definedName>
    <definedName name="__ap2" hidden="1">{"detail",#N/A,FALSE,"mfg";"summary",#N/A,FALSE,"mfg"}</definedName>
    <definedName name="__apb25">#REF!</definedName>
    <definedName name="__app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localSheetId="3" hidden="1">{"comp1",#N/A,FALSE,"COMPS";"footnotes",#N/A,FALSE,"COMPS"}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localSheetId="4" hidden="1">{"ww",#N/A,FALSE,"Hospital Products";"us",#N/A,FALSE,"Hospital Products";"in",#N/A,FALSE,"Hospital Products"}</definedName>
    <definedName name="__B" localSheetId="3" hidden="1">{"ww",#N/A,FALSE,"Hospital Products";"us",#N/A,FALSE,"Hospital Products";"in",#N/A,FALSE,"Hospital Products"}</definedName>
    <definedName name="__B" hidden="1">{"ww",#N/A,FALSE,"Hospital Products";"us",#N/A,FALSE,"Hospital Products";"in",#N/A,FALSE,"Hospital Products"}</definedName>
    <definedName name="__b111" localSheetId="3" hidden="1">{#N/A,#N/A,FALSE,"Pharm";#N/A,#N/A,FALSE,"WWCM"}</definedName>
    <definedName name="__b111" hidden="1">{#N/A,#N/A,FALSE,"Pharm";#N/A,#N/A,FALSE,"WWCM"}</definedName>
    <definedName name="__b111_1" localSheetId="3" hidden="1">{#N/A,#N/A,FALSE,"Pharm";#N/A,#N/A,FALSE,"WWCM"}</definedName>
    <definedName name="__b111_1" hidden="1">{#N/A,#N/A,FALSE,"Pharm";#N/A,#N/A,FALSE,"WWCM"}</definedName>
    <definedName name="__b111_2" localSheetId="3" hidden="1">{#N/A,#N/A,FALSE,"Pharm";#N/A,#N/A,FALSE,"WWCM"}</definedName>
    <definedName name="__b111_2" hidden="1">{#N/A,#N/A,FALSE,"Pharm";#N/A,#N/A,FALSE,"WWCM"}</definedName>
    <definedName name="__b111_3" localSheetId="3" hidden="1">{#N/A,#N/A,FALSE,"Pharm";#N/A,#N/A,FALSE,"WWCM"}</definedName>
    <definedName name="__b111_3" hidden="1">{#N/A,#N/A,FALSE,"Pharm";#N/A,#N/A,FALSE,"WWCM"}</definedName>
    <definedName name="__b111_4" localSheetId="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localSheetId="3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c_1" localSheetId="3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localSheetId="3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localSheetId="3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localSheetId="3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localSheetId="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localSheetId="3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localSheetId="3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localSheetId="3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localSheetId="3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localSheetId="3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localSheetId="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localSheetId="3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localSheetId="3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localSheetId="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localSheetId="3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localSheetId="3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localSheetId="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localSheetId="3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localSheetId="3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localSheetId="3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localSheetId="3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localSheetId="3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localSheetId="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localSheetId="3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localSheetId="3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localSheetId="3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localSheetId="3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localSheetId="3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localSheetId="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localSheetId="3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[9]מדדים!$E$32</definedName>
    <definedName name="__cpi95">#REF!</definedName>
    <definedName name="__cpi96">#REF!</definedName>
    <definedName name="__cpi97">#REF!</definedName>
    <definedName name="__cpi996">#REF!</definedName>
    <definedName name="__D33" localSheetId="3" hidden="1">{"Olk by Qtr Full",#N/A,FALSE,"Tot PalmPalm";"Olk by Qtr Full",#N/A,FALSE,"Tot Device";"Olk by Qtr Full",#N/A,FALSE,"Platform";"Olk by Qtr Full",#N/A,FALSE,"Palm.Net";"Olk by Qtr Full",#N/A,FALSE,"Elim"}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localSheetId="3" hidden="1">{"Back Page",#N/A,FALSE,"Front and Back"}</definedName>
    <definedName name="__DCF1" hidden="1">{"Back Page",#N/A,FALSE,"Front and Back"}</definedName>
    <definedName name="__DCF2">#REF!</definedName>
    <definedName name="_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localSheetId="3" hidden="1">{#N/A,"PURCHM",FALSE,"Business Analysis";#N/A,"SPADD",FALSE,"Business Analysis"}</definedName>
    <definedName name="__dwa1" hidden="1">{#N/A,"PURCHM",FALSE,"Business Analysis";#N/A,"SPADD",FALSE,"Business Analysis"}</definedName>
    <definedName name="__EF3">10</definedName>
    <definedName name="__EPO2" localSheetId="4" hidden="1">{"ww",#N/A,FALSE,"Hospital Products";"us",#N/A,FALSE,"Hospital Products";"in",#N/A,FALSE,"Hospital Products"}</definedName>
    <definedName name="__EPO2" localSheetId="3" hidden="1">{"ww",#N/A,FALSE,"Hospital Products";"us",#N/A,FALSE,"Hospital Products";"in",#N/A,FALSE,"Hospital Products"}</definedName>
    <definedName name="__EPO2" hidden="1">{"ww",#N/A,FALSE,"Hospital Products";"us",#N/A,FALSE,"Hospital Products";"in",#N/A,FALSE,"Hospital Products"}</definedName>
    <definedName name="__EPO3" localSheetId="4" hidden="1">{"ww",#N/A,FALSE,"Hospital Products";"us",#N/A,FALSE,"Hospital Products";"in",#N/A,FALSE,"Hospital Products"}</definedName>
    <definedName name="__EPO3" localSheetId="3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localSheetId="4" hidden="1">{"ww",#N/A,FALSE,"Hospital Products";"us",#N/A,FALSE,"Hospital Products";"in",#N/A,FALSE,"Hospital Products"}</definedName>
    <definedName name="__EPO4" localSheetId="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localSheetId="3" hidden="1">{"Comp_of_Price_Effect",#N/A,FALSE,"QTRDPVAR"}</definedName>
    <definedName name="__eu93" hidden="1">{"Comp_of_Price_Effect",#N/A,FALSE,"QTRDPVAR"}</definedName>
    <definedName name="__Exp2">'[10]Temp 2'!#REF!</definedName>
    <definedName name="__f1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localSheetId="3" hidden="1">{"incomemth",#N/A,TRUE,"forecast00";"incomepercentmth",#N/A,TRUE,"forecast00";"balancemth",#N/A,TRUE,"forecast00";"cashmth",#N/A,TRUE,"forecast00";"covenantmth",#N/A,TRUE,"forecast00"}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localSheetId="3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 localSheetId="3">{152,168,338,189,173,195,158,390,7,11,232,378,159,175,261,183,177,129,8,155,265,394,57}</definedName>
    <definedName name="__FDS_USED_FOR_REUSING_RANGE_IDS_RECYCLE">{152,168,338,189,173,195,158,390,7,11,232,378,159,175,261,183,177,129,8,155,265,394,57}</definedName>
    <definedName name="__FDS_USED_FOR_REUSING_RANGE_IDS_RECYCLE_1" localSheetId="3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localSheetId="3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localSheetId="3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localSheetId="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localSheetId="3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gf1" localSheetId="3" hidden="1">{"incomemth",#N/A,TRUE,"forecast00";"incomepercentmth",#N/A,TRUE,"forecast00";"balancemth",#N/A,TRUE,"forecast00";"cashmth",#N/A,TRUE,"forecast00";"covenantmth",#N/A,TRUE,"forecast00"}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localSheetId="3" hidden="1">{#N/A,#N/A,FALSE,"PMTABB";#N/A,#N/A,FALSE,"PMTABB"}</definedName>
    <definedName name="__Grp16" hidden="1">{#N/A,#N/A,FALSE,"PMTABB";#N/A,#N/A,FALSE,"PMTABB"}</definedName>
    <definedName name="__hc1" localSheetId="3" hidden="1">{"fy96q1",#N/A,FALSE,"Q1FY96";"fy96q2",#N/A,FALSE,"Q2FY96";"fy96q3",#N/A,FALSE,"Q3FY96";"fy96q4",#N/A,FALSE,"Q4FY96";"fy96fcst",#N/A,FALSE,"FY96 FCST";"fy97q1",#N/A,FALSE,"Q1FY97";"fy97q2",#N/A,FALSE,"Q2FY97"}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localSheetId="3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localSheetId="3" hidden="1">{"casespecific",#N/A,FALSE,"Assumptions"}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localSheetId="3" hidden="1">{"table",#N/A,FALSE,"COVER";"income_statement",#N/A,FALSE,"COVER"}</definedName>
    <definedName name="__m1" hidden="1">{"table",#N/A,FALSE,"COVER";"income_statement",#N/A,FALSE,"COVER"}</definedName>
    <definedName name="__m2" localSheetId="3" hidden="1">{"table",#N/A,FALSE,"COVER";"income_statement",#N/A,FALSE,"COVER"}</definedName>
    <definedName name="__m2" hidden="1">{"table",#N/A,FALSE,"COVER";"income_statement",#N/A,FALSE,"COVER"}</definedName>
    <definedName name="__m3" localSheetId="3" hidden="1">{"table",#N/A,FALSE,"COVER";"income_statement",#N/A,FALSE,"COVER"}</definedName>
    <definedName name="__m3" hidden="1">{"table",#N/A,FALSE,"COVER";"income_statement",#N/A,FALSE,"COVER"}</definedName>
    <definedName name="__m4" localSheetId="3" hidden="1">{"table",#N/A,FALSE,"COVER";"income_statement",#N/A,FALSE,"COVER"}</definedName>
    <definedName name="__m4" hidden="1">{"table",#N/A,FALSE,"COVER";"income_statement",#N/A,FALSE,"COVER"}</definedName>
    <definedName name="__m5" localSheetId="3" hidden="1">{"table",#N/A,FALSE,"COVER";"income_statement",#N/A,FALSE,"COVER"}</definedName>
    <definedName name="__m5" hidden="1">{"table",#N/A,FALSE,"COVER";"income_statement",#N/A,FALSE,"COVER"}</definedName>
    <definedName name="__m6" localSheetId="3" hidden="1">{"table",#N/A,FALSE,"COVER";"income_statement",#N/A,FALSE,"COVER"}</definedName>
    <definedName name="__m6" hidden="1">{"table",#N/A,FALSE,"COVER";"income_statement",#N/A,FALSE,"COVER"}</definedName>
    <definedName name="__m7" localSheetId="3" hidden="1">{"table",#N/A,FALSE,"COVER";"income_statement",#N/A,FALSE,"COVER"}</definedName>
    <definedName name="__m7" hidden="1">{"table",#N/A,FALSE,"COVER";"income_statement",#N/A,FALSE,"COVER"}</definedName>
    <definedName name="__m8" localSheetId="3" hidden="1">{"table",#N/A,FALSE,"COVER";"income_statement",#N/A,FALSE,"COVER"}</definedName>
    <definedName name="__m8" hidden="1">{"table",#N/A,FALSE,"COVER";"income_statement",#N/A,FALSE,"COVER"}</definedName>
    <definedName name="__m9" localSheetId="3" hidden="1">{"table",#N/A,FALSE,"COVER";"income_statement",#N/A,FALSE,"COVER"}</definedName>
    <definedName name="__m9" hidden="1">{"table",#N/A,FALSE,"COVER";"income_statement",#N/A,FALSE,"COVER"}</definedName>
    <definedName name="__mdc2" localSheetId="3" hidden="1">{#N/A,#N/A,FALSE,"Sheet1"}</definedName>
    <definedName name="__mdc2" hidden="1">{#N/A,#N/A,FALSE,"Sheet1"}</definedName>
    <definedName name="__MHA1" localSheetId="4" hidden="1">{"rtn",#N/A,FALSE,"RTN";"tables",#N/A,FALSE,"RTN";"cf",#N/A,FALSE,"CF";"stats",#N/A,FALSE,"Stats";"prop",#N/A,FALSE,"Prop"}</definedName>
    <definedName name="__MHA1" localSheetId="3" hidden="1">{"rtn",#N/A,FALSE,"RTN";"tables",#N/A,FALSE,"RTN";"cf",#N/A,FALSE,"CF";"stats",#N/A,FALSE,"Stats";"prop",#N/A,FALSE,"Prop"}</definedName>
    <definedName name="__MHA1" hidden="1">{"rtn",#N/A,FALSE,"RTN";"tables",#N/A,FALSE,"RTN";"cf",#N/A,FALSE,"CF";"stats",#N/A,FALSE,"Stats";"prop",#N/A,FALSE,"Prop"}</definedName>
    <definedName name="__MHA1_1" localSheetId="4" hidden="1">{"rtn",#N/A,FALSE,"RTN";"tables",#N/A,FALSE,"RTN";"cf",#N/A,FALSE,"CF";"stats",#N/A,FALSE,"Stats";"prop",#N/A,FALSE,"Prop"}</definedName>
    <definedName name="__MHA1_1" localSheetId="3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localSheetId="3" hidden="1">{"detail",#N/A,FALSE,"mfg";"summary",#N/A,FALSE,"mfg"}</definedName>
    <definedName name="__mno9" hidden="1">{"detail",#N/A,FALSE,"mfg";"summary",#N/A,FALSE,"mfg"}</definedName>
    <definedName name="_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localSheetId="3" hidden="1">{#N/A,#N/A,FALSE,"Pharm";#N/A,#N/A,FALSE,"WWCM"}</definedName>
    <definedName name="__new1_1" hidden="1">{#N/A,#N/A,FALSE,"Pharm";#N/A,#N/A,FALSE,"WWCM"}</definedName>
    <definedName name="__new1_2" localSheetId="3" hidden="1">{#N/A,#N/A,FALSE,"Pharm";#N/A,#N/A,FALSE,"WWCM"}</definedName>
    <definedName name="__new1_2" hidden="1">{#N/A,#N/A,FALSE,"Pharm";#N/A,#N/A,FALSE,"WWCM"}</definedName>
    <definedName name="__new1_3" localSheetId="3" hidden="1">{#N/A,#N/A,FALSE,"Pharm";#N/A,#N/A,FALSE,"WWCM"}</definedName>
    <definedName name="__new1_3" hidden="1">{#N/A,#N/A,FALSE,"Pharm";#N/A,#N/A,FALSE,"WWCM"}</definedName>
    <definedName name="__new1_4" localSheetId="3" hidden="1">{#N/A,#N/A,FALSE,"Pharm";#N/A,#N/A,FALSE,"WWCM"}</definedName>
    <definedName name="__new1_4" hidden="1">{#N/A,#N/A,FALSE,"Pharm";#N/A,#N/A,FALSE,"WWCM"}</definedName>
    <definedName name="_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'[11]מגנזיום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 localSheetId="3">{"adj95mult",#N/A,FALSE,"COMPCO";"adj95est",#N/A,FALSE,"COMPCO"}</definedName>
    <definedName name="__PRN2">{"adj95mult",#N/A,FALSE,"COMPCO";"adj95est",#N/A,FALSE,"COMPCO"}</definedName>
    <definedName name="_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localSheetId="3" hidden="1">{0,0,0,0;0,0,0,0;0,0,0,0;0,0,0,0;0,0,0,0;0,0,0,0}</definedName>
    <definedName name="__qw2" hidden="1">{0,0,0,0;0,0,0,0;0,0,0,0;0,0,0,0;0,0,0,0;0,0,0,0}</definedName>
    <definedName name="__qwe123" localSheetId="4" hidden="1">{#N/A,#N/A,FALSE,"Aging Summary";#N/A,#N/A,FALSE,"Ratio Analysis";#N/A,#N/A,FALSE,"Test 120 Day Accts";#N/A,#N/A,FALSE,"Tickmarks"}</definedName>
    <definedName name="__qwe123" localSheetId="3" hidden="1">{#N/A,#N/A,FALSE,"Aging Summary";#N/A,#N/A,FALSE,"Ratio Analysis";#N/A,#N/A,FALSE,"Test 120 Day Accts";#N/A,#N/A,FALSE,"Tickmarks"}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localSheetId="3" hidden="1">{#N/A,#N/A,FALSE,"Pharm";#N/A,#N/A,FALSE,"WWCM"}</definedName>
    <definedName name="__r_1" hidden="1">{#N/A,#N/A,FALSE,"Pharm";#N/A,#N/A,FALSE,"WWCM"}</definedName>
    <definedName name="__r_2" localSheetId="3" hidden="1">{#N/A,#N/A,FALSE,"Pharm";#N/A,#N/A,FALSE,"WWCM"}</definedName>
    <definedName name="__r_2" hidden="1">{#N/A,#N/A,FALSE,"Pharm";#N/A,#N/A,FALSE,"WWCM"}</definedName>
    <definedName name="__r_3" localSheetId="3" hidden="1">{#N/A,#N/A,FALSE,"Pharm";#N/A,#N/A,FALSE,"WWCM"}</definedName>
    <definedName name="__r_3" hidden="1">{#N/A,#N/A,FALSE,"Pharm";#N/A,#N/A,FALSE,"WWCM"}</definedName>
    <definedName name="__r_4" localSheetId="3" hidden="1">{#N/A,#N/A,FALSE,"Pharm";#N/A,#N/A,FALSE,"WWCM"}</definedName>
    <definedName name="__r_4" hidden="1">{#N/A,#N/A,FALSE,"Pharm";#N/A,#N/A,FALSE,"WWCM"}</definedName>
    <definedName name="_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localSheetId="3" hidden="1">{#N/A,#N/A,FALSE,"Projections";#N/A,#N/A,FALSE,"Multiples Valuation";#N/A,#N/A,FALSE,"LBO";#N/A,#N/A,FALSE,"Multiples_Sensitivity";#N/A,#N/A,FALSE,"Summary"}</definedName>
    <definedName name="__rod1" hidden="1">{#N/A,#N/A,FALSE,"Projections";#N/A,#N/A,FALSE,"Multiples Valuation";#N/A,#N/A,FALSE,"LBO";#N/A,#N/A,FALSE,"Multiples_Sensitivity";#N/A,#N/A,FALSE,"Summary"}</definedName>
    <definedName name="__s34" localSheetId="3" hidden="1">{"QTD_GENERALH2",#N/A,FALSE,"QTD"}</definedName>
    <definedName name="__s34" hidden="1">{"QTD_GENERALH2",#N/A,FALSE,"QTD"}</definedName>
    <definedName name="__sd34" localSheetId="3" hidden="1">{"QTD",#N/A,FALSE,"SUM"}</definedName>
    <definedName name="__sd34" hidden="1">{"QTD",#N/A,FALSE,"SUM"}</definedName>
    <definedName name="__SUB2">#REF!</definedName>
    <definedName name="__t1" localSheetId="3" hidden="1">{"Client is",#N/A,FALSE,"Client"}</definedName>
    <definedName name="__t1" hidden="1">{"Client is",#N/A,FALSE,"Client"}</definedName>
    <definedName name="__t9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localSheetId="3" hidden="1">{"'Expense Details'!$A$1:$AM$222"}</definedName>
    <definedName name="__tes2" hidden="1">{"'Expense Details'!$A$1:$AM$222"}</definedName>
    <definedName name="__tm1" localSheetId="3" hidden="1">{#N/A,#N/A,FALSE,"Pharm";#N/A,#N/A,FALSE,"WWCM"}</definedName>
    <definedName name="__tm1" hidden="1">{#N/A,#N/A,FALSE,"Pharm";#N/A,#N/A,FALSE,"WWCM"}</definedName>
    <definedName name="__tm1_1" localSheetId="3" hidden="1">{#N/A,#N/A,FALSE,"Pharm";#N/A,#N/A,FALSE,"WWCM"}</definedName>
    <definedName name="__tm1_1" hidden="1">{#N/A,#N/A,FALSE,"Pharm";#N/A,#N/A,FALSE,"WWCM"}</definedName>
    <definedName name="__tm1_2" localSheetId="3" hidden="1">{#N/A,#N/A,FALSE,"Pharm";#N/A,#N/A,FALSE,"WWCM"}</definedName>
    <definedName name="__tm1_2" hidden="1">{#N/A,#N/A,FALSE,"Pharm";#N/A,#N/A,FALSE,"WWCM"}</definedName>
    <definedName name="__tm1_3" localSheetId="3" hidden="1">{#N/A,#N/A,FALSE,"Pharm";#N/A,#N/A,FALSE,"WWCM"}</definedName>
    <definedName name="__tm1_3" hidden="1">{#N/A,#N/A,FALSE,"Pharm";#N/A,#N/A,FALSE,"WWCM"}</definedName>
    <definedName name="__tm1_4" localSheetId="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localSheetId="3" hidden="1">{#N/A,#N/A,FALSE,"FINAL"}</definedName>
    <definedName name="__VSK1" hidden="1">{#N/A,#N/A,FALSE,"FINAL"}</definedName>
    <definedName name="__VSK2" localSheetId="3" hidden="1">{#N/A,#N/A,FALSE,"FINAL"}</definedName>
    <definedName name="__VSK2" hidden="1">{#N/A,#N/A,FALSE,"FINAL"}</definedName>
    <definedName name="__w2" localSheetId="3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localSheetId="4" hidden="1">{"Annual",#N/A,FALSE,"Sales &amp; Market";"Quarterly",#N/A,FALSE,"Sales &amp; Market"}</definedName>
    <definedName name="__wrn1" localSheetId="3" hidden="1">{"Annual",#N/A,FALSE,"Sales &amp; Market";"Quarterly",#N/A,FALSE,"Sales &amp; Market"}</definedName>
    <definedName name="__wrn1" hidden="1">{"Annual",#N/A,FALSE,"Sales &amp; Market";"Quarterly",#N/A,FALSE,"Sales &amp; Market"}</definedName>
    <definedName name="__wrn2" localSheetId="4" hidden="1">{"client cfbs",#N/A,FALSE,"Client"}</definedName>
    <definedName name="__wrn2" localSheetId="3" hidden="1">{"client cfbs",#N/A,FALSE,"Client"}</definedName>
    <definedName name="__wrn2" hidden="1">{"client cfbs",#N/A,FALSE,"Client"}</definedName>
    <definedName name="__wrn3" localSheetId="4" hidden="1">{"client is",#N/A,FALSE,"Client"}</definedName>
    <definedName name="__wrn3" localSheetId="3" hidden="1">{"client is",#N/A,FALSE,"Client"}</definedName>
    <definedName name="__wrn3" hidden="1">{"client is",#N/A,FALSE,"Client"}</definedName>
    <definedName name="__wrn4" localSheetId="4" hidden="1">{"client stats",#N/A,FALSE,"Client"}</definedName>
    <definedName name="__wrn4" localSheetId="3" hidden="1">{"client stats",#N/A,FALSE,"Client"}</definedName>
    <definedName name="__wrn4" hidden="1">{"client stats",#N/A,FALSE,"Client"}</definedName>
    <definedName name="__wrn5" localSheetId="4" hidden="1">{"internal is",#N/A,FALSE,"Model"}</definedName>
    <definedName name="__wrn5" localSheetId="3" hidden="1">{"internal is",#N/A,FALSE,"Model"}</definedName>
    <definedName name="__wrn5" hidden="1">{"internal is",#N/A,FALSE,"Model"}</definedName>
    <definedName name="__wrn6" localSheetId="4" hidden="1">{"portrait letter is",#N/A,FALSE,"Model"}</definedName>
    <definedName name="__wrn6" localSheetId="3" hidden="1">{"portrait letter is",#N/A,FALSE,"Model"}</definedName>
    <definedName name="__wrn6" hidden="1">{"portrait letter is",#N/A,FALSE,"Model"}</definedName>
    <definedName name="__wrn7" localSheetId="4" hidden="1">{#N/A,#N/A,FALSE,"Financial";#N/A,#N/A,FALSE,"Balance Sheet";#N/A,#N/A,FALSE,"Income stmt";#N/A,#N/A,FALSE,"Ratio"}</definedName>
    <definedName name="__wrn7" localSheetId="3" hidden="1">{#N/A,#N/A,FALSE,"Financial";#N/A,#N/A,FALSE,"Balance Sheet";#N/A,#N/A,FALSE,"Income stmt";#N/A,#N/A,FALSE,"Ratio"}</definedName>
    <definedName name="__wrn7" hidden="1">{#N/A,#N/A,FALSE,"Financial";#N/A,#N/A,FALSE,"Balance Sheet";#N/A,#N/A,FALSE,"Income stmt";#N/A,#N/A,FALSE,"Ratio"}</definedName>
    <definedName name="__wtf2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localSheetId="3" hidden="1">{"detail",#N/A,FALSE,"mfg";"summary",#N/A,FALSE,"mfg"}</definedName>
    <definedName name="__x1" hidden="1">{"detail",#N/A,FALSE,"mfg";"summary",#N/A,FALSE,"mfg"}</definedName>
    <definedName name="__X2" localSheetId="3" hidden="1">{#N/A,#N/A,FALSE,"Other";#N/A,#N/A,FALSE,"Ace";#N/A,#N/A,FALSE,"Derm"}</definedName>
    <definedName name="__X2" hidden="1">{#N/A,#N/A,FALSE,"Other";#N/A,#N/A,FALSE,"Ace";#N/A,#N/A,FALSE,"Derm"}</definedName>
    <definedName name="__X2_1" localSheetId="3" hidden="1">{#N/A,#N/A,FALSE,"Other";#N/A,#N/A,FALSE,"Ace";#N/A,#N/A,FALSE,"Derm"}</definedName>
    <definedName name="__X2_1" hidden="1">{#N/A,#N/A,FALSE,"Other";#N/A,#N/A,FALSE,"Ace";#N/A,#N/A,FALSE,"Derm"}</definedName>
    <definedName name="__X2_2" localSheetId="3" hidden="1">{#N/A,#N/A,FALSE,"Other";#N/A,#N/A,FALSE,"Ace";#N/A,#N/A,FALSE,"Derm"}</definedName>
    <definedName name="__X2_2" hidden="1">{#N/A,#N/A,FALSE,"Other";#N/A,#N/A,FALSE,"Ace";#N/A,#N/A,FALSE,"Derm"}</definedName>
    <definedName name="__X2_3" localSheetId="3" hidden="1">{#N/A,#N/A,FALSE,"Other";#N/A,#N/A,FALSE,"Ace";#N/A,#N/A,FALSE,"Derm"}</definedName>
    <definedName name="__X2_3" hidden="1">{#N/A,#N/A,FALSE,"Other";#N/A,#N/A,FALSE,"Ace";#N/A,#N/A,FALSE,"Derm"}</definedName>
    <definedName name="__X2_4" localSheetId="3" hidden="1">{#N/A,#N/A,FALSE,"Other";#N/A,#N/A,FALSE,"Ace";#N/A,#N/A,FALSE,"Derm"}</definedName>
    <definedName name="__X2_4" hidden="1">{#N/A,#N/A,FALSE,"Other";#N/A,#N/A,FALSE,"Ace";#N/A,#N/A,FALSE,"Derm"}</definedName>
    <definedName name="__x3" localSheetId="3" hidden="1">{"detail",#N/A,FALSE,"mfg";"summary",#N/A,FALSE,"mfg"}</definedName>
    <definedName name="__x3" hidden="1">{"detail",#N/A,FALSE,"mfg";"summary",#N/A,FALSE,"mfg"}</definedName>
    <definedName name="__x4" localSheetId="3" hidden="1">{#N/A,"PURCHM",FALSE,"Business Analysis";#N/A,"SPADD",FALSE,"Business Analysis"}</definedName>
    <definedName name="__x4" hidden="1">{#N/A,"PURCHM",FALSE,"Business Analysis";#N/A,"SPADD",FALSE,"Business Analysis"}</definedName>
    <definedName name="_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localSheetId="3" hidden="1">{#N/A,#N/A,FALSE,"CMN_FE"}</definedName>
    <definedName name="__xx1" hidden="1">{#N/A,#N/A,FALSE,"CMN_FE"}</definedName>
    <definedName name="__xx10" localSheetId="3" hidden="1">{#N/A,"PURCHM",FALSE,"Business Analysis";#N/A,"SPADD",FALSE,"Business Analysis"}</definedName>
    <definedName name="__xx10" hidden="1">{#N/A,"PURCHM",FALSE,"Business Analysis";#N/A,"SPADD",FALSE,"Business Analysis"}</definedName>
    <definedName name="__xx3" localSheetId="3" hidden="1">{"detail",#N/A,FALSE,"mfg";"summary",#N/A,FALSE,"mfg"}</definedName>
    <definedName name="__xx3" hidden="1">{"detail",#N/A,FALSE,"mfg";"summary",#N/A,FALSE,"mfg"}</definedName>
    <definedName name="_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localSheetId="3" hidden="1">{"oct_res_comm",#N/A,FALSE,"VarToBud"}</definedName>
    <definedName name="__xx7" hidden="1">{"oct_res_comm",#N/A,FALSE,"VarToBud"}</definedName>
    <definedName name="_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localSheetId="3" hidden="1">{"AS REP",#N/A,FALSE,"EEFSNAP2";"PROP",#N/A,FALSE,"EEFSNAP2";"RISKS",#N/A,FALSE,"EEFSNAP2";"VIEW ALL",#N/A,FALSE,"EEFSNAP2"}</definedName>
    <definedName name="__xx9" hidden="1">{"AS REP",#N/A,FALSE,"EEFSNAP2";"PROP",#N/A,FALSE,"EEFSNAP2";"RISKS",#N/A,FALSE,"EEFSNAP2";"VIEW ALL",#N/A,FALSE,"EEFSNAP2"}</definedName>
    <definedName name="__xz4" localSheetId="3" hidden="1">{0,0,0,0;0,0,0,0;0,0,0,0;0,0,0,0;0,0,0,0;0,0,0,0}</definedName>
    <definedName name="__xz4" hidden="1">{0,0,0,0;0,0,0,0;0,0,0,0;0,0,0,0;0,0,0,0;0,0,0,0}</definedName>
    <definedName name="_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localSheetId="3" hidden="1">{"pro_view",#N/A,FALSE,"EEFSNAP2";"rep_view",#N/A,FALSE,"EEFSNAP2"}</definedName>
    <definedName name="__z12" hidden="1">{"pro_view",#N/A,FALSE,"EEFSNAP2";"rep_view",#N/A,FALSE,"EEFSNAP2"}</definedName>
    <definedName name="_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localSheetId="3" hidden="1">{"detail",#N/A,FALSE,"mfg";"summary",#N/A,FALSE,"mfg"}</definedName>
    <definedName name="__z25" hidden="1">{"detail",#N/A,FALSE,"mfg";"summary",#N/A,FALSE,"mfg"}</definedName>
    <definedName name="__zz1" localSheetId="3" hidden="1">{"pro_view",#N/A,FALSE,"EEFSNAP2";"rep_view",#N/A,FALSE,"EEFSNAP2"}</definedName>
    <definedName name="__zz1" hidden="1">{"pro_view",#N/A,FALSE,"EEFSNAP2";"rep_view",#N/A,FALSE,"EEFSNAP2"}</definedName>
    <definedName name="_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[12]מחירון!#REF!</definedName>
    <definedName name="_013Mobile_EXTRA">[12]מחירון!#REF!</definedName>
    <definedName name="_013Mobile_EXTRA_עסקי">[13]מחירון!$D$50</definedName>
    <definedName name="_013Mobile_עסקי">[13]מחירון!$A$43:$D$50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'[14]שמ"מ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 localSheetId="3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localSheetId="3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localSheetId="3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localSheetId="3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localSheetId="3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localSheetId="3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localSheetId="3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localSheetId="3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localSheetId="3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localSheetId="3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localSheetId="3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localSheetId="3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localSheetId="3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localSheetId="3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localSheetId="3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localSheetId="3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localSheetId="3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localSheetId="3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localSheetId="3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localSheetId="3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localSheetId="3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localSheetId="3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localSheetId="3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localSheetId="3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localSheetId="3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localSheetId="3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localSheetId="3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localSheetId="3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localSheetId="3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localSheetId="3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localSheetId="3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localSheetId="3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localSheetId="3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localSheetId="3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localSheetId="3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localSheetId="3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localSheetId="3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localSheetId="3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localSheetId="3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localSheetId="3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localSheetId="3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localSheetId="3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localSheetId="3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localSheetId="3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localSheetId="3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localSheetId="3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localSheetId="3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localSheetId="3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localSheetId="3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localSheetId="3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localSheetId="3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localSheetId="3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localSheetId="3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localSheetId="3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localSheetId="3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localSheetId="3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localSheetId="3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localSheetId="3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localSheetId="3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localSheetId="3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localSheetId="3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localSheetId="3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localSheetId="3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localSheetId="3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localSheetId="3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localSheetId="3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localSheetId="3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localSheetId="3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localSheetId="3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localSheetId="3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localSheetId="3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localSheetId="3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localSheetId="3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localSheetId="3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localSheetId="3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localSheetId="3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localSheetId="3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localSheetId="3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localSheetId="3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localSheetId="3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localSheetId="3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localSheetId="3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localSheetId="3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localSheetId="3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localSheetId="3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localSheetId="3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localSheetId="3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localSheetId="3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localSheetId="3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localSheetId="3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localSheetId="3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localSheetId="3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localSheetId="3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localSheetId="3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localSheetId="3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localSheetId="3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localSheetId="3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localSheetId="3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localSheetId="3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localSheetId="3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localSheetId="3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localSheetId="3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localSheetId="3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localSheetId="3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localSheetId="3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localSheetId="3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localSheetId="3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'[14]שמ"מ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localSheetId="3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localSheetId="3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localSheetId="3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localSheetId="3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localSheetId="3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localSheetId="3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localSheetId="3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localSheetId="3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localSheetId="3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localSheetId="3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localSheetId="3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localSheetId="3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localSheetId="3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localSheetId="3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localSheetId="3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localSheetId="3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localSheetId="3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localSheetId="3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localSheetId="3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localSheetId="3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localSheetId="3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localSheetId="3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localSheetId="3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 localSheetId="3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localSheetId="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localSheetId="3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localSheetId="3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localSheetId="3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localSheetId="3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localSheetId="3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localSheetId="3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localSheetId="3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localSheetId="3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localSheetId="3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localSheetId="3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localSheetId="3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localSheetId="3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localSheetId="3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localSheetId="3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localSheetId="3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localSheetId="3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localSheetId="3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localSheetId="3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localSheetId="3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localSheetId="3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localSheetId="3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localSheetId="3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localSheetId="3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localSheetId="3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localSheetId="3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localSheetId="3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localSheetId="3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localSheetId="3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localSheetId="3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localSheetId="3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localSheetId="3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localSheetId="3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localSheetId="3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localSheetId="3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localSheetId="3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localSheetId="3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localSheetId="3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localSheetId="3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localSheetId="3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localSheetId="3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localSheetId="3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localSheetId="3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localSheetId="3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localSheetId="3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localSheetId="3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localSheetId="3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localSheetId="3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localSheetId="3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localSheetId="3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localSheetId="3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 localSheetId="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localSheetId="3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'[14]שמ"מ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localSheetId="3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localSheetId="3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localSheetId="3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localSheetId="3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'[14]שמ"מ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'[15]ער"ז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localSheetId="3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localSheetId="3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localSheetId="3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localSheetId="3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localSheetId="3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 localSheetId="3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localSheetId="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localSheetId="3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localSheetId="3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localSheetId="3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localSheetId="3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localSheetId="3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localSheetId="3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localSheetId="3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localSheetId="3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localSheetId="3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localSheetId="3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localSheetId="3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localSheetId="3" hidden="1">{#N/A,#N/A,FALSE,"²Ä1­Ó¤ë"}</definedName>
    <definedName name="_15wrn.²Ä1­Ó¤ë1_Ü20¤H." hidden="1">{#N/A,#N/A,FALSE,"²Ä1­Ó¤ë"}</definedName>
    <definedName name="_15wrn.²Ä1­Ó¤ë1_Ü20¤H._1" localSheetId="3" hidden="1">{#N/A,#N/A,FALSE,"²Ä1­Ó¤ë"}</definedName>
    <definedName name="_15wrn.²Ä1­Ó¤ë1_Ü20¤H._1" hidden="1">{#N/A,#N/A,FALSE,"²Ä1­Ó¤ë"}</definedName>
    <definedName name="_15wrn.²Ä1­Ó¤ë1_Ü20¤H._1_1" localSheetId="3" hidden="1">{#N/A,#N/A,FALSE,"²Ä1­Ó¤ë"}</definedName>
    <definedName name="_15wrn.²Ä1­Ó¤ë1_Ü20¤H._1_1" hidden="1">{#N/A,#N/A,FALSE,"²Ä1­Ó¤ë"}</definedName>
    <definedName name="_15wrn.²Ä1­Ó¤ë1_Ü20¤H._1_2" localSheetId="3" hidden="1">{#N/A,#N/A,FALSE,"²Ä1­Ó¤ë"}</definedName>
    <definedName name="_15wrn.²Ä1­Ó¤ë1_Ü20¤H._1_2" hidden="1">{#N/A,#N/A,FALSE,"²Ä1­Ó¤ë"}</definedName>
    <definedName name="_15wrn.²Ä1­Ó¤ë1_Ü20¤H._1_3" localSheetId="3" hidden="1">{#N/A,#N/A,FALSE,"²Ä1­Ó¤ë"}</definedName>
    <definedName name="_15wrn.²Ä1­Ó¤ë1_Ü20¤H._1_3" hidden="1">{#N/A,#N/A,FALSE,"²Ä1­Ó¤ë"}</definedName>
    <definedName name="_15wrn.²Ä1­Ó¤ë1_Ü20¤H._1_4" localSheetId="3" hidden="1">{#N/A,#N/A,FALSE,"²Ä1­Ó¤ë"}</definedName>
    <definedName name="_15wrn.²Ä1­Ó¤ë1_Ü20¤H._1_4" hidden="1">{#N/A,#N/A,FALSE,"²Ä1­Ó¤ë"}</definedName>
    <definedName name="_15wrn.²Ä1­Ó¤ë1_Ü20¤H._1_5" localSheetId="3" hidden="1">{#N/A,#N/A,FALSE,"²Ä1­Ó¤ë"}</definedName>
    <definedName name="_15wrn.²Ä1­Ó¤ë1_Ü20¤H._1_5" hidden="1">{#N/A,#N/A,FALSE,"²Ä1­Ó¤ë"}</definedName>
    <definedName name="_15wrn.²Ä1­Ó¤ë1_Ü20¤H._2" localSheetId="3" hidden="1">{#N/A,#N/A,FALSE,"²Ä1­Ó¤ë"}</definedName>
    <definedName name="_15wrn.²Ä1­Ó¤ë1_Ü20¤H._2" hidden="1">{#N/A,#N/A,FALSE,"²Ä1­Ó¤ë"}</definedName>
    <definedName name="_15wrn.²Ä1­Ó¤ë1_Ü20¤H._2_1" localSheetId="3" hidden="1">{#N/A,#N/A,FALSE,"²Ä1­Ó¤ë"}</definedName>
    <definedName name="_15wrn.²Ä1­Ó¤ë1_Ü20¤H._2_1" hidden="1">{#N/A,#N/A,FALSE,"²Ä1­Ó¤ë"}</definedName>
    <definedName name="_15wrn.²Ä1­Ó¤ë1_Ü20¤H._2_2" localSheetId="3" hidden="1">{#N/A,#N/A,FALSE,"²Ä1­Ó¤ë"}</definedName>
    <definedName name="_15wrn.²Ä1­Ó¤ë1_Ü20¤H._2_2" hidden="1">{#N/A,#N/A,FALSE,"²Ä1­Ó¤ë"}</definedName>
    <definedName name="_15wrn.²Ä1­Ó¤ë1_Ü20¤H._2_3" localSheetId="3" hidden="1">{#N/A,#N/A,FALSE,"²Ä1­Ó¤ë"}</definedName>
    <definedName name="_15wrn.²Ä1­Ó¤ë1_Ü20¤H._2_3" hidden="1">{#N/A,#N/A,FALSE,"²Ä1­Ó¤ë"}</definedName>
    <definedName name="_15wrn.²Ä1­Ó¤ë1_Ü20¤H._2_4" localSheetId="3" hidden="1">{#N/A,#N/A,FALSE,"²Ä1­Ó¤ë"}</definedName>
    <definedName name="_15wrn.²Ä1­Ó¤ë1_Ü20¤H._2_4" hidden="1">{#N/A,#N/A,FALSE,"²Ä1­Ó¤ë"}</definedName>
    <definedName name="_15wrn.²Ä1­Ó¤ë1_Ü20¤H._2_5" localSheetId="3" hidden="1">{#N/A,#N/A,FALSE,"²Ä1­Ó¤ë"}</definedName>
    <definedName name="_15wrn.²Ä1­Ó¤ë1_Ü20¤H._2_5" hidden="1">{#N/A,#N/A,FALSE,"²Ä1­Ó¤ë"}</definedName>
    <definedName name="_15wrn.²Ä1­Ó¤ë1_Ü20¤H._3" localSheetId="3" hidden="1">{#N/A,#N/A,FALSE,"²Ä1­Ó¤ë"}</definedName>
    <definedName name="_15wrn.²Ä1­Ó¤ë1_Ü20¤H._3" hidden="1">{#N/A,#N/A,FALSE,"²Ä1­Ó¤ë"}</definedName>
    <definedName name="_15wrn.²Ä1­Ó¤ë1_Ü20¤H._3_1" localSheetId="3" hidden="1">{#N/A,#N/A,FALSE,"²Ä1­Ó¤ë"}</definedName>
    <definedName name="_15wrn.²Ä1­Ó¤ë1_Ü20¤H._3_1" hidden="1">{#N/A,#N/A,FALSE,"²Ä1­Ó¤ë"}</definedName>
    <definedName name="_15wrn.²Ä1­Ó¤ë1_Ü20¤H._3_2" localSheetId="3" hidden="1">{#N/A,#N/A,FALSE,"²Ä1­Ó¤ë"}</definedName>
    <definedName name="_15wrn.²Ä1­Ó¤ë1_Ü20¤H._3_2" hidden="1">{#N/A,#N/A,FALSE,"²Ä1­Ó¤ë"}</definedName>
    <definedName name="_15wrn.²Ä1­Ó¤ë1_Ü20¤H._3_3" localSheetId="3" hidden="1">{#N/A,#N/A,FALSE,"²Ä1­Ó¤ë"}</definedName>
    <definedName name="_15wrn.²Ä1­Ó¤ë1_Ü20¤H._3_3" hidden="1">{#N/A,#N/A,FALSE,"²Ä1­Ó¤ë"}</definedName>
    <definedName name="_15wrn.²Ä1­Ó¤ë1_Ü20¤H._3_4" localSheetId="3" hidden="1">{#N/A,#N/A,FALSE,"²Ä1­Ó¤ë"}</definedName>
    <definedName name="_15wrn.²Ä1­Ó¤ë1_Ü20¤H._3_4" hidden="1">{#N/A,#N/A,FALSE,"²Ä1­Ó¤ë"}</definedName>
    <definedName name="_15wrn.²Ä1­Ó¤ë1_Ü20¤H._3_5" localSheetId="3" hidden="1">{#N/A,#N/A,FALSE,"²Ä1­Ó¤ë"}</definedName>
    <definedName name="_15wrn.²Ä1­Ó¤ë1_Ü20¤H._3_5" hidden="1">{#N/A,#N/A,FALSE,"²Ä1­Ó¤ë"}</definedName>
    <definedName name="_15wrn.²Ä1­Ó¤ë1_Ü20¤H._4" localSheetId="3" hidden="1">{#N/A,#N/A,FALSE,"²Ä1­Ó¤ë"}</definedName>
    <definedName name="_15wrn.²Ä1­Ó¤ë1_Ü20¤H._4" hidden="1">{#N/A,#N/A,FALSE,"²Ä1­Ó¤ë"}</definedName>
    <definedName name="_15wrn.²Ä1­Ó¤ë1_Ü20¤H._4_1" localSheetId="3" hidden="1">{#N/A,#N/A,FALSE,"²Ä1­Ó¤ë"}</definedName>
    <definedName name="_15wrn.²Ä1­Ó¤ë1_Ü20¤H._4_1" hidden="1">{#N/A,#N/A,FALSE,"²Ä1­Ó¤ë"}</definedName>
    <definedName name="_15wrn.²Ä1­Ó¤ë1_Ü20¤H._4_2" localSheetId="3" hidden="1">{#N/A,#N/A,FALSE,"²Ä1­Ó¤ë"}</definedName>
    <definedName name="_15wrn.²Ä1­Ó¤ë1_Ü20¤H._4_2" hidden="1">{#N/A,#N/A,FALSE,"²Ä1­Ó¤ë"}</definedName>
    <definedName name="_15wrn.²Ä1­Ó¤ë1_Ü20¤H._4_3" localSheetId="3" hidden="1">{#N/A,#N/A,FALSE,"²Ä1­Ó¤ë"}</definedName>
    <definedName name="_15wrn.²Ä1­Ó¤ë1_Ü20¤H._4_3" hidden="1">{#N/A,#N/A,FALSE,"²Ä1­Ó¤ë"}</definedName>
    <definedName name="_15wrn.²Ä1­Ó¤ë1_Ü20¤H._4_4" localSheetId="3" hidden="1">{#N/A,#N/A,FALSE,"²Ä1­Ó¤ë"}</definedName>
    <definedName name="_15wrn.²Ä1­Ó¤ë1_Ü20¤H._4_4" hidden="1">{#N/A,#N/A,FALSE,"²Ä1­Ó¤ë"}</definedName>
    <definedName name="_15wrn.²Ä1­Ó¤ë1_Ü20¤H._4_5" localSheetId="3" hidden="1">{#N/A,#N/A,FALSE,"²Ä1­Ó¤ë"}</definedName>
    <definedName name="_15wrn.²Ä1­Ó¤ë1_Ü20¤H._4_5" hidden="1">{#N/A,#N/A,FALSE,"²Ä1­Ó¤ë"}</definedName>
    <definedName name="_15wrn.²Ä1­Ó¤ë1_Ü20¤H._5" localSheetId="3" hidden="1">{#N/A,#N/A,FALSE,"²Ä1­Ó¤ë"}</definedName>
    <definedName name="_15wrn.²Ä1­Ó¤ë1_Ü20¤H._5" hidden="1">{#N/A,#N/A,FALSE,"²Ä1­Ó¤ë"}</definedName>
    <definedName name="_15wrn.²Ä1­Ó¤ë1_Ü20¤H._5_1" localSheetId="3" hidden="1">{#N/A,#N/A,FALSE,"²Ä1­Ó¤ë"}</definedName>
    <definedName name="_15wrn.²Ä1­Ó¤ë1_Ü20¤H._5_1" hidden="1">{#N/A,#N/A,FALSE,"²Ä1­Ó¤ë"}</definedName>
    <definedName name="_15wrn.²Ä1­Ó¤ë1_Ü20¤H._5_2" localSheetId="3" hidden="1">{#N/A,#N/A,FALSE,"²Ä1­Ó¤ë"}</definedName>
    <definedName name="_15wrn.²Ä1­Ó¤ë1_Ü20¤H._5_2" hidden="1">{#N/A,#N/A,FALSE,"²Ä1­Ó¤ë"}</definedName>
    <definedName name="_15wrn.²Ä1­Ó¤ë1_Ü20¤H._5_3" localSheetId="3" hidden="1">{#N/A,#N/A,FALSE,"²Ä1­Ó¤ë"}</definedName>
    <definedName name="_15wrn.²Ä1­Ó¤ë1_Ü20¤H._5_3" hidden="1">{#N/A,#N/A,FALSE,"²Ä1­Ó¤ë"}</definedName>
    <definedName name="_15wrn.²Ä1­Ó¤ë1_Ü20¤H._5_4" localSheetId="3" hidden="1">{#N/A,#N/A,FALSE,"²Ä1­Ó¤ë"}</definedName>
    <definedName name="_15wrn.²Ä1­Ó¤ë1_Ü20¤H._5_4" hidden="1">{#N/A,#N/A,FALSE,"²Ä1­Ó¤ë"}</definedName>
    <definedName name="_15wrn.²Ä1­Ó¤ë1_Ü20¤H._5_5" localSheetId="3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 localSheetId="3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localSheetId="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localSheetId="3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localSheetId="3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localSheetId="3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localSheetId="3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localSheetId="3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localSheetId="3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localSheetId="3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localSheetId="3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localSheetId="3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localSheetId="3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localSheetId="3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localSheetId="3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localSheetId="3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localSheetId="3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localSheetId="3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localSheetId="3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localSheetId="3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localSheetId="3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localSheetId="3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localSheetId="3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localSheetId="3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localSheetId="3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localSheetId="3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localSheetId="3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localSheetId="3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localSheetId="3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localSheetId="3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localSheetId="3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localSheetId="3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localSheetId="3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localSheetId="3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localSheetId="3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localSheetId="3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localSheetId="3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localSheetId="3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localSheetId="3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localSheetId="3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localSheetId="3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localSheetId="3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localSheetId="3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localSheetId="3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localSheetId="3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localSheetId="3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localSheetId="3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localSheetId="3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localSheetId="3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'[14]שמ"מ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 localSheetId="3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localSheetId="3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localSheetId="3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localSheetId="3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localSheetId="3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localSheetId="3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localSheetId="3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 localSheetId="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localSheetId="3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localSheetId="3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localSheetId="3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localSheetId="4" hidden="1">'[16]HOSPICE OPSUM'!#REF!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localSheetId="3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localSheetId="3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localSheetId="3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localSheetId="3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localSheetId="3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localSheetId="3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localSheetId="3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localSheetId="3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localSheetId="3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localSheetId="3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localSheetId="3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localSheetId="3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localSheetId="3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localSheetId="3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localSheetId="3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localSheetId="3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localSheetId="3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localSheetId="3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localSheetId="3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localSheetId="3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localSheetId="3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localSheetId="3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localSheetId="3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localSheetId="3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localSheetId="3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localSheetId="3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localSheetId="3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localSheetId="3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localSheetId="3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localSheetId="3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localSheetId="3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localSheetId="3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localSheetId="3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localSheetId="3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localSheetId="3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localSheetId="3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localSheetId="3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localSheetId="3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localSheetId="3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localSheetId="3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localSheetId="3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localSheetId="3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localSheetId="3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localSheetId="3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localSheetId="3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localSheetId="3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localSheetId="3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localSheetId="3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localSheetId="3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localSheetId="3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localSheetId="3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localSheetId="3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localSheetId="3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localSheetId="3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localSheetId="3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localSheetId="3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localSheetId="3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localSheetId="3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localSheetId="3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localSheetId="3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localSheetId="3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localSheetId="3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localSheetId="3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localSheetId="3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localSheetId="3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localSheetId="3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localSheetId="3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localSheetId="3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localSheetId="3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localSheetId="3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localSheetId="3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localSheetId="3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localSheetId="3" hidden="1">{#N/A,#N/A,FALSE,"²Ä1­Ó¤ë"}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localSheetId="3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localSheetId="3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localSheetId="3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localSheetId="3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localSheetId="3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localSheetId="3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localSheetId="3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localSheetId="3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localSheetId="3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localSheetId="3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localSheetId="3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localSheetId="3" hidden="1">{#N/A,#N/A,FALSE,"²Ä1­Ó¤ë"}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localSheetId="3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localSheetId="3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localSheetId="3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localSheetId="3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localSheetId="3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localSheetId="3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localSheetId="3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localSheetId="3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localSheetId="3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localSheetId="3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localSheetId="3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localSheetId="3" hidden="1">{#N/A,#N/A,FALSE,"ALM-ASISC"}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'[14]שמ"מ מ"ה'!#REF!</definedName>
    <definedName name="_2TD">#REF!</definedName>
    <definedName name="_2TE">#REF!</definedName>
    <definedName name="_2TM">#REF!</definedName>
    <definedName name="_2wrn.²Ä1­Ó¤ë1_Ü20¤H." localSheetId="3" hidden="1">{#N/A,#N/A,FALSE,"²Ä1­Ó¤ë"}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 localSheetId="3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localSheetId="3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localSheetId="3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localSheetId="3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localSheetId="3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localSheetId="3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localSheetId="3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localSheetId="3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localSheetId="3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localSheetId="3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localSheetId="3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localSheetId="3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localSheetId="3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localSheetId="3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localSheetId="3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localSheetId="3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localSheetId="3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localSheetId="3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localSheetId="3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localSheetId="3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localSheetId="3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localSheetId="3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localSheetId="3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localSheetId="3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localSheetId="3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localSheetId="3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localSheetId="3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localSheetId="3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localSheetId="3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localSheetId="3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localSheetId="3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localSheetId="3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localSheetId="3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localSheetId="3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localSheetId="3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localSheetId="3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localSheetId="3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localSheetId="3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localSheetId="3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localSheetId="3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localSheetId="3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localSheetId="3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localSheetId="3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localSheetId="3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localSheetId="3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localSheetId="3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localSheetId="3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localSheetId="3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localSheetId="3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localSheetId="3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localSheetId="3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localSheetId="3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localSheetId="3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localSheetId="3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localSheetId="3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localSheetId="3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localSheetId="3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localSheetId="3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localSheetId="3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 localSheetId="3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localSheetId="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localSheetId="3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localSheetId="3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localSheetId="3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localSheetId="3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localSheetId="3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localSheetId="3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localSheetId="3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localSheetId="3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localSheetId="3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localSheetId="3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localSheetId="3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localSheetId="3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localSheetId="3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localSheetId="3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localSheetId="3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localSheetId="3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localSheetId="3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localSheetId="3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 localSheetId="3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localSheetId="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localSheetId="3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localSheetId="3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localSheetId="3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localSheetId="3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localSheetId="3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localSheetId="3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localSheetId="3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localSheetId="3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localSheetId="3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localSheetId="3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localSheetId="3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localSheetId="3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localSheetId="3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localSheetId="3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localSheetId="3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localSheetId="3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localSheetId="3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localSheetId="3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localSheetId="3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localSheetId="3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localSheetId="3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localSheetId="3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localSheetId="3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localSheetId="3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localSheetId="3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localSheetId="3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localSheetId="3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localSheetId="3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'[14]שמ"מ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 localSheetId="3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localSheetId="3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localSheetId="3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localSheetId="3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localSheetId="3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localSheetId="3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localSheetId="3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localSheetId="3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localSheetId="3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localSheetId="3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localSheetId="3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localSheetId="3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localSheetId="3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localSheetId="3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localSheetId="3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localSheetId="3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localSheetId="3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localSheetId="3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localSheetId="3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localSheetId="3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localSheetId="3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localSheetId="3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localSheetId="3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localSheetId="3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localSheetId="3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localSheetId="3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localSheetId="3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localSheetId="3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localSheetId="3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localSheetId="3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localSheetId="3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localSheetId="3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localSheetId="3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localSheetId="3" hidden="1">{#N/A,#N/A,FALSE,"²Ä1­Ó¤ë"}</definedName>
    <definedName name="_42wrn.²Ä1­Ó¤ë1_Ü20¤H." hidden="1">{#N/A,#N/A,FALSE,"²Ä1­Ó¤ë"}</definedName>
    <definedName name="_42wrn.²Ä1­Ó¤ë1_Ü20¤H._1" localSheetId="3" hidden="1">{#N/A,#N/A,FALSE,"²Ä1­Ó¤ë"}</definedName>
    <definedName name="_42wrn.²Ä1­Ó¤ë1_Ü20¤H._1" hidden="1">{#N/A,#N/A,FALSE,"²Ä1­Ó¤ë"}</definedName>
    <definedName name="_42wrn.²Ä1­Ó¤ë1_Ü20¤H._2" localSheetId="3" hidden="1">{#N/A,#N/A,FALSE,"²Ä1­Ó¤ë"}</definedName>
    <definedName name="_42wrn.²Ä1­Ó¤ë1_Ü20¤H._2" hidden="1">{#N/A,#N/A,FALSE,"²Ä1­Ó¤ë"}</definedName>
    <definedName name="_42wrn.²Ä1­Ó¤ë1_Ü20¤H._3" localSheetId="3" hidden="1">{#N/A,#N/A,FALSE,"²Ä1­Ó¤ë"}</definedName>
    <definedName name="_42wrn.²Ä1­Ó¤ë1_Ü20¤H._3" hidden="1">{#N/A,#N/A,FALSE,"²Ä1­Ó¤ë"}</definedName>
    <definedName name="_42wrn.²Ä1­Ó¤ë1_Ü20¤H._4" localSheetId="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localSheetId="3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localSheetId="3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localSheetId="3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localSheetId="3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localSheetId="3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localSheetId="3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localSheetId="3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localSheetId="3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localSheetId="3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localSheetId="3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localSheetId="3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localSheetId="3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localSheetId="3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localSheetId="3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localSheetId="3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localSheetId="3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localSheetId="3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localSheetId="3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localSheetId="3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localSheetId="3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localSheetId="3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localSheetId="3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localSheetId="3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localSheetId="3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localSheetId="3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localSheetId="3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localSheetId="3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localSheetId="3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localSheetId="3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localSheetId="3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localSheetId="3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localSheetId="3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localSheetId="3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localSheetId="3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localSheetId="3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localSheetId="3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localSheetId="3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localSheetId="3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localSheetId="3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localSheetId="3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localSheetId="3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localSheetId="3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localSheetId="3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localSheetId="3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localSheetId="3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localSheetId="3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localSheetId="3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localSheetId="3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localSheetId="3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localSheetId="3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localSheetId="3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localSheetId="3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localSheetId="3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localSheetId="3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localSheetId="3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localSheetId="3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localSheetId="3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localSheetId="3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localSheetId="3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localSheetId="3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localSheetId="3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localSheetId="3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localSheetId="3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localSheetId="3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localSheetId="3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localSheetId="3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localSheetId="3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localSheetId="3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localSheetId="3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localSheetId="3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localSheetId="3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localSheetId="3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localSheetId="3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localSheetId="3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'[14]שמ"מ מ"ה'!#REF!</definedName>
    <definedName name="_4TA">'[14]שמ"מ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 localSheetId="3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localSheetId="3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localSheetId="3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localSheetId="3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localSheetId="3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localSheetId="3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localSheetId="3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localSheetId="3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localSheetId="3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localSheetId="3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localSheetId="3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localSheetId="3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localSheetId="3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localSheetId="3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localSheetId="3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localSheetId="3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localSheetId="3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localSheetId="3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localSheetId="3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localSheetId="3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localSheetId="3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localSheetId="3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localSheetId="3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localSheetId="3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localSheetId="3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localSheetId="3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localSheetId="3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localSheetId="3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localSheetId="3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localSheetId="3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localSheetId="3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localSheetId="3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localSheetId="3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localSheetId="3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localSheetId="3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localSheetId="3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localSheetId="3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localSheetId="3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localSheetId="3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localSheetId="3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localSheetId="3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localSheetId="3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localSheetId="3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localSheetId="3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localSheetId="3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localSheetId="3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localSheetId="3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localSheetId="3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localSheetId="3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localSheetId="3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localSheetId="3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localSheetId="3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localSheetId="3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localSheetId="3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localSheetId="3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localSheetId="3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localSheetId="3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localSheetId="3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localSheetId="3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localSheetId="3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localSheetId="3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localSheetId="3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localSheetId="3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localSheetId="3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localSheetId="3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localSheetId="3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localSheetId="3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localSheetId="3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localSheetId="3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localSheetId="3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localSheetId="3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localSheetId="3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localSheetId="3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localSheetId="3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localSheetId="3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localSheetId="3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localSheetId="3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localSheetId="3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localSheetId="3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localSheetId="3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localSheetId="3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localSheetId="3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localSheetId="3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localSheetId="3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localSheetId="3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localSheetId="3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localSheetId="3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localSheetId="3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localSheetId="3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localSheetId="3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localSheetId="3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localSheetId="3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localSheetId="3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localSheetId="3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localSheetId="3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localSheetId="3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localSheetId="3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localSheetId="3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localSheetId="3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localSheetId="3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localSheetId="3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localSheetId="3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localSheetId="3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localSheetId="3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localSheetId="3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'[14]שמ"מ מ"ה'!#REF!</definedName>
    <definedName name="_5TA">'[14]שמ"מ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localSheetId="3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localSheetId="3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localSheetId="3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localSheetId="3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localSheetId="3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localSheetId="3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localSheetId="3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localSheetId="3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localSheetId="3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localSheetId="3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localSheetId="3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localSheetId="3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localSheetId="3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localSheetId="3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localSheetId="3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localSheetId="3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localSheetId="3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localSheetId="3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localSheetId="3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localSheetId="3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localSheetId="3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localSheetId="3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localSheetId="3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localSheetId="3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localSheetId="3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localSheetId="3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localSheetId="3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localSheetId="3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localSheetId="3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localSheetId="3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localSheetId="3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localSheetId="3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localSheetId="3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localSheetId="3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localSheetId="3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localSheetId="3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localSheetId="3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localSheetId="3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localSheetId="3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localSheetId="3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localSheetId="3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localSheetId="3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localSheetId="3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localSheetId="3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localSheetId="3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localSheetId="3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localSheetId="3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localSheetId="3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localSheetId="3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localSheetId="3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localSheetId="3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localSheetId="3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localSheetId="3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localSheetId="3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localSheetId="3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localSheetId="3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localSheetId="3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localSheetId="3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localSheetId="3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localSheetId="3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localSheetId="3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localSheetId="3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localSheetId="3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localSheetId="3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localSheetId="3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localSheetId="3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localSheetId="3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localSheetId="3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localSheetId="3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localSheetId="3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localSheetId="3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localSheetId="3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localSheetId="3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localSheetId="3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localSheetId="3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localSheetId="3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localSheetId="3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localSheetId="3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localSheetId="3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localSheetId="3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localSheetId="3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localSheetId="3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 localSheetId="3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localSheetId="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localSheetId="3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localSheetId="3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localSheetId="3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localSheetId="3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localSheetId="3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localSheetId="3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localSheetId="3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localSheetId="3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localSheetId="3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localSheetId="3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localSheetId="3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localSheetId="3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localSheetId="3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localSheetId="3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localSheetId="3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localSheetId="3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localSheetId="3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localSheetId="3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localSheetId="3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localSheetId="3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'[14]שמ"מ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localSheetId="3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localSheetId="3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localSheetId="3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localSheetId="3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localSheetId="3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localSheetId="3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localSheetId="3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localSheetId="3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localSheetId="3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localSheetId="3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localSheetId="3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localSheetId="3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localSheetId="3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localSheetId="3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localSheetId="3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localSheetId="3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localSheetId="3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localSheetId="3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localSheetId="3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localSheetId="3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localSheetId="3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localSheetId="3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localSheetId="3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localSheetId="3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localSheetId="3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localSheetId="3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localSheetId="3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localSheetId="3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localSheetId="3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localSheetId="3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localSheetId="3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localSheetId="3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localSheetId="3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localSheetId="3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localSheetId="3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localSheetId="3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localSheetId="3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localSheetId="3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localSheetId="3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localSheetId="3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localSheetId="3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localSheetId="3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localSheetId="3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localSheetId="3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localSheetId="3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localSheetId="3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localSheetId="3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localSheetId="3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localSheetId="3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localSheetId="3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localSheetId="3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localSheetId="3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localSheetId="3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localSheetId="3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localSheetId="3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localSheetId="3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localSheetId="3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localSheetId="3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localSheetId="3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localSheetId="3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localSheetId="3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localSheetId="3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localSheetId="3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localSheetId="3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localSheetId="3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localSheetId="3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localSheetId="3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localSheetId="3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localSheetId="3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localSheetId="3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localSheetId="3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localSheetId="3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localSheetId="3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localSheetId="3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localSheetId="3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localSheetId="3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localSheetId="3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localSheetId="3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localSheetId="3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localSheetId="3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localSheetId="3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localSheetId="3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localSheetId="3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localSheetId="3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localSheetId="3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localSheetId="3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localSheetId="3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localSheetId="3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localSheetId="3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localSheetId="3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localSheetId="3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localSheetId="3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localSheetId="3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localSheetId="3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localSheetId="3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localSheetId="3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localSheetId="3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localSheetId="3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localSheetId="3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localSheetId="3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localSheetId="3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localSheetId="3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localSheetId="3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localSheetId="3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localSheetId="3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localSheetId="3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'[14]שמ"מ מ"ה'!#REF!</definedName>
    <definedName name="_7wrn.²Ä1­Ó¤ë1_Ü20¤H." localSheetId="3" hidden="1">{#N/A,#N/A,FALSE,"²Ä1­Ó¤ë"}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localSheetId="3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localSheetId="3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localSheetId="3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localSheetId="3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localSheetId="3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localSheetId="3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localSheetId="3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localSheetId="3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localSheetId="3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localSheetId="3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localSheetId="3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localSheetId="3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localSheetId="3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localSheetId="3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localSheetId="3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localSheetId="3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localSheetId="3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localSheetId="3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localSheetId="3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localSheetId="3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localSheetId="3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localSheetId="3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localSheetId="3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localSheetId="3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localSheetId="3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localSheetId="3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localSheetId="3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localSheetId="3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localSheetId="3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localSheetId="3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localSheetId="3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localSheetId="3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localSheetId="3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localSheetId="3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localSheetId="3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localSheetId="3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localSheetId="3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localSheetId="3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localSheetId="3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localSheetId="3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localSheetId="3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localSheetId="3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localSheetId="3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localSheetId="3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localSheetId="3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localSheetId="3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localSheetId="3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localSheetId="3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localSheetId="3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localSheetId="3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localSheetId="3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localSheetId="3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localSheetId="3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localSheetId="3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localSheetId="3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localSheetId="3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localSheetId="3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localSheetId="3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localSheetId="3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localSheetId="3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localSheetId="3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localSheetId="3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localSheetId="3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localSheetId="3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localSheetId="3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localSheetId="3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localSheetId="3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localSheetId="3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localSheetId="3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localSheetId="3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localSheetId="3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localSheetId="3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localSheetId="3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localSheetId="3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localSheetId="3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localSheetId="3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localSheetId="3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localSheetId="3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localSheetId="3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localSheetId="3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localSheetId="3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localSheetId="3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localSheetId="3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localSheetId="3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localSheetId="3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localSheetId="3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localSheetId="3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localSheetId="3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localSheetId="3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localSheetId="3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localSheetId="3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localSheetId="3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localSheetId="3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localSheetId="3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localSheetId="3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localSheetId="3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localSheetId="3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localSheetId="3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localSheetId="3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localSheetId="3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localSheetId="3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localSheetId="3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localSheetId="3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localSheetId="3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localSheetId="3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localSheetId="3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localSheetId="3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localSheetId="3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localSheetId="3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localSheetId="3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localSheetId="3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localSheetId="3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localSheetId="3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localSheetId="3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localSheetId="3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localSheetId="3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localSheetId="3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localSheetId="3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localSheetId="3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localSheetId="3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localSheetId="3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localSheetId="3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localSheetId="3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localSheetId="3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localSheetId="3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localSheetId="3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localSheetId="3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localSheetId="3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localSheetId="3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localSheetId="3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localSheetId="3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localSheetId="3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localSheetId="3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localSheetId="3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localSheetId="3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localSheetId="3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localSheetId="3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localSheetId="3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localSheetId="3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localSheetId="3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localSheetId="3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localSheetId="3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localSheetId="3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localSheetId="3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localSheetId="3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localSheetId="3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localSheetId="3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localSheetId="3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localSheetId="3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localSheetId="3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localSheetId="3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localSheetId="3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localSheetId="3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localSheetId="3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localSheetId="3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localSheetId="3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localSheetId="3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localSheetId="3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localSheetId="3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localSheetId="3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localSheetId="3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localSheetId="3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localSheetId="3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localSheetId="3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localSheetId="3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localSheetId="3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localSheetId="3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localSheetId="3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localSheetId="3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localSheetId="3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localSheetId="3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localSheetId="3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localSheetId="3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localSheetId="3" hidden="1">{#N/A,#N/A,FALSE,"²Ä1­Ó¤ë"}</definedName>
    <definedName name="_95wrn.²Ä1­Ó¤ë1_Ü20¤H." hidden="1">{#N/A,#N/A,FALSE,"²Ä1­Ó¤ë"}</definedName>
    <definedName name="_95wrn.²Ä1­Ó¤ë1_Ü20¤H._1" localSheetId="3" hidden="1">{#N/A,#N/A,FALSE,"²Ä1­Ó¤ë"}</definedName>
    <definedName name="_95wrn.²Ä1­Ó¤ë1_Ü20¤H._1" hidden="1">{#N/A,#N/A,FALSE,"²Ä1­Ó¤ë"}</definedName>
    <definedName name="_95wrn.²Ä1­Ó¤ë1_Ü20¤H._1_1" localSheetId="3" hidden="1">{#N/A,#N/A,FALSE,"²Ä1­Ó¤ë"}</definedName>
    <definedName name="_95wrn.²Ä1­Ó¤ë1_Ü20¤H._1_1" hidden="1">{#N/A,#N/A,FALSE,"²Ä1­Ó¤ë"}</definedName>
    <definedName name="_95wrn.²Ä1­Ó¤ë1_Ü20¤H._1_2" localSheetId="3" hidden="1">{#N/A,#N/A,FALSE,"²Ä1­Ó¤ë"}</definedName>
    <definedName name="_95wrn.²Ä1­Ó¤ë1_Ü20¤H._1_2" hidden="1">{#N/A,#N/A,FALSE,"²Ä1­Ó¤ë"}</definedName>
    <definedName name="_95wrn.²Ä1­Ó¤ë1_Ü20¤H._1_3" localSheetId="3" hidden="1">{#N/A,#N/A,FALSE,"²Ä1­Ó¤ë"}</definedName>
    <definedName name="_95wrn.²Ä1­Ó¤ë1_Ü20¤H._1_3" hidden="1">{#N/A,#N/A,FALSE,"²Ä1­Ó¤ë"}</definedName>
    <definedName name="_95wrn.²Ä1­Ó¤ë1_Ü20¤H._1_4" localSheetId="3" hidden="1">{#N/A,#N/A,FALSE,"²Ä1­Ó¤ë"}</definedName>
    <definedName name="_95wrn.²Ä1­Ó¤ë1_Ü20¤H._1_4" hidden="1">{#N/A,#N/A,FALSE,"²Ä1­Ó¤ë"}</definedName>
    <definedName name="_95wrn.²Ä1­Ó¤ë1_Ü20¤H._1_5" localSheetId="3" hidden="1">{#N/A,#N/A,FALSE,"²Ä1­Ó¤ë"}</definedName>
    <definedName name="_95wrn.²Ä1­Ó¤ë1_Ü20¤H._1_5" hidden="1">{#N/A,#N/A,FALSE,"²Ä1­Ó¤ë"}</definedName>
    <definedName name="_95wrn.²Ä1­Ó¤ë1_Ü20¤H._2" localSheetId="3" hidden="1">{#N/A,#N/A,FALSE,"²Ä1­Ó¤ë"}</definedName>
    <definedName name="_95wrn.²Ä1­Ó¤ë1_Ü20¤H._2" hidden="1">{#N/A,#N/A,FALSE,"²Ä1­Ó¤ë"}</definedName>
    <definedName name="_95wrn.²Ä1­Ó¤ë1_Ü20¤H._2_1" localSheetId="3" hidden="1">{#N/A,#N/A,FALSE,"²Ä1­Ó¤ë"}</definedName>
    <definedName name="_95wrn.²Ä1­Ó¤ë1_Ü20¤H._2_1" hidden="1">{#N/A,#N/A,FALSE,"²Ä1­Ó¤ë"}</definedName>
    <definedName name="_95wrn.²Ä1­Ó¤ë1_Ü20¤H._2_2" localSheetId="3" hidden="1">{#N/A,#N/A,FALSE,"²Ä1­Ó¤ë"}</definedName>
    <definedName name="_95wrn.²Ä1­Ó¤ë1_Ü20¤H._2_2" hidden="1">{#N/A,#N/A,FALSE,"²Ä1­Ó¤ë"}</definedName>
    <definedName name="_95wrn.²Ä1­Ó¤ë1_Ü20¤H._2_3" localSheetId="3" hidden="1">{#N/A,#N/A,FALSE,"²Ä1­Ó¤ë"}</definedName>
    <definedName name="_95wrn.²Ä1­Ó¤ë1_Ü20¤H._2_3" hidden="1">{#N/A,#N/A,FALSE,"²Ä1­Ó¤ë"}</definedName>
    <definedName name="_95wrn.²Ä1­Ó¤ë1_Ü20¤H._2_4" localSheetId="3" hidden="1">{#N/A,#N/A,FALSE,"²Ä1­Ó¤ë"}</definedName>
    <definedName name="_95wrn.²Ä1­Ó¤ë1_Ü20¤H._2_4" hidden="1">{#N/A,#N/A,FALSE,"²Ä1­Ó¤ë"}</definedName>
    <definedName name="_95wrn.²Ä1­Ó¤ë1_Ü20¤H._2_5" localSheetId="3" hidden="1">{#N/A,#N/A,FALSE,"²Ä1­Ó¤ë"}</definedName>
    <definedName name="_95wrn.²Ä1­Ó¤ë1_Ü20¤H._2_5" hidden="1">{#N/A,#N/A,FALSE,"²Ä1­Ó¤ë"}</definedName>
    <definedName name="_95wrn.²Ä1­Ó¤ë1_Ü20¤H._3" localSheetId="3" hidden="1">{#N/A,#N/A,FALSE,"²Ä1­Ó¤ë"}</definedName>
    <definedName name="_95wrn.²Ä1­Ó¤ë1_Ü20¤H._3" hidden="1">{#N/A,#N/A,FALSE,"²Ä1­Ó¤ë"}</definedName>
    <definedName name="_95wrn.²Ä1­Ó¤ë1_Ü20¤H._3_1" localSheetId="3" hidden="1">{#N/A,#N/A,FALSE,"²Ä1­Ó¤ë"}</definedName>
    <definedName name="_95wrn.²Ä1­Ó¤ë1_Ü20¤H._3_1" hidden="1">{#N/A,#N/A,FALSE,"²Ä1­Ó¤ë"}</definedName>
    <definedName name="_95wrn.²Ä1­Ó¤ë1_Ü20¤H._3_2" localSheetId="3" hidden="1">{#N/A,#N/A,FALSE,"²Ä1­Ó¤ë"}</definedName>
    <definedName name="_95wrn.²Ä1­Ó¤ë1_Ü20¤H._3_2" hidden="1">{#N/A,#N/A,FALSE,"²Ä1­Ó¤ë"}</definedName>
    <definedName name="_95wrn.²Ä1­Ó¤ë1_Ü20¤H._3_3" localSheetId="3" hidden="1">{#N/A,#N/A,FALSE,"²Ä1­Ó¤ë"}</definedName>
    <definedName name="_95wrn.²Ä1­Ó¤ë1_Ü20¤H._3_3" hidden="1">{#N/A,#N/A,FALSE,"²Ä1­Ó¤ë"}</definedName>
    <definedName name="_95wrn.²Ä1­Ó¤ë1_Ü20¤H._3_4" localSheetId="3" hidden="1">{#N/A,#N/A,FALSE,"²Ä1­Ó¤ë"}</definedName>
    <definedName name="_95wrn.²Ä1­Ó¤ë1_Ü20¤H._3_4" hidden="1">{#N/A,#N/A,FALSE,"²Ä1­Ó¤ë"}</definedName>
    <definedName name="_95wrn.²Ä1­Ó¤ë1_Ü20¤H._3_5" localSheetId="3" hidden="1">{#N/A,#N/A,FALSE,"²Ä1­Ó¤ë"}</definedName>
    <definedName name="_95wrn.²Ä1­Ó¤ë1_Ü20¤H._3_5" hidden="1">{#N/A,#N/A,FALSE,"²Ä1­Ó¤ë"}</definedName>
    <definedName name="_95wrn.²Ä1­Ó¤ë1_Ü20¤H._4" localSheetId="3" hidden="1">{#N/A,#N/A,FALSE,"²Ä1­Ó¤ë"}</definedName>
    <definedName name="_95wrn.²Ä1­Ó¤ë1_Ü20¤H._4" hidden="1">{#N/A,#N/A,FALSE,"²Ä1­Ó¤ë"}</definedName>
    <definedName name="_95wrn.²Ä1­Ó¤ë1_Ü20¤H._4_1" localSheetId="3" hidden="1">{#N/A,#N/A,FALSE,"²Ä1­Ó¤ë"}</definedName>
    <definedName name="_95wrn.²Ä1­Ó¤ë1_Ü20¤H._4_1" hidden="1">{#N/A,#N/A,FALSE,"²Ä1­Ó¤ë"}</definedName>
    <definedName name="_95wrn.²Ä1­Ó¤ë1_Ü20¤H._4_2" localSheetId="3" hidden="1">{#N/A,#N/A,FALSE,"²Ä1­Ó¤ë"}</definedName>
    <definedName name="_95wrn.²Ä1­Ó¤ë1_Ü20¤H._4_2" hidden="1">{#N/A,#N/A,FALSE,"²Ä1­Ó¤ë"}</definedName>
    <definedName name="_95wrn.²Ä1­Ó¤ë1_Ü20¤H._4_3" localSheetId="3" hidden="1">{#N/A,#N/A,FALSE,"²Ä1­Ó¤ë"}</definedName>
    <definedName name="_95wrn.²Ä1­Ó¤ë1_Ü20¤H._4_3" hidden="1">{#N/A,#N/A,FALSE,"²Ä1­Ó¤ë"}</definedName>
    <definedName name="_95wrn.²Ä1­Ó¤ë1_Ü20¤H._4_4" localSheetId="3" hidden="1">{#N/A,#N/A,FALSE,"²Ä1­Ó¤ë"}</definedName>
    <definedName name="_95wrn.²Ä1­Ó¤ë1_Ü20¤H._4_4" hidden="1">{#N/A,#N/A,FALSE,"²Ä1­Ó¤ë"}</definedName>
    <definedName name="_95wrn.²Ä1­Ó¤ë1_Ü20¤H._4_5" localSheetId="3" hidden="1">{#N/A,#N/A,FALSE,"²Ä1­Ó¤ë"}</definedName>
    <definedName name="_95wrn.²Ä1­Ó¤ë1_Ü20¤H._4_5" hidden="1">{#N/A,#N/A,FALSE,"²Ä1­Ó¤ë"}</definedName>
    <definedName name="_95wrn.²Ä1­Ó¤ë1_Ü20¤H._5" localSheetId="3" hidden="1">{#N/A,#N/A,FALSE,"²Ä1­Ó¤ë"}</definedName>
    <definedName name="_95wrn.²Ä1­Ó¤ë1_Ü20¤H._5" hidden="1">{#N/A,#N/A,FALSE,"²Ä1­Ó¤ë"}</definedName>
    <definedName name="_95wrn.²Ä1­Ó¤ë1_Ü20¤H._5_1" localSheetId="3" hidden="1">{#N/A,#N/A,FALSE,"²Ä1­Ó¤ë"}</definedName>
    <definedName name="_95wrn.²Ä1­Ó¤ë1_Ü20¤H._5_1" hidden="1">{#N/A,#N/A,FALSE,"²Ä1­Ó¤ë"}</definedName>
    <definedName name="_95wrn.²Ä1­Ó¤ë1_Ü20¤H._5_3" localSheetId="3" hidden="1">{#N/A,#N/A,FALSE,"²Ä1­Ó¤ë"}</definedName>
    <definedName name="_95wrn.²Ä1­Ó¤ë1_Ü20¤H._5_3" hidden="1">{#N/A,#N/A,FALSE,"²Ä1­Ó¤ë"}</definedName>
    <definedName name="_95wrn.²Ä1­Ó¤ë1_Ü20¤H._5_4" localSheetId="3" hidden="1">{#N/A,#N/A,FALSE,"²Ä1­Ó¤ë"}</definedName>
    <definedName name="_95wrn.²Ä1­Ó¤ë1_Ü20¤H._5_4" hidden="1">{#N/A,#N/A,FALSE,"²Ä1­Ó¤ë"}</definedName>
    <definedName name="_95wrn.²Ä1­Ó¤ë1_Ü20¤H._5_5" localSheetId="3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localSheetId="3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localSheetId="3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localSheetId="3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localSheetId="3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localSheetId="3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localSheetId="3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localSheetId="3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localSheetId="3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localSheetId="3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localSheetId="3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localSheetId="3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localSheetId="3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localSheetId="3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localSheetId="3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localSheetId="3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localSheetId="3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localSheetId="3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localSheetId="3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localSheetId="3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localSheetId="3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localSheetId="3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localSheetId="3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localSheetId="3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localSheetId="3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localSheetId="3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localSheetId="3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localSheetId="3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localSheetId="3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localSheetId="3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localSheetId="3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localSheetId="3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localSheetId="3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localSheetId="3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localSheetId="3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localSheetId="3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localSheetId="3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localSheetId="3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localSheetId="3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localSheetId="3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localSheetId="3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localSheetId="3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localSheetId="3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localSheetId="3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localSheetId="3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 localSheetId="3">{"'2ND_QUAR'!$A$1:$P$106"}</definedName>
    <definedName name="_a1">{"'2ND_QUAR'!$A$1:$P$106"}</definedName>
    <definedName name="_a1_1" localSheetId="3" hidden="1">{#N/A,#N/A,FALSE,"Pharm";#N/A,#N/A,FALSE,"WWCM"}</definedName>
    <definedName name="_a1_1" hidden="1">{#N/A,#N/A,FALSE,"Pharm";#N/A,#N/A,FALSE,"WWCM"}</definedName>
    <definedName name="_a1_2" localSheetId="3" hidden="1">{#N/A,#N/A,FALSE,"Pharm";#N/A,#N/A,FALSE,"WWCM"}</definedName>
    <definedName name="_a1_2" hidden="1">{#N/A,#N/A,FALSE,"Pharm";#N/A,#N/A,FALSE,"WWCM"}</definedName>
    <definedName name="_a1_3" localSheetId="3" hidden="1">{#N/A,#N/A,FALSE,"Pharm";#N/A,#N/A,FALSE,"WWCM"}</definedName>
    <definedName name="_a1_3" hidden="1">{#N/A,#N/A,FALSE,"Pharm";#N/A,#N/A,FALSE,"WWCM"}</definedName>
    <definedName name="_a1_4" localSheetId="3" hidden="1">{#N/A,#N/A,FALSE,"Pharm";#N/A,#N/A,FALSE,"WWCM"}</definedName>
    <definedName name="_a1_4" hidden="1">{#N/A,#N/A,FALSE,"Pharm";#N/A,#N/A,FALSE,"WWCM"}</definedName>
    <definedName name="_A11" localSheetId="3" hidden="1">{#N/A,#N/A,FALSE,"Umsatz 99";#N/A,#N/A,FALSE,"ER 99 "}</definedName>
    <definedName name="_A11" hidden="1">{#N/A,#N/A,FALSE,"Umsatz 99";#N/A,#N/A,FALSE,"ER 99 "}</definedName>
    <definedName name="_A11_1" localSheetId="3" hidden="1">{#N/A,#N/A,FALSE,"Umsatz 99";#N/A,#N/A,FALSE,"ER 99 "}</definedName>
    <definedName name="_A11_1" hidden="1">{#N/A,#N/A,FALSE,"Umsatz 99";#N/A,#N/A,FALSE,"ER 99 "}</definedName>
    <definedName name="_A11_1_1" localSheetId="3" hidden="1">{#N/A,#N/A,FALSE,"Umsatz 99";#N/A,#N/A,FALSE,"ER 99 "}</definedName>
    <definedName name="_A11_1_1" hidden="1">{#N/A,#N/A,FALSE,"Umsatz 99";#N/A,#N/A,FALSE,"ER 99 "}</definedName>
    <definedName name="_A11_1_2" localSheetId="3" hidden="1">{#N/A,#N/A,FALSE,"Umsatz 99";#N/A,#N/A,FALSE,"ER 99 "}</definedName>
    <definedName name="_A11_1_2" hidden="1">{#N/A,#N/A,FALSE,"Umsatz 99";#N/A,#N/A,FALSE,"ER 99 "}</definedName>
    <definedName name="_A11_1_3" localSheetId="3" hidden="1">{#N/A,#N/A,FALSE,"Umsatz 99";#N/A,#N/A,FALSE,"ER 99 "}</definedName>
    <definedName name="_A11_1_3" hidden="1">{#N/A,#N/A,FALSE,"Umsatz 99";#N/A,#N/A,FALSE,"ER 99 "}</definedName>
    <definedName name="_A11_1_4" localSheetId="3" hidden="1">{#N/A,#N/A,FALSE,"Umsatz 99";#N/A,#N/A,FALSE,"ER 99 "}</definedName>
    <definedName name="_A11_1_4" hidden="1">{#N/A,#N/A,FALSE,"Umsatz 99";#N/A,#N/A,FALSE,"ER 99 "}</definedName>
    <definedName name="_A11_1_5" localSheetId="3" hidden="1">{#N/A,#N/A,FALSE,"Umsatz 99";#N/A,#N/A,FALSE,"ER 99 "}</definedName>
    <definedName name="_A11_1_5" hidden="1">{#N/A,#N/A,FALSE,"Umsatz 99";#N/A,#N/A,FALSE,"ER 99 "}</definedName>
    <definedName name="_A11_2" localSheetId="3" hidden="1">{#N/A,#N/A,FALSE,"Umsatz 99";#N/A,#N/A,FALSE,"ER 99 "}</definedName>
    <definedName name="_A11_2" hidden="1">{#N/A,#N/A,FALSE,"Umsatz 99";#N/A,#N/A,FALSE,"ER 99 "}</definedName>
    <definedName name="_A11_2_1" localSheetId="3" hidden="1">{#N/A,#N/A,FALSE,"Umsatz 99";#N/A,#N/A,FALSE,"ER 99 "}</definedName>
    <definedName name="_A11_2_1" hidden="1">{#N/A,#N/A,FALSE,"Umsatz 99";#N/A,#N/A,FALSE,"ER 99 "}</definedName>
    <definedName name="_A11_2_2" localSheetId="3" hidden="1">{#N/A,#N/A,FALSE,"Umsatz 99";#N/A,#N/A,FALSE,"ER 99 "}</definedName>
    <definedName name="_A11_2_2" hidden="1">{#N/A,#N/A,FALSE,"Umsatz 99";#N/A,#N/A,FALSE,"ER 99 "}</definedName>
    <definedName name="_A11_2_3" localSheetId="3" hidden="1">{#N/A,#N/A,FALSE,"Umsatz 99";#N/A,#N/A,FALSE,"ER 99 "}</definedName>
    <definedName name="_A11_2_3" hidden="1">{#N/A,#N/A,FALSE,"Umsatz 99";#N/A,#N/A,FALSE,"ER 99 "}</definedName>
    <definedName name="_A11_2_4" localSheetId="3" hidden="1">{#N/A,#N/A,FALSE,"Umsatz 99";#N/A,#N/A,FALSE,"ER 99 "}</definedName>
    <definedName name="_A11_2_4" hidden="1">{#N/A,#N/A,FALSE,"Umsatz 99";#N/A,#N/A,FALSE,"ER 99 "}</definedName>
    <definedName name="_A11_2_5" localSheetId="3" hidden="1">{#N/A,#N/A,FALSE,"Umsatz 99";#N/A,#N/A,FALSE,"ER 99 "}</definedName>
    <definedName name="_A11_2_5" hidden="1">{#N/A,#N/A,FALSE,"Umsatz 99";#N/A,#N/A,FALSE,"ER 99 "}</definedName>
    <definedName name="_A11_3" localSheetId="3" hidden="1">{#N/A,#N/A,FALSE,"Umsatz 99";#N/A,#N/A,FALSE,"ER 99 "}</definedName>
    <definedName name="_A11_3" hidden="1">{#N/A,#N/A,FALSE,"Umsatz 99";#N/A,#N/A,FALSE,"ER 99 "}</definedName>
    <definedName name="_A11_3_1" localSheetId="3" hidden="1">{#N/A,#N/A,FALSE,"Umsatz 99";#N/A,#N/A,FALSE,"ER 99 "}</definedName>
    <definedName name="_A11_3_1" hidden="1">{#N/A,#N/A,FALSE,"Umsatz 99";#N/A,#N/A,FALSE,"ER 99 "}</definedName>
    <definedName name="_A11_3_2" localSheetId="3" hidden="1">{#N/A,#N/A,FALSE,"Umsatz 99";#N/A,#N/A,FALSE,"ER 99 "}</definedName>
    <definedName name="_A11_3_2" hidden="1">{#N/A,#N/A,FALSE,"Umsatz 99";#N/A,#N/A,FALSE,"ER 99 "}</definedName>
    <definedName name="_A11_3_3" localSheetId="3" hidden="1">{#N/A,#N/A,FALSE,"Umsatz 99";#N/A,#N/A,FALSE,"ER 99 "}</definedName>
    <definedName name="_A11_3_3" hidden="1">{#N/A,#N/A,FALSE,"Umsatz 99";#N/A,#N/A,FALSE,"ER 99 "}</definedName>
    <definedName name="_A11_3_4" localSheetId="3" hidden="1">{#N/A,#N/A,FALSE,"Umsatz 99";#N/A,#N/A,FALSE,"ER 99 "}</definedName>
    <definedName name="_A11_3_4" hidden="1">{#N/A,#N/A,FALSE,"Umsatz 99";#N/A,#N/A,FALSE,"ER 99 "}</definedName>
    <definedName name="_A11_3_5" localSheetId="3" hidden="1">{#N/A,#N/A,FALSE,"Umsatz 99";#N/A,#N/A,FALSE,"ER 99 "}</definedName>
    <definedName name="_A11_3_5" hidden="1">{#N/A,#N/A,FALSE,"Umsatz 99";#N/A,#N/A,FALSE,"ER 99 "}</definedName>
    <definedName name="_A11_4" localSheetId="3" hidden="1">{#N/A,#N/A,FALSE,"Umsatz 99";#N/A,#N/A,FALSE,"ER 99 "}</definedName>
    <definedName name="_A11_4" hidden="1">{#N/A,#N/A,FALSE,"Umsatz 99";#N/A,#N/A,FALSE,"ER 99 "}</definedName>
    <definedName name="_A11_4_1" localSheetId="3" hidden="1">{#N/A,#N/A,FALSE,"Umsatz 99";#N/A,#N/A,FALSE,"ER 99 "}</definedName>
    <definedName name="_A11_4_1" hidden="1">{#N/A,#N/A,FALSE,"Umsatz 99";#N/A,#N/A,FALSE,"ER 99 "}</definedName>
    <definedName name="_A11_4_2" localSheetId="3" hidden="1">{#N/A,#N/A,FALSE,"Umsatz 99";#N/A,#N/A,FALSE,"ER 99 "}</definedName>
    <definedName name="_A11_4_2" hidden="1">{#N/A,#N/A,FALSE,"Umsatz 99";#N/A,#N/A,FALSE,"ER 99 "}</definedName>
    <definedName name="_A11_4_3" localSheetId="3" hidden="1">{#N/A,#N/A,FALSE,"Umsatz 99";#N/A,#N/A,FALSE,"ER 99 "}</definedName>
    <definedName name="_A11_4_3" hidden="1">{#N/A,#N/A,FALSE,"Umsatz 99";#N/A,#N/A,FALSE,"ER 99 "}</definedName>
    <definedName name="_A11_4_4" localSheetId="3" hidden="1">{#N/A,#N/A,FALSE,"Umsatz 99";#N/A,#N/A,FALSE,"ER 99 "}</definedName>
    <definedName name="_A11_4_4" hidden="1">{#N/A,#N/A,FALSE,"Umsatz 99";#N/A,#N/A,FALSE,"ER 99 "}</definedName>
    <definedName name="_A11_4_5" localSheetId="3" hidden="1">{#N/A,#N/A,FALSE,"Umsatz 99";#N/A,#N/A,FALSE,"ER 99 "}</definedName>
    <definedName name="_A11_4_5" hidden="1">{#N/A,#N/A,FALSE,"Umsatz 99";#N/A,#N/A,FALSE,"ER 99 "}</definedName>
    <definedName name="_A11_5" localSheetId="3" hidden="1">{#N/A,#N/A,FALSE,"Umsatz 99";#N/A,#N/A,FALSE,"ER 99 "}</definedName>
    <definedName name="_A11_5" hidden="1">{#N/A,#N/A,FALSE,"Umsatz 99";#N/A,#N/A,FALSE,"ER 99 "}</definedName>
    <definedName name="_A11_5_1" localSheetId="3" hidden="1">{#N/A,#N/A,FALSE,"Umsatz 99";#N/A,#N/A,FALSE,"ER 99 "}</definedName>
    <definedName name="_A11_5_1" hidden="1">{#N/A,#N/A,FALSE,"Umsatz 99";#N/A,#N/A,FALSE,"ER 99 "}</definedName>
    <definedName name="_A11_5_2" localSheetId="3" hidden="1">{#N/A,#N/A,FALSE,"Umsatz 99";#N/A,#N/A,FALSE,"ER 99 "}</definedName>
    <definedName name="_A11_5_2" hidden="1">{#N/A,#N/A,FALSE,"Umsatz 99";#N/A,#N/A,FALSE,"ER 99 "}</definedName>
    <definedName name="_A11_5_3" localSheetId="3" hidden="1">{#N/A,#N/A,FALSE,"Umsatz 99";#N/A,#N/A,FALSE,"ER 99 "}</definedName>
    <definedName name="_A11_5_3" hidden="1">{#N/A,#N/A,FALSE,"Umsatz 99";#N/A,#N/A,FALSE,"ER 99 "}</definedName>
    <definedName name="_A11_5_4" localSheetId="3" hidden="1">{#N/A,#N/A,FALSE,"Umsatz 99";#N/A,#N/A,FALSE,"ER 99 "}</definedName>
    <definedName name="_A11_5_4" hidden="1">{#N/A,#N/A,FALSE,"Umsatz 99";#N/A,#N/A,FALSE,"ER 99 "}</definedName>
    <definedName name="_A11_5_5" localSheetId="3" hidden="1">{#N/A,#N/A,FALSE,"Umsatz 99";#N/A,#N/A,FALSE,"ER 99 "}</definedName>
    <definedName name="_A11_5_5" hidden="1">{#N/A,#N/A,FALSE,"Umsatz 99";#N/A,#N/A,FALSE,"ER 99 "}</definedName>
    <definedName name="_A111" localSheetId="3" hidden="1">{#N/A,#N/A,FALSE,"Umsatz 99";#N/A,#N/A,FALSE,"ER 99 "}</definedName>
    <definedName name="_A111" hidden="1">{#N/A,#N/A,FALSE,"Umsatz 99";#N/A,#N/A,FALSE,"ER 99 "}</definedName>
    <definedName name="_a2" localSheetId="3">{"'1-TheatreBkgs'!$A$1:$L$102"}</definedName>
    <definedName name="_a2">{"'1-TheatreBkgs'!$A$1:$L$102"}</definedName>
    <definedName name="_a3" localSheetId="3">{"'1-TheatreBkgs'!$A$1:$L$102"}</definedName>
    <definedName name="_a3">{"'1-TheatreBkgs'!$A$1:$L$102"}</definedName>
    <definedName name="_a4" localSheetId="3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localSheetId="3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localSheetId="3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localSheetId="3" hidden="1">{#N/A,#N/A,FALSE,"Umsatz 99";#N/A,#N/A,FALSE,"ER 99 "}</definedName>
    <definedName name="_A700" hidden="1">{#N/A,#N/A,FALSE,"Umsatz 99";#N/A,#N/A,FALSE,"ER 99 "}</definedName>
    <definedName name="_a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localSheetId="3" hidden="1">{"SUMM",#N/A,TRUE,"C";"ACT_PROD",#N/A,TRUE,"A";"ACT_SHIP",#N/A,TRUE,"A";"BP_YLD",#N/A,TRUE,"B";"ACTZ_PROD",#N/A,TRUE,"D";"ACTZ_SHIP",#N/A,TRUE,"D";"ACTZ_YLD",#N/A,TRUE,"E";"CPSI_PROD",#N/A,TRUE,"F";"CPSI_SHIP",#N/A,TRUE,"F"}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localSheetId="3" hidden="1">{#N/A,#N/A,TRUE,"Pro Forma";#N/A,#N/A,TRUE,"PF_Bal";#N/A,#N/A,TRUE,"PF_INC";#N/A,#N/A,TRUE,"CBE";#N/A,#N/A,TRUE,"SWK"}</definedName>
    <definedName name="_aa1" hidden="1">{#N/A,#N/A,TRUE,"Pro Forma";#N/A,#N/A,TRUE,"PF_Bal";#N/A,#N/A,TRUE,"PF_INC";#N/A,#N/A,TRUE,"CBE";#N/A,#N/A,TRUE,"SWK"}</definedName>
    <definedName name="_aa2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localSheetId="3" hidden="1">{#N/A,#N/A,FALSE,"REPORT"}</definedName>
    <definedName name="_aaa1" hidden="1">{#N/A,#N/A,FALSE,"REPORT"}</definedName>
    <definedName name="_aaa1_1" localSheetId="3" hidden="1">{#N/A,#N/A,FALSE,"REPORT"}</definedName>
    <definedName name="_aaa1_1" hidden="1">{#N/A,#N/A,FALSE,"REPORT"}</definedName>
    <definedName name="_aaa1_2" localSheetId="3" hidden="1">{#N/A,#N/A,FALSE,"REPORT"}</definedName>
    <definedName name="_aaa1_2" hidden="1">{#N/A,#N/A,FALSE,"REPORT"}</definedName>
    <definedName name="_aaa1_3" localSheetId="3" hidden="1">{#N/A,#N/A,FALSE,"REPORT"}</definedName>
    <definedName name="_aaa1_3" hidden="1">{#N/A,#N/A,FALSE,"REPORT"}</definedName>
    <definedName name="_aaa1_4" localSheetId="3" hidden="1">{#N/A,#N/A,FALSE,"REPORT"}</definedName>
    <definedName name="_aaa1_4" hidden="1">{#N/A,#N/A,FALSE,"REPORT"}</definedName>
    <definedName name="_aas1" localSheetId="3" hidden="1">{#N/A,#N/A,FALSE,"REPORT"}</definedName>
    <definedName name="_aas1" hidden="1">{#N/A,#N/A,FALSE,"REPORT"}</definedName>
    <definedName name="_aas1_1" localSheetId="3" hidden="1">{#N/A,#N/A,FALSE,"REPORT"}</definedName>
    <definedName name="_aas1_1" hidden="1">{#N/A,#N/A,FALSE,"REPORT"}</definedName>
    <definedName name="_aas1_2" localSheetId="3" hidden="1">{#N/A,#N/A,FALSE,"REPORT"}</definedName>
    <definedName name="_aas1_2" hidden="1">{#N/A,#N/A,FALSE,"REPORT"}</definedName>
    <definedName name="_aas1_3" localSheetId="3" hidden="1">{#N/A,#N/A,FALSE,"REPORT"}</definedName>
    <definedName name="_aas1_3" hidden="1">{#N/A,#N/A,FALSE,"REPORT"}</definedName>
    <definedName name="_aas1_4" localSheetId="3" hidden="1">{#N/A,#N/A,FALSE,"REPORT"}</definedName>
    <definedName name="_aas1_4" hidden="1">{#N/A,#N/A,FALSE,"REPORT"}</definedName>
    <definedName name="_ab098" localSheetId="3" hidden="1">{#N/A,"PURCHM",FALSE,"Business Analysis";#N/A,"SPADD",FALSE,"Business Analysis"}</definedName>
    <definedName name="_ab098" hidden="1">{#N/A,"PURCHM",FALSE,"Business Analysis";#N/A,"SPADD",FALSE,"Business Analysis"}</definedName>
    <definedName name="_ab1" localSheetId="3" hidden="1">{"comp1",#N/A,FALSE,"COMPS";"footnotes",#N/A,FALSE,"COMPS"}</definedName>
    <definedName name="_ab1" hidden="1">{"comp1",#N/A,FALSE,"COMPS";"footnotes",#N/A,FALSE,"COMPS"}</definedName>
    <definedName name="_abc098" localSheetId="3" hidden="1">{#N/A,"PURCHM",FALSE,"Business Analysis";#N/A,"SPADD",FALSE,"Business Analysis"}</definedName>
    <definedName name="_abc098" hidden="1">{#N/A,"PURCHM",FALSE,"Business Analysis";#N/A,"SPADD",FALSE,"Business Analysis"}</definedName>
    <definedName name="_abc1" localSheetId="3" hidden="1">{"detail",#N/A,FALSE,"mfg";"summary",#N/A,FALSE,"mfg"}</definedName>
    <definedName name="_abc1" hidden="1">{"detail",#N/A,FALSE,"mfg";"summary",#N/A,FALSE,"mfg"}</definedName>
    <definedName name="_abc10" localSheetId="3" hidden="1">{"detail",#N/A,FALSE,"mfg";"summary",#N/A,FALSE,"mfg"}</definedName>
    <definedName name="_abc10" hidden="1">{"detail",#N/A,FALSE,"mfg";"summary",#N/A,FALSE,"mfg"}</definedName>
    <definedName name="_abc101" localSheetId="3" hidden="1">{"detail",#N/A,FALSE,"mfg";"summary",#N/A,FALSE,"mfg"}</definedName>
    <definedName name="_abc101" hidden="1">{"detail",#N/A,FALSE,"mfg";"summary",#N/A,FALSE,"mfg"}</definedName>
    <definedName name="_abc102" localSheetId="3" hidden="1">{"detail",#N/A,FALSE,"mfg";"summary",#N/A,FALSE,"mfg"}</definedName>
    <definedName name="_abc102" hidden="1">{"detail",#N/A,FALSE,"mfg";"summary",#N/A,FALSE,"mfg"}</definedName>
    <definedName name="_abc105" localSheetId="3" hidden="1">{"detail",#N/A,FALSE,"mfg";"summary",#N/A,FALSE,"mfg"}</definedName>
    <definedName name="_abc105" hidden="1">{"detail",#N/A,FALSE,"mfg";"summary",#N/A,FALSE,"mfg"}</definedName>
    <definedName name="_abc1082" localSheetId="3" hidden="1">{"detail",#N/A,FALSE,"mfg";"summary",#N/A,FALSE,"mfg"}</definedName>
    <definedName name="_abc1082" hidden="1">{"detail",#N/A,FALSE,"mfg";"summary",#N/A,FALSE,"mfg"}</definedName>
    <definedName name="_abc11" localSheetId="3" hidden="1">{"detail",#N/A,FALSE,"mfg";"summary",#N/A,FALSE,"mfg"}</definedName>
    <definedName name="_abc11" hidden="1">{"detail",#N/A,FALSE,"mfg";"summary",#N/A,FALSE,"mfg"}</definedName>
    <definedName name="_abc115" localSheetId="3" hidden="1">{"detail",#N/A,FALSE,"mfg";"summary",#N/A,FALSE,"mfg"}</definedName>
    <definedName name="_abc115" hidden="1">{"detail",#N/A,FALSE,"mfg";"summary",#N/A,FALSE,"mfg"}</definedName>
    <definedName name="_abc12" localSheetId="3" hidden="1">{"detail",#N/A,FALSE,"mfg";"summary",#N/A,FALSE,"mfg"}</definedName>
    <definedName name="_abc12" hidden="1">{"detail",#N/A,FALSE,"mfg";"summary",#N/A,FALSE,"mfg"}</definedName>
    <definedName name="_abc1234" localSheetId="3" hidden="1">{#N/A,"PURCHM",FALSE,"Business Analysis";#N/A,"SPADD",FALSE,"Business Analysis"}</definedName>
    <definedName name="_abc1234" hidden="1">{#N/A,"PURCHM",FALSE,"Business Analysis";#N/A,"SPADD",FALSE,"Business Analysis"}</definedName>
    <definedName name="_abc125" localSheetId="3" hidden="1">{"detail",#N/A,FALSE,"mfg";"summary",#N/A,FALSE,"mfg"}</definedName>
    <definedName name="_abc125" hidden="1">{"detail",#N/A,FALSE,"mfg";"summary",#N/A,FALSE,"mfg"}</definedName>
    <definedName name="_abc13" localSheetId="3" hidden="1">{"detail",#N/A,FALSE,"mfg";"summary",#N/A,FALSE,"mfg"}</definedName>
    <definedName name="_abc13" hidden="1">{"detail",#N/A,FALSE,"mfg";"summary",#N/A,FALSE,"mfg"}</definedName>
    <definedName name="_abc1325" localSheetId="3" hidden="1">{"detail",#N/A,FALSE,"mfg";"summary",#N/A,FALSE,"mfg"}</definedName>
    <definedName name="_abc1325" hidden="1">{"detail",#N/A,FALSE,"mfg";"summary",#N/A,FALSE,"mfg"}</definedName>
    <definedName name="_abc14" localSheetId="3" hidden="1">{"detail",#N/A,FALSE,"mfg";"summary",#N/A,FALSE,"mfg"}</definedName>
    <definedName name="_abc14" hidden="1">{"detail",#N/A,FALSE,"mfg";"summary",#N/A,FALSE,"mfg"}</definedName>
    <definedName name="_abc1425" localSheetId="3" hidden="1">{"detail",#N/A,FALSE,"mfg";"summary",#N/A,FALSE,"mfg"}</definedName>
    <definedName name="_abc1425" hidden="1">{"detail",#N/A,FALSE,"mfg";"summary",#N/A,FALSE,"mfg"}</definedName>
    <definedName name="_abc2" localSheetId="4" hidden="1">{"Budget V Actual YTD",#N/A,FALSE,"Budget v Actual"}</definedName>
    <definedName name="_abc2" localSheetId="3" hidden="1">{"Budget V Actual YTD",#N/A,FALSE,"Budget v Actual"}</definedName>
    <definedName name="_abc2" hidden="1">{"Budget V Actual YTD",#N/A,FALSE,"Budget v Actual"}</definedName>
    <definedName name="_abc200" localSheetId="3" hidden="1">{"detail",#N/A,FALSE,"mfg";"summary",#N/A,FALSE,"mfg"}</definedName>
    <definedName name="_abc200" hidden="1">{"detail",#N/A,FALSE,"mfg";"summary",#N/A,FALSE,"mfg"}</definedName>
    <definedName name="_abc2005" localSheetId="3" hidden="1">{#N/A,"PURCHM",FALSE,"Business Analysis";#N/A,"SPADD",FALSE,"Business Analysis"}</definedName>
    <definedName name="_abc2005" hidden="1">{#N/A,"PURCHM",FALSE,"Business Analysis";#N/A,"SPADD",FALSE,"Business Analysis"}</definedName>
    <definedName name="_abc201" localSheetId="3" hidden="1">{"detail",#N/A,FALSE,"mfg";"summary",#N/A,FALSE,"mfg"}</definedName>
    <definedName name="_abc201" hidden="1">{"detail",#N/A,FALSE,"mfg";"summary",#N/A,FALSE,"mfg"}</definedName>
    <definedName name="_abc202" localSheetId="3" hidden="1">{"detail",#N/A,FALSE,"mfg";"summary",#N/A,FALSE,"mfg"}</definedName>
    <definedName name="_abc202" hidden="1">{"detail",#N/A,FALSE,"mfg";"summary",#N/A,FALSE,"mfg"}</definedName>
    <definedName name="_abc2054" localSheetId="3" hidden="1">{"detail",#N/A,FALSE,"mfg";"summary",#N/A,FALSE,"mfg"}</definedName>
    <definedName name="_abc2054" hidden="1">{"detail",#N/A,FALSE,"mfg";"summary",#N/A,FALSE,"mfg"}</definedName>
    <definedName name="_abc212" localSheetId="3" hidden="1">{"detail",#N/A,FALSE,"mfg";"summary",#N/A,FALSE,"mfg"}</definedName>
    <definedName name="_abc212" hidden="1">{"detail",#N/A,FALSE,"mfg";"summary",#N/A,FALSE,"mfg"}</definedName>
    <definedName name="_abc212450" localSheetId="3" hidden="1">{"detail",#N/A,FALSE,"mfg";"summary",#N/A,FALSE,"mfg"}</definedName>
    <definedName name="_abc212450" hidden="1">{"detail",#N/A,FALSE,"mfg";"summary",#N/A,FALSE,"mfg"}</definedName>
    <definedName name="_abc23" localSheetId="3" hidden="1">{"detail",#N/A,FALSE,"mfg";"summary",#N/A,FALSE,"mfg"}</definedName>
    <definedName name="_abc23" hidden="1">{"detail",#N/A,FALSE,"mfg";"summary",#N/A,FALSE,"mfg"}</definedName>
    <definedName name="_abc24" localSheetId="3" hidden="1">{"detail",#N/A,FALSE,"mfg";"summary",#N/A,FALSE,"mfg"}</definedName>
    <definedName name="_abc24" hidden="1">{"detail",#N/A,FALSE,"mfg";"summary",#N/A,FALSE,"mfg"}</definedName>
    <definedName name="_abc25" localSheetId="3" hidden="1">{"detail",#N/A,FALSE,"mfg";"summary",#N/A,FALSE,"mfg"}</definedName>
    <definedName name="_abc25" hidden="1">{"detail",#N/A,FALSE,"mfg";"summary",#N/A,FALSE,"mfg"}</definedName>
    <definedName name="_abc26" localSheetId="3" hidden="1">{"detail",#N/A,FALSE,"mfg";"summary",#N/A,FALSE,"mfg"}</definedName>
    <definedName name="_abc26" hidden="1">{"detail",#N/A,FALSE,"mfg";"summary",#N/A,FALSE,"mfg"}</definedName>
    <definedName name="_abc289" localSheetId="3" hidden="1">{"detail",#N/A,FALSE,"mfg";"summary",#N/A,FALSE,"mfg"}</definedName>
    <definedName name="_abc289" hidden="1">{"detail",#N/A,FALSE,"mfg";"summary",#N/A,FALSE,"mfg"}</definedName>
    <definedName name="_abc3" localSheetId="3" hidden="1">{"detail",#N/A,FALSE,"mfg";"summary",#N/A,FALSE,"mfg"}</definedName>
    <definedName name="_abc3" hidden="1">{"detail",#N/A,FALSE,"mfg";"summary",#N/A,FALSE,"mfg"}</definedName>
    <definedName name="_abc31" localSheetId="3" hidden="1">{"detail",#N/A,FALSE,"mfg";"summary",#N/A,FALSE,"mfg"}</definedName>
    <definedName name="_abc31" hidden="1">{"detail",#N/A,FALSE,"mfg";"summary",#N/A,FALSE,"mfg"}</definedName>
    <definedName name="_abc312" localSheetId="3" hidden="1">{"detail",#N/A,FALSE,"mfg";"summary",#N/A,FALSE,"mfg"}</definedName>
    <definedName name="_abc312" hidden="1">{"detail",#N/A,FALSE,"mfg";"summary",#N/A,FALSE,"mfg"}</definedName>
    <definedName name="_abc315" localSheetId="3" hidden="1">{"detail",#N/A,FALSE,"mfg";"summary",#N/A,FALSE,"mfg"}</definedName>
    <definedName name="_abc315" hidden="1">{"detail",#N/A,FALSE,"mfg";"summary",#N/A,FALSE,"mfg"}</definedName>
    <definedName name="_abc316" localSheetId="3" hidden="1">{"detail",#N/A,FALSE,"mfg";"summary",#N/A,FALSE,"mfg"}</definedName>
    <definedName name="_abc316" hidden="1">{"detail",#N/A,FALSE,"mfg";"summary",#N/A,FALSE,"mfg"}</definedName>
    <definedName name="_abc32" localSheetId="3" hidden="1">{"detail",#N/A,FALSE,"mfg";"summary",#N/A,FALSE,"mfg"}</definedName>
    <definedName name="_abc32" hidden="1">{"detail",#N/A,FALSE,"mfg";"summary",#N/A,FALSE,"mfg"}</definedName>
    <definedName name="_abc3216" localSheetId="3" hidden="1">{"detail",#N/A,FALSE,"mfg";"summary",#N/A,FALSE,"mfg"}</definedName>
    <definedName name="_abc3216" hidden="1">{"detail",#N/A,FALSE,"mfg";"summary",#N/A,FALSE,"mfg"}</definedName>
    <definedName name="_abc35" localSheetId="3" hidden="1">{"detail",#N/A,FALSE,"mfg";"summary",#N/A,FALSE,"mfg"}</definedName>
    <definedName name="_abc35" hidden="1">{"detail",#N/A,FALSE,"mfg";"summary",#N/A,FALSE,"mfg"}</definedName>
    <definedName name="_abc36" localSheetId="3" hidden="1">{"detail",#N/A,FALSE,"mfg";"summary",#N/A,FALSE,"mfg"}</definedName>
    <definedName name="_abc36" hidden="1">{"detail",#N/A,FALSE,"mfg";"summary",#N/A,FALSE,"mfg"}</definedName>
    <definedName name="_abc37" localSheetId="3" hidden="1">{"detail",#N/A,FALSE,"mfg";"summary",#N/A,FALSE,"mfg"}</definedName>
    <definedName name="_abc37" hidden="1">{"detail",#N/A,FALSE,"mfg";"summary",#N/A,FALSE,"mfg"}</definedName>
    <definedName name="_abc38" localSheetId="3" hidden="1">{"detail",#N/A,FALSE,"mfg";"summary",#N/A,FALSE,"mfg"}</definedName>
    <definedName name="_abc38" hidden="1">{"detail",#N/A,FALSE,"mfg";"summary",#N/A,FALSE,"mfg"}</definedName>
    <definedName name="_ABC41" localSheetId="3" hidden="1">{"detail",#N/A,FALSE,"mfg";"summary",#N/A,FALSE,"mfg"}</definedName>
    <definedName name="_ABC41" hidden="1">{"detail",#N/A,FALSE,"mfg";"summary",#N/A,FALSE,"mfg"}</definedName>
    <definedName name="_abc42" localSheetId="3" hidden="1">{"detail",#N/A,FALSE,"mfg";"summary",#N/A,FALSE,"mfg"}</definedName>
    <definedName name="_abc42" hidden="1">{"detail",#N/A,FALSE,"mfg";"summary",#N/A,FALSE,"mfg"}</definedName>
    <definedName name="_abc51" localSheetId="3" hidden="1">{"detail",#N/A,FALSE,"mfg";"summary",#N/A,FALSE,"mfg"}</definedName>
    <definedName name="_abc51" hidden="1">{"detail",#N/A,FALSE,"mfg";"summary",#N/A,FALSE,"mfg"}</definedName>
    <definedName name="_abc61" localSheetId="3" hidden="1">{"detail",#N/A,FALSE,"mfg";"summary",#N/A,FALSE,"mfg"}</definedName>
    <definedName name="_abc61" hidden="1">{"detail",#N/A,FALSE,"mfg";"summary",#N/A,FALSE,"mfg"}</definedName>
    <definedName name="_abc71" localSheetId="3" hidden="1">{"detail",#N/A,FALSE,"mfg";"summary",#N/A,FALSE,"mfg"}</definedName>
    <definedName name="_abc71" hidden="1">{"detail",#N/A,FALSE,"mfg";"summary",#N/A,FALSE,"mfg"}</definedName>
    <definedName name="_abc7884" localSheetId="3" hidden="1">{"detail",#N/A,FALSE,"mfg";"summary",#N/A,FALSE,"mfg"}</definedName>
    <definedName name="_abc7884" hidden="1">{"detail",#N/A,FALSE,"mfg";"summary",#N/A,FALSE,"mfg"}</definedName>
    <definedName name="_ACS2000" localSheetId="3" hidden="1">{#N/A,#N/A,FALSE,"REPORT"}</definedName>
    <definedName name="_ACS2000" hidden="1">{#N/A,#N/A,FALSE,"REPORT"}</definedName>
    <definedName name="_ACS2000_1" localSheetId="3" hidden="1">{#N/A,#N/A,FALSE,"REPORT"}</definedName>
    <definedName name="_ACS2000_1" hidden="1">{#N/A,#N/A,FALSE,"REPORT"}</definedName>
    <definedName name="_ACS2000_2" localSheetId="3" hidden="1">{#N/A,#N/A,FALSE,"REPORT"}</definedName>
    <definedName name="_ACS2000_2" hidden="1">{#N/A,#N/A,FALSE,"REPORT"}</definedName>
    <definedName name="_ACS2000_3" localSheetId="3" hidden="1">{#N/A,#N/A,FALSE,"REPORT"}</definedName>
    <definedName name="_ACS2000_3" hidden="1">{#N/A,#N/A,FALSE,"REPORT"}</definedName>
    <definedName name="_ACS2000_4" localSheetId="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localSheetId="3" hidden="1">{#N/A,#N/A,FALSE,"Calc";#N/A,#N/A,FALSE,"Sensitivity";#N/A,#N/A,FALSE,"LT Earn.Dil.";#N/A,#N/A,FALSE,"Dil. AVP"}</definedName>
    <definedName name="_ae1" hidden="1">{#N/A,#N/A,FALSE,"Calc";#N/A,#N/A,FALSE,"Sensitivity";#N/A,#N/A,FALSE,"LT Earn.Dil.";#N/A,#N/A,FALSE,"Dil. AVP"}</definedName>
    <definedName name="_age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localSheetId="3" hidden="1">{#N/A,#N/A,TRUE,"Pro Forma";#N/A,#N/A,TRUE,"PF_Bal";#N/A,#N/A,TRUE,"PF_INC";#N/A,#N/A,TRUE,"CBE";#N/A,#N/A,TRUE,"SWK"}</definedName>
    <definedName name="_am1" hidden="1">{#N/A,#N/A,TRUE,"Pro Forma";#N/A,#N/A,TRUE,"PF_Bal";#N/A,#N/A,TRUE,"PF_INC";#N/A,#N/A,TRUE,"CBE";#N/A,#N/A,TRUE,"SWK"}</definedName>
    <definedName name="_AM2" localSheetId="3" hidden="1">{"expltr",#N/A,FALSE,"Expense projects";"explgl",#N/A,FALSE,"Expense projects"}</definedName>
    <definedName name="_AM2" hidden="1">{"expltr",#N/A,FALSE,"Expense projects";"explgl",#N/A,FALSE,"Expense projects"}</definedName>
    <definedName name="_AM7" localSheetId="3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localSheetId="3" hidden="1">{"detail",#N/A,FALSE,"mfg";"summary",#N/A,FALSE,"mfg"}</definedName>
    <definedName name="_ap2" hidden="1">{"detail",#N/A,FALSE,"mfg";"summary",#N/A,FALSE,"mfg"}</definedName>
    <definedName name="_apb25">#REF!</definedName>
    <definedName name="_app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localSheetId="3" hidden="1">{"comp1",#N/A,FALSE,"COMPS";"footnotes",#N/A,FALSE,"COMPS"}</definedName>
    <definedName name="_as1" hidden="1">{"comp1",#N/A,FALSE,"COMPS";"footnotes",#N/A,FALSE,"COMPS"}</definedName>
    <definedName name="_ATPCorr_Dlg_Results" localSheetId="4" hidden="1">{2;#N/A;"R8C4:R8C18";#N/A;"R6C4:R6C18";#N/A;1;#N/A;#N/A;FALSE;#N/A;#N/A;#N/A}</definedName>
    <definedName name="_ATPCorr_Dlg_Results" localSheetId="3" hidden="1">{2;#N/A;"R8C4:R8C18";#N/A;"R6C4:R6C18";#N/A;1;#N/A;#N/A;FALSE;#N/A;#N/A;#N/A}</definedName>
    <definedName name="_ATPCorr_Dlg_Results" hidden="1">{2;#N/A;"R8C4:R8C18";#N/A;"R6C4:R6C18";#N/A;1;#N/A;#N/A;FALSE;#N/A;#N/A;#N/A}</definedName>
    <definedName name="_ATPCorr_Dlg_Types" localSheetId="4" hidden="1">{"EXCELHLP.HLP!1784";5;10;5;10;5;11;112;112;13;1;2;24}</definedName>
    <definedName name="_ATPCorr_Dlg_Types" localSheetId="3">{"EXCELHLP.HLP!1784";5;10;5;10;5;11;112;112;13;1;2;24}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localSheetId="4" hidden="1">{2;#N/A;"R10C2";#N/A;"";#N/A;"";TRUE;TRUE;TRUE;#N/A;#N/A;#N/A}</definedName>
    <definedName name="_ATPHist_Dlg_Results" localSheetId="3" hidden="1">{2;#N/A;"R10C2";#N/A;"";#N/A;"";TRUE;TRUE;TRUE;#N/A;#N/A;#N/A}</definedName>
    <definedName name="_ATPHist_Dlg_Results" hidden="1">{2;#N/A;"R10C2";#N/A;"";#N/A;"";TRUE;TRUE;TRUE;#N/A;#N/A;#N/A}</definedName>
    <definedName name="_ATPHist_Dlg_Types" localSheetId="4" hidden="1">{"EXCELHLP.HLP!1790";5;10;5;10;5;10;13;13;13;1;2;24}</definedName>
    <definedName name="_ATPHist_Dlg_Types" localSheetId="3">{"EXCELHLP.HLP!1790";5;10;5;10;5;10;13;13;13;1;2;24}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 localSheetId="4">'[17]Summary Projections'!#REF!</definedName>
    <definedName name="_Att05">#REF!</definedName>
    <definedName name="_att06" localSheetId="4">'[17]Summary Projections'!#REF!</definedName>
    <definedName name="_att06">#REF!</definedName>
    <definedName name="_att07" localSheetId="4">'[17]Summary Projections'!#REF!</definedName>
    <definedName name="_att07">#REF!</definedName>
    <definedName name="_att08" localSheetId="4">'[17]Summary Projections'!#REF!</definedName>
    <definedName name="_att08">#REF!</definedName>
    <definedName name="_aud2" localSheetId="4">[18]Sensetivities!#REF!</definedName>
    <definedName name="_aud2">#REF!</definedName>
    <definedName name="_avg99" localSheetId="4">'[19]$'!$C$4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localSheetId="3" hidden="1">{#N/A,#N/A,FALSE,"Pharm";#N/A,#N/A,FALSE,"WWCM"}</definedName>
    <definedName name="_b111" hidden="1">{#N/A,#N/A,FALSE,"Pharm";#N/A,#N/A,FALSE,"WWCM"}</definedName>
    <definedName name="_b111_1" localSheetId="3" hidden="1">{#N/A,#N/A,FALSE,"Pharm";#N/A,#N/A,FALSE,"WWCM"}</definedName>
    <definedName name="_b111_1" hidden="1">{#N/A,#N/A,FALSE,"Pharm";#N/A,#N/A,FALSE,"WWCM"}</definedName>
    <definedName name="_b111_2" localSheetId="3" hidden="1">{#N/A,#N/A,FALSE,"Pharm";#N/A,#N/A,FALSE,"WWCM"}</definedName>
    <definedName name="_b111_2" hidden="1">{#N/A,#N/A,FALSE,"Pharm";#N/A,#N/A,FALSE,"WWCM"}</definedName>
    <definedName name="_b111_3" localSheetId="3" hidden="1">{#N/A,#N/A,FALSE,"Pharm";#N/A,#N/A,FALSE,"WWCM"}</definedName>
    <definedName name="_b111_3" hidden="1">{#N/A,#N/A,FALSE,"Pharm";#N/A,#N/A,FALSE,"WWCM"}</definedName>
    <definedName name="_b111_4" localSheetId="3" hidden="1">{#N/A,#N/A,FALSE,"Pharm";#N/A,#N/A,FALSE,"WWCM"}</definedName>
    <definedName name="_b111_4" hidden="1">{#N/A,#N/A,FALSE,"Pharm";#N/A,#N/A,FALSE,"WWCM"}</definedName>
    <definedName name="_b18" localSheetId="3" hidden="1">{#N/A,#N/A,FALSE,"Sheet1"}</definedName>
    <definedName name="_b18" hidden="1">{#N/A,#N/A,FALSE,"Sheet1"}</definedName>
    <definedName name="_b2" localSheetId="3" hidden="1">{"PVGraph2",#N/A,FALSE,"PV Data"}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localSheetId="3" hidden="1">{#N/A,#N/A,FALSE,"Sheet1"}</definedName>
    <definedName name="_b22" hidden="1">{#N/A,#N/A,FALSE,"Sheet1"}</definedName>
    <definedName name="_b3" localSheetId="3" hidden="1">{"PVGraph2",#N/A,FALSE,"PV Data"}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localSheetId="3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localSheetId="3" hidden="1">#REF!</definedName>
    <definedName name="_bdm.00a40db983604a648f415d331d97ac3f.edm" hidden="1">#REF!</definedName>
    <definedName name="_bdm.00a785d70f8143e38f9bf1b03b79ca00.edm" localSheetId="3" hidden="1">#REF!</definedName>
    <definedName name="_bdm.00a785d70f8143e38f9bf1b03b79ca00.edm" hidden="1">#REF!</definedName>
    <definedName name="_bdm.011c8234cb51458680ecfaf95f143daa.edm" localSheetId="3" hidden="1">#REF!</definedName>
    <definedName name="_bdm.011c8234cb51458680ecfaf95f143daa.edm" hidden="1">#REF!</definedName>
    <definedName name="_bdm.01dc3cef9465468dbaa0c4f72925aee2.edm" localSheetId="3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localSheetId="3" hidden="1">#REF!</definedName>
    <definedName name="_bdm.0261dfd2d5b542fdab8ab0c7f26296d6.edm" hidden="1">#REF!</definedName>
    <definedName name="_bdm.032ff53574fb440ead82b88c7f4473c5.edm" localSheetId="3" hidden="1">#REF!</definedName>
    <definedName name="_bdm.032ff53574fb440ead82b88c7f4473c5.edm" hidden="1">#REF!</definedName>
    <definedName name="_bdm.03626fdd27c240a884a5e251b7f9bfb5.edm" localSheetId="3" hidden="1">#REF!</definedName>
    <definedName name="_bdm.03626fdd27c240a884a5e251b7f9bfb5.edm" hidden="1">#REF!</definedName>
    <definedName name="_bdm.037d4518b13549ecae63b597ce402e57.edm" localSheetId="3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localSheetId="3" hidden="1">#REF!</definedName>
    <definedName name="_bdm.03e27083a3d04f28b1f023e45e1fb714.edm" hidden="1">#REF!</definedName>
    <definedName name="_bdm.043c6fdc414c453099de33a39c60cd82.edm" localSheetId="3" hidden="1">#REF!</definedName>
    <definedName name="_bdm.043c6fdc414c453099de33a39c60cd82.edm" hidden="1">#REF!</definedName>
    <definedName name="_bdm.045ab08b3d164f89b515936fbfed84f3.edm" localSheetId="3" hidden="1">#REF!</definedName>
    <definedName name="_bdm.045ab08b3d164f89b515936fbfed84f3.edm" hidden="1">#REF!</definedName>
    <definedName name="_bdm.0509802BC4904463BD9FC7D1014C0CB8.edm" localSheetId="4" hidden="1" xml:space="preserve">   '[20]Achievability Tables'!$A:$IV</definedName>
    <definedName name="_bdm.0509802BC4904463BD9FC7D1014C0CB8.edm" hidden="1">#REF!</definedName>
    <definedName name="_bdm.054448B7CAB14C058E6E96439A96BDED.edm" hidden="1">#REF!</definedName>
    <definedName name="_bdm.05c1fdd7d627494eaec40d1bdd9916c3.edm" localSheetId="3" hidden="1">#REF!</definedName>
    <definedName name="_bdm.05c1fdd7d627494eaec40d1bdd9916c3.edm" hidden="1">#REF!</definedName>
    <definedName name="_bdm.05d41e318ca34b009419b59fa4b3b676.edm" localSheetId="3" hidden="1">#REF!</definedName>
    <definedName name="_bdm.05d41e318ca34b009419b59fa4b3b676.edm" hidden="1">#REF!</definedName>
    <definedName name="_bdm.0609c1f2b5a848f199e71738212b79e5.edm" localSheetId="3" hidden="1">#REF!</definedName>
    <definedName name="_bdm.0609c1f2b5a848f199e71738212b79e5.edm" hidden="1">#REF!</definedName>
    <definedName name="_bdm.0652B2FA48DF4E2B8B56B5AB406B0454.edm" localSheetId="4" hidden="1" xml:space="preserve"> '[21]Bridge Template'!$A:$IV</definedName>
    <definedName name="_bdm.0652B2FA48DF4E2B8B56B5AB406B0454.edm" hidden="1">#REF!</definedName>
    <definedName name="_bdm.0654cf25bd5f4538858bdc812501a16b.edm" localSheetId="3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localSheetId="4" hidden="1" xml:space="preserve">  [20]IS!$A:$IV</definedName>
    <definedName name="_bdm.06D12D44523E4BD7A34C103ABC138FE6.edm" hidden="1">#REF!</definedName>
    <definedName name="_bdm.0702fffde1ea494c98a39a66b0ba6500.edm" localSheetId="3" hidden="1">#REF!</definedName>
    <definedName name="_bdm.0702fffde1ea494c98a39a66b0ba6500.edm" hidden="1">#REF!</definedName>
    <definedName name="_bdm.070d6e7e859b4e4cab4d8d04df745e77.edm" localSheetId="3" hidden="1">#REF!</definedName>
    <definedName name="_bdm.070d6e7e859b4e4cab4d8d04df745e77.edm" hidden="1">#REF!</definedName>
    <definedName name="_bdm.071b235afe1549e0bf0881709f1c0d54.edm" localSheetId="3" hidden="1">#REF!</definedName>
    <definedName name="_bdm.071b235afe1549e0bf0881709f1c0d54.edm" hidden="1">#REF!</definedName>
    <definedName name="_bdm.075a1a1201514dd1add33d09a9798b2c.edm" localSheetId="3" hidden="1">#REF!</definedName>
    <definedName name="_bdm.075a1a1201514dd1add33d09a9798b2c.edm" hidden="1">#REF!</definedName>
    <definedName name="_bdm.079c55ec0e1f403894ae1a587a6592eb.edm" localSheetId="3" hidden="1">#REF!</definedName>
    <definedName name="_bdm.079c55ec0e1f403894ae1a587a6592eb.edm" hidden="1">#REF!</definedName>
    <definedName name="_bdm.07AC53FEE803406C9531892C0564F0F9.edm" localSheetId="4" hidden="1" xml:space="preserve">  '[20]Achievability Tables'!$A:$IV</definedName>
    <definedName name="_bdm.07AC53FEE803406C9531892C0564F0F9.edm" hidden="1">#REF!</definedName>
    <definedName name="_bdm.07e3c56fb00f4c68910be272c026db04.edm" localSheetId="3" hidden="1">#REF!</definedName>
    <definedName name="_bdm.07e3c56fb00f4c68910be272c026db04.edm" hidden="1">#REF!</definedName>
    <definedName name="_bdm.08364d9a86c147649536181892f2a851.edm" localSheetId="3" hidden="1">#REF!</definedName>
    <definedName name="_bdm.08364d9a86c147649536181892f2a851.edm" hidden="1">#REF!</definedName>
    <definedName name="_bdm.085f48ce3ad94945b13e9c45bb61d3a4.edm" localSheetId="3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localSheetId="3" hidden="1">#REF!</definedName>
    <definedName name="_bdm.08646a558b2243c4af1a7025002eb210.edm" hidden="1">#REF!</definedName>
    <definedName name="_bdm.08809FBE138B47CCAD15FC5454D067CE.edm" localSheetId="4" hidden="1" xml:space="preserve">   '[20]Achievability Tables'!$A:$IV</definedName>
    <definedName name="_bdm.08809FBE138B47CCAD15FC5454D067CE.edm" hidden="1">#REF!</definedName>
    <definedName name="_bdm.088a11eac20b4796a79227e565967012.edm" localSheetId="3" hidden="1">#REF!</definedName>
    <definedName name="_bdm.088a11eac20b4796a79227e565967012.edm" hidden="1">#REF!</definedName>
    <definedName name="_bdm.08dc8ebb232d4b1c896a8020b23290a5.edm" localSheetId="3" hidden="1">#REF!</definedName>
    <definedName name="_bdm.08dc8ebb232d4b1c896a8020b23290a5.edm" hidden="1">#REF!</definedName>
    <definedName name="_bdm.08ED4FA6B75744A299D0109409ABDDB2.edm" localSheetId="4" hidden="1" xml:space="preserve">    '[20]Bank Template'!$A:$IV</definedName>
    <definedName name="_bdm.08ED4FA6B75744A299D0109409ABDDB2.edm" hidden="1">#REF!</definedName>
    <definedName name="_bdm.090C1322A53D4D659F6A118AA25D33F5.edm" localSheetId="4" hidden="1" xml:space="preserve">    [20]CF!$A:$IV</definedName>
    <definedName name="_bdm.090C1322A53D4D659F6A118AA25D33F5.edm" hidden="1">#REF!</definedName>
    <definedName name="_bdm.094c9a60126742c49c6b740999be523e.edm" localSheetId="3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localSheetId="3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localSheetId="4" hidden="1" xml:space="preserve">   '[20]Detailed CapexPAC'!$A:$IV</definedName>
    <definedName name="_bdm.0B006983832D4A4BB0CAA77AAD8BD7F5.edm" hidden="1">#REF!</definedName>
    <definedName name="_bdm.0B16DDC8F11446EF80BD96B0B2830468.edm" localSheetId="4" hidden="1" xml:space="preserve">  '[20]Achievability Tables'!$A:$IV</definedName>
    <definedName name="_bdm.0B16DDC8F11446EF80BD96B0B2830468.edm" hidden="1">#REF!</definedName>
    <definedName name="_bdm.0b37db4a34ab4a23987e554069083de0.edm" hidden="1">#REF!</definedName>
    <definedName name="_bdm.0B4E7C16708143ABB997E9DB54FE61B7.edm" localSheetId="4" hidden="1" xml:space="preserve">  [20]IS!$A:$IV</definedName>
    <definedName name="_bdm.0B4E7C16708143ABB997E9DB54FE61B7.edm" hidden="1">#REF!</definedName>
    <definedName name="_bdm.0B5452ADFF0E465CA600F079340A5DBC.edm" hidden="1">#REF!</definedName>
    <definedName name="_bdm.0b77dca4977c4a3ab152f956eb80866c.edm" localSheetId="3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localSheetId="3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localSheetId="4" hidden="1" xml:space="preserve">  '[20]Achievability Tables'!$A:$IV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localSheetId="3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localSheetId="4" hidden="1" xml:space="preserve">   '[20]Achievability Tables'!$A:$IV</definedName>
    <definedName name="_bdm.0E87031A59F24634B5DF3E339424E512.edm" hidden="1">#REF!</definedName>
    <definedName name="_bdm.0eb340df2fb54a288da133be275b3709.edm" localSheetId="3" hidden="1">#REF!</definedName>
    <definedName name="_bdm.0eb340df2fb54a288da133be275b3709.edm" hidden="1">#REF!</definedName>
    <definedName name="_bdm.0ec9dbf7b56643149400d2ecf17b1f71.edm" localSheetId="3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localSheetId="4" hidden="1" xml:space="preserve">  '[20]Credit Stats'!$A:$IV</definedName>
    <definedName name="_bdm.0F2D4F2161D545EA90A4972FB5A47AE4.edm" hidden="1">#REF!</definedName>
    <definedName name="_bdm.0f4094d63cc24715b399dd0c9a82ec15.edm" localSheetId="3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localSheetId="3" hidden="1">#REF!</definedName>
    <definedName name="_bdm.0f79cfab8bde4becbbac228fa794bb8d.edm" hidden="1">#REF!</definedName>
    <definedName name="_bdm.0f89dd2f267c4a5bbee91978d40a6a0a.edm" localSheetId="3" hidden="1">#REF!</definedName>
    <definedName name="_bdm.0f89dd2f267c4a5bbee91978d40a6a0a.edm" hidden="1">#REF!</definedName>
    <definedName name="_bdm.0fd19ac5948c4134959715eb86d50990.edm" localSheetId="3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localSheetId="3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localSheetId="4" hidden="1" xml:space="preserve">   '[20]New Tables'!$A:$IV</definedName>
    <definedName name="_bdm.10EE248B6C1C4AF3B497BF73778A146B.edm" hidden="1">#REF!</definedName>
    <definedName name="_bdm.10f5d80f6bcc49448ae29bb8784e21b1.edm" localSheetId="3" hidden="1">#REF!</definedName>
    <definedName name="_bdm.10f5d80f6bcc49448ae29bb8784e21b1.edm" hidden="1">#REF!</definedName>
    <definedName name="_bdm.118a4542216e4d4c96e7546bc6c6703b.edm" localSheetId="3" hidden="1">#REF!</definedName>
    <definedName name="_bdm.118a4542216e4d4c96e7546bc6c6703b.edm" hidden="1">#REF!</definedName>
    <definedName name="_bdm.11964115B08D41A389E489A0AB814BD8.edm" localSheetId="4" hidden="1" xml:space="preserve">  '[20]Achievability Tables'!$A:$IV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localSheetId="3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localSheetId="3" hidden="1">#REF!</definedName>
    <definedName name="_bdm.12abb021b4ca4ab18f392555ad0e1f37.edm" hidden="1">#REF!</definedName>
    <definedName name="_bdm.1342FBAC436D49058A60BB38DB85549F.edm" localSheetId="4" hidden="1" xml:space="preserve">    '[20]Achievability Tables'!$A:$IV</definedName>
    <definedName name="_bdm.1342FBAC436D49058A60BB38DB85549F.edm" hidden="1">#REF!</definedName>
    <definedName name="_bdm.13845ca0445c4965ac3a19d09dbec3c0.edm" localSheetId="3" hidden="1">#REF!</definedName>
    <definedName name="_bdm.13845ca0445c4965ac3a19d09dbec3c0.edm" hidden="1">#REF!</definedName>
    <definedName name="_bdm.13DDB2E78C0247C88D1DFFC76BEBBDF0.edm" localSheetId="4" hidden="1" xml:space="preserve"> '[22]Summary FS'!$A:$IV</definedName>
    <definedName name="_bdm.13DDB2E78C0247C88D1DFFC76BEBBDF0.edm" hidden="1">#REF!</definedName>
    <definedName name="_bdm.149d4594b951441e9199db712bdc187e.edm" localSheetId="3" hidden="1">#REF!</definedName>
    <definedName name="_bdm.149d4594b951441e9199db712bdc187e.edm" hidden="1">#REF!</definedName>
    <definedName name="_bdm.14a64e02bc93401cad017a4b73241b8a.edm" localSheetId="3" hidden="1">#REF!</definedName>
    <definedName name="_bdm.14a64e02bc93401cad017a4b73241b8a.edm" hidden="1">#REF!</definedName>
    <definedName name="_bdm.14de1d75093249f7987c6b17faca4904.edm" localSheetId="3" hidden="1">#REF!</definedName>
    <definedName name="_bdm.14de1d75093249f7987c6b17faca4904.edm" hidden="1">#REF!</definedName>
    <definedName name="_bdm.14FE4641874C4F7E99B67E50923FF628.edm" localSheetId="4" hidden="1">[23]Capitalization!$A:$IV</definedName>
    <definedName name="_bdm.14FE4641874C4F7E99B67E50923FF628.edm" hidden="1">#REF!</definedName>
    <definedName name="_bdm.155a81f352e44220b3a19f984f95d2a0.edm" localSheetId="3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localSheetId="3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localSheetId="3" hidden="1">#REF!</definedName>
    <definedName name="_bdm.15efc36fa8ac472db4742d641f4ecf87.edm" hidden="1">#REF!</definedName>
    <definedName name="_bdm.161f9accd8d14c5ea07f52762c46f794.edm" localSheetId="3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localSheetId="4" hidden="1" xml:space="preserve">  [20]CF!$A:$IV</definedName>
    <definedName name="_bdm.163B76C3758B4E4B8C86E3E09B9718E7.edm" hidden="1">#REF!</definedName>
    <definedName name="_bdm.163E2FDCECFE4D2B9834E952F20E3FF8.edm" localSheetId="4" hidden="1" xml:space="preserve">    '[20]Achievability Tables'!$A:$IV</definedName>
    <definedName name="_bdm.163E2FDCECFE4D2B9834E952F20E3FF8.edm" hidden="1">#REF!</definedName>
    <definedName name="_bdm.165C12FE986E4CC6B7F27A6F259F2FD6.edm" localSheetId="4" hidden="1" xml:space="preserve">   [20]CF!$A:$IV</definedName>
    <definedName name="_bdm.165C12FE986E4CC6B7F27A6F259F2FD6.edm" hidden="1">#REF!</definedName>
    <definedName name="_bdm.165e420bd8d24aa791048139c3dcdcc0.edm" localSheetId="3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localSheetId="4" hidden="1" xml:space="preserve">  '[20]Achievability Tables'!$A:$IV</definedName>
    <definedName name="_bdm.17098ED9C95B4C0E87C052D54D4497F9.edm" hidden="1">#REF!</definedName>
    <definedName name="_bdm.17254d00a7ec4931b55116eb97923d54.edm" localSheetId="3" hidden="1">#REF!</definedName>
    <definedName name="_bdm.17254d00a7ec4931b55116eb97923d54.edm" hidden="1">#REF!</definedName>
    <definedName name="_bdm.1725CF220F8544B3A93A6A34452DE3B4.edm" localSheetId="4" hidden="1" xml:space="preserve"> '[24]PF Cap'!$A:$IV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localSheetId="4" hidden="1" xml:space="preserve">    [20]YTD!$A:$IV</definedName>
    <definedName name="_bdm.17F361D5D23747BA948495BA7E88A00D.edm" hidden="1">#REF!</definedName>
    <definedName name="_bdm.17F866F4A5424D21907A0346A2C2702B.edm" localSheetId="4" hidden="1" xml:space="preserve">   '[20]Segment IS'!$A:$IV</definedName>
    <definedName name="_bdm.17F866F4A5424D21907A0346A2C2702B.edm" hidden="1">#REF!</definedName>
    <definedName name="_bdm.182787D565184E4AB3881D694E316428.edm" hidden="1">#REF!</definedName>
    <definedName name="_bdm.182A092D6D1C466DA73C10E7A82062CE.edm" localSheetId="4" hidden="1" xml:space="preserve">  '[20]Achievability Tables'!$A:$IV</definedName>
    <definedName name="_bdm.182A092D6D1C466DA73C10E7A82062CE.edm" hidden="1">#REF!</definedName>
    <definedName name="_bdm.1843A4C3559E43EF8F9135CB54A394F2.edm" localSheetId="4" hidden="1" xml:space="preserve">    '[20]Achievability Tables'!$A:$IV</definedName>
    <definedName name="_bdm.1843A4C3559E43EF8F9135CB54A394F2.edm" hidden="1">#REF!</definedName>
    <definedName name="_bdm.193D915E02F146CA859378D720843DFF.edm" hidden="1">#REF!</definedName>
    <definedName name="_bdm.19b5a1288ed64201bc4d948565596727.edm" localSheetId="3" hidden="1">#REF!</definedName>
    <definedName name="_bdm.19b5a1288ed64201bc4d948565596727.edm" hidden="1">#REF!</definedName>
    <definedName name="_bdm.19d3ed773bc749e891e61e2bfd2881a4.edm" localSheetId="3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localSheetId="3" hidden="1">#REF!</definedName>
    <definedName name="_bdm.1a44e8ba301247189b247078990a1d08.edm" hidden="1">#REF!</definedName>
    <definedName name="_bdm.1a8c98cfbcad46eeb2d280d175dafafa.edm" localSheetId="3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localSheetId="4" hidden="1" xml:space="preserve">   [20]IS!$A:$IV</definedName>
    <definedName name="_bdm.1A9DAEE8FC174312986F4582C72DF1DD.edm" hidden="1">#REF!</definedName>
    <definedName name="_bdm.1b3724c46d524ab18570a28ed830b306.edm" localSheetId="3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localSheetId="3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localSheetId="3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localSheetId="4" hidden="1" xml:space="preserve">  [20]Collateral!$A:$IV</definedName>
    <definedName name="_bdm.1D6EF08EA1B9481CBD26D8122B8479A0.edm" hidden="1">#REF!</definedName>
    <definedName name="_bdm.1da0b2e9e93f4c9b9c753e47a5796a2e.edm" localSheetId="3" hidden="1">#REF!</definedName>
    <definedName name="_bdm.1da0b2e9e93f4c9b9c753e47a5796a2e.edm" hidden="1">#REF!</definedName>
    <definedName name="_bdm.1df25fc4bf6445dcba7faf769f4c7755.edm" localSheetId="3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localSheetId="3" hidden="1">#REF!</definedName>
    <definedName name="_bdm.1e188ebbe7d044afbd43b1c0bc391320.edm" hidden="1">#REF!</definedName>
    <definedName name="_bdm.1e3ad49672f14521986842f6368e9764.edm" localSheetId="3" hidden="1">#REF!</definedName>
    <definedName name="_bdm.1e3ad49672f14521986842f6368e9764.edm" hidden="1">#REF!</definedName>
    <definedName name="_bdm.1e511d4c3b394f81987d64d06cb87ee9.edm" localSheetId="3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localSheetId="3" hidden="1">#REF!</definedName>
    <definedName name="_bdm.1f1f374b2d7541f8812eb9cad25495fc.edm" hidden="1">#REF!</definedName>
    <definedName name="_bdm.1FD4499AC9D54CE78C54643664F39825.edm" localSheetId="4" hidden="1" xml:space="preserve"> '[21]Carls Jr Development'!$A:$IV</definedName>
    <definedName name="_bdm.1FD4499AC9D54CE78C54643664F39825.edm" hidden="1">#REF!</definedName>
    <definedName name="_bdm.20053C720B2945AEA78B20822BD2B6C6.edm" hidden="1">#REF!</definedName>
    <definedName name="_bdm.201243D001344D18B490F478F4DFD232.edm" localSheetId="4" hidden="1" xml:space="preserve">  '[20]Achievability Tables'!$A:$IV</definedName>
    <definedName name="_bdm.201243D001344D18B490F478F4DFD232.edm" hidden="1">#REF!</definedName>
    <definedName name="_bdm.2033b72dc0b5443e9c783cf33c0686d9.edm" localSheetId="3" hidden="1">#REF!</definedName>
    <definedName name="_bdm.2033b72dc0b5443e9c783cf33c0686d9.edm" hidden="1">#REF!</definedName>
    <definedName name="_bdm.20b133d5d2e344bd9f2b1e88a4f3d05e.edm" localSheetId="3" hidden="1">#REF!</definedName>
    <definedName name="_bdm.20b133d5d2e344bd9f2b1e88a4f3d05e.edm" hidden="1">#REF!</definedName>
    <definedName name="_bdm.20ea8949827f4681b3fbb2c01098f4c5.edm" localSheetId="3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localSheetId="4" hidden="1" xml:space="preserve">    '[20]Interest Rate Credit Stats'!$A:$IV</definedName>
    <definedName name="_bdm.214F2EF6C5C045DA91441430114DE4DE.edm" hidden="1">#REF!</definedName>
    <definedName name="_bdm.217AA813249D48AF92C8A8EE718400AE.edm" localSheetId="4" hidden="1" xml:space="preserve">  '[20]Achievability Tables'!$A:$IV</definedName>
    <definedName name="_bdm.217AA813249D48AF92C8A8EE718400AE.edm" hidden="1">#REF!</definedName>
    <definedName name="_bdm.217f101e86824dd39b5eb4981696be81.edm" localSheetId="3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localSheetId="3" hidden="1">#REF!</definedName>
    <definedName name="_bdm.21f18a5395044fe6a8e80ed5bf11c361.edm" hidden="1">#REF!</definedName>
    <definedName name="_bdm.223FA0F578B54D3985D5F1916242D99E.edm" localSheetId="4" hidden="1" xml:space="preserve">   '[20]New Tables'!$A:$IV</definedName>
    <definedName name="_bdm.223FA0F578B54D3985D5F1916242D99E.edm" hidden="1">#REF!</definedName>
    <definedName name="_bdm.2270030379c54705bb2cae5079b2ab6d.edm" hidden="1">#REF!</definedName>
    <definedName name="_bdm.2280b798ba774129840235ee8bddc8b8.edm" localSheetId="3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localSheetId="4" hidden="1" xml:space="preserve">  [20]CF!$A:$IV</definedName>
    <definedName name="_bdm.22F8688D6FCA481B82CA2039A5430694.edm" hidden="1">#REF!</definedName>
    <definedName name="_bdm.22FD4F24C54D4968A47F3928B17B6284.edm" hidden="1">#REF!</definedName>
    <definedName name="_bdm.232CF17E728046D0980AB3855D0034E2.edm" localSheetId="4" hidden="1" xml:space="preserve">  '[20]Detailed CapexPAC'!$A:$IV</definedName>
    <definedName name="_bdm.232CF17E728046D0980AB3855D0034E2.edm" hidden="1">#REF!</definedName>
    <definedName name="_bdm.236748EDED7F49FF9D8C8341C398889E.edm" hidden="1">#REF!</definedName>
    <definedName name="_bdm.23b40b83634941b3b6231b3ed9a3dae8.edm" localSheetId="3" hidden="1">#REF!</definedName>
    <definedName name="_bdm.23b40b83634941b3b6231b3ed9a3dae8.edm" hidden="1">#REF!</definedName>
    <definedName name="_bdm.23f51f4480604086be63fed28c135170.edm" localSheetId="3" hidden="1">#REF!</definedName>
    <definedName name="_bdm.23f51f4480604086be63fed28c135170.edm" hidden="1">#REF!</definedName>
    <definedName name="_bdm.243683C5B1934B80B13188D70B3990DC.edm" localSheetId="4" hidden="1" xml:space="preserve">    '[20]Sensitivity Driver'!$A:$IV</definedName>
    <definedName name="_bdm.243683C5B1934B80B13188D70B3990DC.edm" hidden="1">#REF!</definedName>
    <definedName name="_bdm.24425d823cde47d19a22470bd756b27e.edm" localSheetId="3" hidden="1">#REF!</definedName>
    <definedName name="_bdm.24425d823cde47d19a22470bd756b27e.edm" hidden="1">#REF!</definedName>
    <definedName name="_bdm.24713fd4cf5241bf8252fb3fb1a8b163.edm" localSheetId="3" hidden="1">#REF!</definedName>
    <definedName name="_bdm.24713fd4cf5241bf8252fb3fb1a8b163.edm" hidden="1">#REF!</definedName>
    <definedName name="_bdm.24cadab9916b44ba896b904412433ca2.edm" localSheetId="3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localSheetId="3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localSheetId="3" hidden="1">#REF!</definedName>
    <definedName name="_bdm.257aba792fa8462a9614386d1dfa6784.edm" hidden="1">#REF!</definedName>
    <definedName name="_bdm.25B1ECE57C9947209199BF7D79B7C176.edm" localSheetId="4" hidden="1" xml:space="preserve">   '[20]Achievability Tables'!$A:$IV</definedName>
    <definedName name="_bdm.25B1ECE57C9947209199BF7D79B7C176.edm" hidden="1">#REF!</definedName>
    <definedName name="_bdm.25ee398630a54bbaab7d99857e17996b.edm" localSheetId="3" hidden="1">#REF!</definedName>
    <definedName name="_bdm.25ee398630a54bbaab7d99857e17996b.edm" hidden="1">#REF!</definedName>
    <definedName name="_bdm.2627113b5c484245abb8bbe3211a996f.edm" localSheetId="3" hidden="1">#REF!</definedName>
    <definedName name="_bdm.2627113b5c484245abb8bbe3211a996f.edm" hidden="1">#REF!</definedName>
    <definedName name="_bdm.2637f28d140a4a84af9a5bd6ce59db7b.edm" localSheetId="3" hidden="1">#REF!</definedName>
    <definedName name="_bdm.2637f28d140a4a84af9a5bd6ce59db7b.edm" hidden="1">#REF!</definedName>
    <definedName name="_bdm.263b51a7ca6845cea5a4035e0047a973.edm" localSheetId="3" hidden="1">#REF!</definedName>
    <definedName name="_bdm.263b51a7ca6845cea5a4035e0047a973.edm" hidden="1">#REF!</definedName>
    <definedName name="_bdm.26739ce91e914f7480bc8e2c611d90c3.edm" localSheetId="3" hidden="1">#REF!</definedName>
    <definedName name="_bdm.26739ce91e914f7480bc8e2c611d90c3.edm" hidden="1">#REF!</definedName>
    <definedName name="_bdm.26ca2399f5f7481287e67a7a7400e249.edm" localSheetId="3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localSheetId="3" hidden="1">#REF!</definedName>
    <definedName name="_bdm.26ee4f5052d94d30bb66de7e0a85a738.edm" hidden="1">#REF!</definedName>
    <definedName name="_bdm.26f42bc24b0e4b92a8d87672d54483a2.edm" localSheetId="3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localSheetId="3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localSheetId="3" hidden="1">#REF!</definedName>
    <definedName name="_bdm.27ae987d88ba453691fd200d91c2626c.edm" hidden="1">#REF!</definedName>
    <definedName name="_bdm.27bb14e4c1954c56bcf24e35fbab643f.edm" localSheetId="3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localSheetId="3" hidden="1">#REF!</definedName>
    <definedName name="_bdm.28358c9936184211970d32326d14d071.edm" hidden="1">#REF!</definedName>
    <definedName name="_bdm.284de23307764dbb816ab06dcfe75ab4.edm" localSheetId="3" hidden="1">#REF!</definedName>
    <definedName name="_bdm.284de23307764dbb816ab06dcfe75ab4.edm" hidden="1">#REF!</definedName>
    <definedName name="_bdm.287f77b6531a40f5ad0e5f933f9d7c39.edm" localSheetId="3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localSheetId="3" hidden="1">#REF!</definedName>
    <definedName name="_bdm.29bdd1ec0d904ea8a307918122d9c73a.edm" hidden="1">#REF!</definedName>
    <definedName name="_bdm.29bdd63234c543df81de6a504b8dd8c2.edm" localSheetId="3" hidden="1">#REF!</definedName>
    <definedName name="_bdm.29bdd63234c543df81de6a504b8dd8c2.edm" hidden="1">#REF!</definedName>
    <definedName name="_bdm.2a4628af0a924867a24bde48be0ed1c5.edm" localSheetId="3" hidden="1">#REF!</definedName>
    <definedName name="_bdm.2a4628af0a924867a24bde48be0ed1c5.edm" hidden="1">#REF!</definedName>
    <definedName name="_bdm.2a967514a6b2456e9639d229a94aff06.edm" localSheetId="3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localSheetId="3" hidden="1">#REF!</definedName>
    <definedName name="_bdm.2b51baccf1f2431db8be24ff4dbaf875.edm" hidden="1">#REF!</definedName>
    <definedName name="_bdm.2b530232d54743d58ed7e90e7a04c274.edm" localSheetId="3" hidden="1">#REF!</definedName>
    <definedName name="_bdm.2b530232d54743d58ed7e90e7a04c274.edm" hidden="1">#REF!</definedName>
    <definedName name="_bdm.2B8991C8FB944E59AAE16E141B55BB80.edm" localSheetId="4" hidden="1" xml:space="preserve"> '[21]Carls Jr Development'!$A:$IV</definedName>
    <definedName name="_bdm.2B8991C8FB944E59AAE16E141B55BB80.edm" hidden="1">#REF!</definedName>
    <definedName name="_bdm.2BDF6DC525A84AF5B02C3F48FC64E9D2.edm" localSheetId="4" hidden="1" xml:space="preserve">   '[20]Achievability Tables'!$A:$IV</definedName>
    <definedName name="_bdm.2BDF6DC525A84AF5B02C3F48FC64E9D2.edm" hidden="1">#REF!</definedName>
    <definedName name="_bdm.2BF54DEE655D4906A1DCB89B5C0326CB.edm" localSheetId="4" hidden="1" xml:space="preserve">  '[20]Achievability Tables'!$A:$IV</definedName>
    <definedName name="_bdm.2BF54DEE655D4906A1DCB89B5C0326CB.edm" hidden="1">#REF!</definedName>
    <definedName name="_bdm.2C089501CA6F479FA3F60A4BD1CD2F8A.edm" localSheetId="4" hidden="1" xml:space="preserve">   '[20]New Stores AUV'!$A:$IV</definedName>
    <definedName name="_bdm.2C089501CA6F479FA3F60A4BD1CD2F8A.edm" hidden="1">#REF!</definedName>
    <definedName name="_bdm.2c44d44e52b045ffa8fe2e9cadc79367.edm" localSheetId="3" hidden="1">#REF!</definedName>
    <definedName name="_bdm.2c44d44e52b045ffa8fe2e9cadc79367.edm" hidden="1">#REF!</definedName>
    <definedName name="_bdm.2c66d06aa4cf42c09e3bae0113af59ab.edm" localSheetId="3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localSheetId="3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localSheetId="4" hidden="1" xml:space="preserve">  '[20]Achievability Tables'!$A:$IV</definedName>
    <definedName name="_bdm.2E428D2EC9814B68ADCCB9B19DB22E22.edm" hidden="1">#REF!</definedName>
    <definedName name="_bdm.2E7B545BEAF84FB6AD74432F0FCDAA48.edm" hidden="1">#REF!</definedName>
    <definedName name="_bdm.2F096A31D9F148B985FD794312F898E4.edm" localSheetId="4" hidden="1" xml:space="preserve">  '[20]Achievability Tables'!$A:$IV</definedName>
    <definedName name="_bdm.2F096A31D9F148B985FD794312F898E4.edm" hidden="1">#REF!</definedName>
    <definedName name="_bdm.2F25D9E0D1E14980B59276BB4E10A158.edm" localSheetId="4" hidden="1" xml:space="preserve">  '[20]Achievability Tables'!$A:$IV</definedName>
    <definedName name="_bdm.2F25D9E0D1E14980B59276BB4E10A158.edm" hidden="1">#REF!</definedName>
    <definedName name="_bdm.2F6975CF55FF41E4848167BE00595E8A.edm" hidden="1">#REF!</definedName>
    <definedName name="_bdm.2f764358905742309209e081d925ab0a.edm" localSheetId="3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localSheetId="3" hidden="1">#REF!</definedName>
    <definedName name="_bdm.30650b2ae87a4afb9fc4c9f96d48a440.edm" hidden="1">#REF!</definedName>
    <definedName name="_bdm.30b0f2c5916540dcaf0df7aa1fadc8d6.edm" localSheetId="3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localSheetId="3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localSheetId="4" hidden="1" xml:space="preserve"> '[21]Business Desc'!$A:$IV</definedName>
    <definedName name="_bdm.31FAF8A743024EF6BDEB1151DDF166DE.edm" hidden="1">#REF!</definedName>
    <definedName name="_bdm.3240772a488f450484ba85b27010132e.edm" localSheetId="3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localSheetId="3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localSheetId="4" hidden="1" xml:space="preserve"> '[21]Bank Template1'!$A:$IV</definedName>
    <definedName name="_bdm.332B2404CFE4441796AA1544CF40DB4E.edm" hidden="1">#REF!</definedName>
    <definedName name="_bdm.3330340883b64152a1007c368181196e.edm" localSheetId="3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localSheetId="3" hidden="1">#REF!</definedName>
    <definedName name="_bdm.3392267d55b545308c7e6cd85de8a70e.edm" hidden="1">#REF!</definedName>
    <definedName name="_bdm.33a0f232eb444a869621b6d9321b0c8e.edm" localSheetId="3" hidden="1">#REF!</definedName>
    <definedName name="_bdm.33a0f232eb444a869621b6d9321b0c8e.edm" hidden="1">#REF!</definedName>
    <definedName name="_bdm.33c2142252b442ba8b398b61b8f865c4.edm" localSheetId="3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localSheetId="4" hidden="1">'[23]Credit Stats'!$A:$IV</definedName>
    <definedName name="_bdm.349557DCBEFF4F8E8D5C0228BF7D84B3.edm" hidden="1">#REF!</definedName>
    <definedName name="_bdm.34955D7CE2324A58AFBD7D751BAE3E08.edm" hidden="1">#REF!</definedName>
    <definedName name="_bdm.34ae6f1a3ba94e0d80f1f62c2babe7b9.edm" localSheetId="3" hidden="1">#REF!</definedName>
    <definedName name="_bdm.34ae6f1a3ba94e0d80f1f62c2babe7b9.edm" hidden="1">#REF!</definedName>
    <definedName name="_bdm.34B4F250FC6A4966A5ABFD741CD31C7F.edm" localSheetId="4" hidden="1" xml:space="preserve">  '[20]EBITDA Chart'!$A:$IV</definedName>
    <definedName name="_bdm.34B4F250FC6A4966A5ABFD741CD31C7F.edm" hidden="1">#REF!</definedName>
    <definedName name="_bdm.3549448c72bc40418d167246cf0805b6.edm" localSheetId="3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localSheetId="4" hidden="1" xml:space="preserve"> '[21]Hardees Corp. Development'!$A:$IV</definedName>
    <definedName name="_bdm.361A9A36F2BF4DC09160CE67DB22EADA.edm" hidden="1">#REF!</definedName>
    <definedName name="_bdm.3662573a2ae3434e9442e92e78fb4d1a.edm" localSheetId="3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localSheetId="3" hidden="1">#REF!</definedName>
    <definedName name="_bdm.36cf3eb2a1f0447088286c1e79fc7597.edm" hidden="1">#REF!</definedName>
    <definedName name="_bdm.3725BDC49D8E40C3A1171C39655E8550.edm" localSheetId="4" hidden="1" xml:space="preserve">    '[20]Base vs Sensitivity'!$A:$IV</definedName>
    <definedName name="_bdm.3725BDC49D8E40C3A1171C39655E8550.edm" hidden="1">#REF!</definedName>
    <definedName name="_bdm.373192c3eb59472d84376f35429bb77d.edm" localSheetId="3" hidden="1">#REF!</definedName>
    <definedName name="_bdm.373192c3eb59472d84376f35429bb77d.edm" hidden="1">#REF!</definedName>
    <definedName name="_bdm.3920272cca354aa9ad478259c7e5bcac.edm" localSheetId="3" hidden="1">#REF!</definedName>
    <definedName name="_bdm.3920272cca354aa9ad478259c7e5bcac.edm" hidden="1">#REF!</definedName>
    <definedName name="_bdm.3955febee045472fab13513e64947e86.edm" localSheetId="3" hidden="1">#REF!</definedName>
    <definedName name="_bdm.3955febee045472fab13513e64947e86.edm" hidden="1">#REF!</definedName>
    <definedName name="_bdm.39a0bb98bd814291ae4500c6dc325d44.edm" localSheetId="3" hidden="1">#REF!</definedName>
    <definedName name="_bdm.39a0bb98bd814291ae4500c6dc325d44.edm" hidden="1">#REF!</definedName>
    <definedName name="_bdm.39d884162cc24972978a665680bd2ed1.edm" localSheetId="3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localSheetId="3" hidden="1">#REF!</definedName>
    <definedName name="_bdm.3a0da54eceaf4ec5912551cd7a4b2f2d.edm" hidden="1">#REF!</definedName>
    <definedName name="_bdm.3a2482b6aaee4237a33933240604b996.edm" localSheetId="3" hidden="1">#REF!</definedName>
    <definedName name="_bdm.3a2482b6aaee4237a33933240604b996.edm" hidden="1">#REF!</definedName>
    <definedName name="_bdm.3A4002C051C84559AFF45376905AD802.edm" localSheetId="4" hidden="1" xml:space="preserve"> [24]BS!$A:$IV</definedName>
    <definedName name="_bdm.3A4002C051C84559AFF45376905AD802.edm" hidden="1">#REF!</definedName>
    <definedName name="_bdm.3a78abfb5c7e40d49b1da5692a5fe9d6.edm" localSheetId="3" hidden="1">#REF!</definedName>
    <definedName name="_bdm.3a78abfb5c7e40d49b1da5692a5fe9d6.edm" hidden="1">#REF!</definedName>
    <definedName name="_bdm.3aa0b8187cb041708f15fe12ae5e82c5.edm" localSheetId="3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localSheetId="3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localSheetId="3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localSheetId="3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localSheetId="3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localSheetId="3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localSheetId="4" hidden="1" xml:space="preserve"> '[24]PF Cap'!$A:$IV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localSheetId="3" hidden="1">#REF!</definedName>
    <definedName name="_bdm.3e542032443b4d1595d9a65ad44659e3.edm" hidden="1">#REF!</definedName>
    <definedName name="_bdm.3E58AE55A8EF49399E9383CE951C01D1.edm" localSheetId="4" hidden="1" xml:space="preserve">   '[20]New Tables'!$A:$IV</definedName>
    <definedName name="_bdm.3E58AE55A8EF49399E9383CE951C01D1.edm" hidden="1">#REF!</definedName>
    <definedName name="_bdm.3e702c8d86914662a44f17ae04dd6c0f.edm" localSheetId="3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localSheetId="3" hidden="1">#REF!</definedName>
    <definedName name="_bdm.3f8a93ee08d8465388d747f869172d09.edm" hidden="1">#REF!</definedName>
    <definedName name="_bdm.40023466d52b4d1c9f8eb6696e505225.edm" localSheetId="3" hidden="1">#REF!</definedName>
    <definedName name="_bdm.40023466d52b4d1c9f8eb6696e505225.edm" hidden="1">#REF!</definedName>
    <definedName name="_bdm.401d35fb9d0149f881d8e1f948149022.edm" localSheetId="3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localSheetId="3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localSheetId="3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localSheetId="3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localSheetId="3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localSheetId="3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localSheetId="3" hidden="1">#REF!</definedName>
    <definedName name="_bdm.43d3a68cf69b4cd2b601df3b615d71a3.edm" hidden="1">#REF!</definedName>
    <definedName name="_bdm.440e53c1d1cc423eb66fcd8b09adf5e9.edm" localSheetId="3" hidden="1">#REF!</definedName>
    <definedName name="_bdm.440e53c1d1cc423eb66fcd8b09adf5e9.edm" hidden="1">#REF!</definedName>
    <definedName name="_bdm.4424070149624779a4ea912f7988c597.edm" localSheetId="3" hidden="1">#REF!</definedName>
    <definedName name="_bdm.4424070149624779a4ea912f7988c597.edm" hidden="1">#REF!</definedName>
    <definedName name="_bdm.442d5fb5663d41ab94ac5ece5355a118.edm" localSheetId="3" hidden="1">#REF!</definedName>
    <definedName name="_bdm.442d5fb5663d41ab94ac5ece5355a118.edm" hidden="1">#REF!</definedName>
    <definedName name="_bdm.4443a2ade35e4fe494067d37883394d5.edm" localSheetId="3" hidden="1">#REF!</definedName>
    <definedName name="_bdm.4443a2ade35e4fe494067d37883394d5.edm" hidden="1">#REF!</definedName>
    <definedName name="_bdm.446b94b694544674ba73cea4d8f439f4.edm" localSheetId="3" hidden="1">#REF!</definedName>
    <definedName name="_bdm.446b94b694544674ba73cea4d8f439f4.edm" hidden="1">#REF!</definedName>
    <definedName name="_bdm.4475203ffceb4f34b9215fa33175121b.edm" localSheetId="3" hidden="1">#REF!</definedName>
    <definedName name="_bdm.4475203ffceb4f34b9215fa33175121b.edm" hidden="1">#REF!</definedName>
    <definedName name="_bdm.4492482F0B55452FB99276AE12073F54.edm" localSheetId="4" hidden="1" xml:space="preserve">  [20]BS!$A:$IV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localSheetId="3" hidden="1">#REF!</definedName>
    <definedName name="_bdm.45e9ebf901b4456eb4e374971bdbd966.edm" hidden="1">#REF!</definedName>
    <definedName name="_bdm.460747DA77EB47A98CFB755E79265356.edm" localSheetId="4" hidden="1" xml:space="preserve">  [20]Collateral!$A:$IV</definedName>
    <definedName name="_bdm.460747DA77EB47A98CFB755E79265356.edm" hidden="1">#REF!</definedName>
    <definedName name="_bdm.46518f35a24a449a97e8f5ce766a5ddd.edm" localSheetId="3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localSheetId="4" hidden="1" xml:space="preserve"> '[21]YTD SSS'!$A:$IV</definedName>
    <definedName name="_bdm.46D3E9C7DA6F4704932482F5213A38EB.edm" hidden="1">#REF!</definedName>
    <definedName name="_bdm.4706DBBE78864C68B8256DA2B6FFD654.edm" hidden="1">#REF!</definedName>
    <definedName name="_bdm.4713cc420d9d48e483c0f0f723fbb512.edm" localSheetId="3" hidden="1">#REF!</definedName>
    <definedName name="_bdm.4713cc420d9d48e483c0f0f723fbb512.edm" hidden="1">#REF!</definedName>
    <definedName name="_bdm.473b6248bcf04b3780e511ac519b0604.edm" localSheetId="3" hidden="1">#REF!</definedName>
    <definedName name="_bdm.473b6248bcf04b3780e511ac519b0604.edm" hidden="1">#REF!</definedName>
    <definedName name="_bdm.47486A06C8AD425688AFCB3B22D1133A.edm" localSheetId="4" hidden="1" xml:space="preserve">   '[20]New Tables'!$A:$IV</definedName>
    <definedName name="_bdm.47486A06C8AD425688AFCB3B22D1133A.edm" hidden="1">#REF!</definedName>
    <definedName name="_bdm.478B5CD28C844133AACFC9DF39DC43AF.edm" localSheetId="4" hidden="1" xml:space="preserve">    '[20]Achievability Tables'!$A:$IV</definedName>
    <definedName name="_bdm.478B5CD28C844133AACFC9DF39DC43AF.edm" hidden="1">#REF!</definedName>
    <definedName name="_bdm.47A5125EAD2C4B84869A09204F39D5C8.edm" hidden="1">#REF!</definedName>
    <definedName name="_bdm.47e1391c91d04ed7a7ed5a54c6089302.edm" localSheetId="3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localSheetId="3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localSheetId="3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localSheetId="3" hidden="1">#REF!</definedName>
    <definedName name="_bdm.499a640b000e4f9187cf678c4a951679.edm" hidden="1">#REF!</definedName>
    <definedName name="_bdm.49bfe6b409dd4b9cbe0ed46352da753f.edm" localSheetId="3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localSheetId="4" hidden="1" xml:space="preserve">  '[20]Achievability Tables'!$A:$IV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localSheetId="3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localSheetId="3" hidden="1">#REF!</definedName>
    <definedName name="_bdm.4b9661d0a78140218b24f9b85ddddd91.edm" hidden="1">#REF!</definedName>
    <definedName name="_bdm.4baface7cfc84a39863eabd34c940b99.edm" localSheetId="3" hidden="1">#REF!</definedName>
    <definedName name="_bdm.4baface7cfc84a39863eabd34c940b99.edm" hidden="1">#REF!</definedName>
    <definedName name="_bdm.4be8c97a2b344e7e9f7aea4c3a1eea55.edm" localSheetId="3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localSheetId="3" hidden="1">#REF!</definedName>
    <definedName name="_bdm.4bf95a4284a04736975b8ed75007ca0b.edm" hidden="1">#REF!</definedName>
    <definedName name="_bdm.4C3EB4FE854E43CFAE6F54EB631D1C1F.edm" localSheetId="4" hidden="1" xml:space="preserve"> '[21]Carls Real Estate'!$A:$IV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localSheetId="4" hidden="1" xml:space="preserve">    '[20]Achievability Tables'!$A:$IV</definedName>
    <definedName name="_bdm.4D3E16DB19C5488FBA540F19461C6273.edm" hidden="1">#REF!</definedName>
    <definedName name="_bdm.4D4CE99942FE493AA387974D5EDF2789.edm" localSheetId="4" hidden="1" xml:space="preserve"> '[24]Annual CF'!$A:$IV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localSheetId="3" hidden="1">#REF!</definedName>
    <definedName name="_bdm.4dfc2116b03745ada449838d2d8e354e.edm" hidden="1">#REF!</definedName>
    <definedName name="_bdm.4e29dc0fbf18474abe450ae2b67850fe.edm" localSheetId="3" hidden="1">#REF!</definedName>
    <definedName name="_bdm.4e29dc0fbf18474abe450ae2b67850fe.edm" hidden="1">#REF!</definedName>
    <definedName name="_bdm.4e9401261a0b4b75a43cdd175d6e1b06.edm" localSheetId="3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localSheetId="3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localSheetId="3" hidden="1">#REF!</definedName>
    <definedName name="_bdm.4f096a1b60794e74ba820aebace098d5.edm" hidden="1">#REF!</definedName>
    <definedName name="_bdm.4F10A7067052416086343648DE345934.edm" localSheetId="4" hidden="1" xml:space="preserve">    '[20]Interest Rate Credit Stats'!$A:$IV</definedName>
    <definedName name="_bdm.4F10A7067052416086343648DE345934.edm" hidden="1">#REF!</definedName>
    <definedName name="_bdm.4f9b03f8cd07416eab013c9ef1c4eaee.edm" localSheetId="3" hidden="1">#REF!</definedName>
    <definedName name="_bdm.4f9b03f8cd07416eab013c9ef1c4eaee.edm" hidden="1">#REF!</definedName>
    <definedName name="_bdm.4FBD7DEE5F6D40C7A08F42E15D58BFC1.edm" localSheetId="4" hidden="1" xml:space="preserve"> '[21]Company Profile'!$A:$IV</definedName>
    <definedName name="_bdm.4FBD7DEE5F6D40C7A08F42E15D58BFC1.edm" hidden="1">#REF!</definedName>
    <definedName name="_bdm.508153CC8DC2449AB2A575A1E71100E6.edm" hidden="1">#REF!</definedName>
    <definedName name="_bdm.508d1a25b0894ffb98d9f0257316e6e8.edm" localSheetId="3" hidden="1">#REF!</definedName>
    <definedName name="_bdm.508d1a25b0894ffb98d9f0257316e6e8.edm" hidden="1">#REF!</definedName>
    <definedName name="_bdm.50D7CF27216A42C889D34F484504AD69.edm" localSheetId="4" hidden="1" xml:space="preserve"> '[21]Business Desc'!$A:$IV</definedName>
    <definedName name="_bdm.50D7CF27216A42C889D34F484504AD69.edm" hidden="1">#REF!</definedName>
    <definedName name="_bdm.5172ddaf208a4acf90cd6c27586a5312.edm" localSheetId="3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localSheetId="3" hidden="1">#REF!</definedName>
    <definedName name="_bdm.51a179ac370e4e31bc07866511a80d69.edm" hidden="1">#REF!</definedName>
    <definedName name="_bdm.51b46e8de416421a9b6d793af01cd044.edm" localSheetId="3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localSheetId="3" hidden="1">#REF!</definedName>
    <definedName name="_bdm.5288b53dfa2c4e96b54cae0a6bb59a8a.edm" hidden="1">#REF!</definedName>
    <definedName name="_bdm.52aeaf172d7a4e159d70e3456440701d.edm" localSheetId="3" hidden="1">#REF!</definedName>
    <definedName name="_bdm.52aeaf172d7a4e159d70e3456440701d.edm" hidden="1">#REF!</definedName>
    <definedName name="_bdm.52cdd1230d884ce792f5d810afc86a14.edm" localSheetId="3" hidden="1">#REF!</definedName>
    <definedName name="_bdm.52cdd1230d884ce792f5d810afc86a14.edm" hidden="1">#REF!</definedName>
    <definedName name="_bdm.52d4101c093642ac9919d1813399bfa5.edm" localSheetId="3" hidden="1">#REF!</definedName>
    <definedName name="_bdm.52d4101c093642ac9919d1813399bfa5.edm" hidden="1">#REF!</definedName>
    <definedName name="_bdm.52d7fa07f1734c719532d18c26f5768a.edm" localSheetId="3" hidden="1">#REF!</definedName>
    <definedName name="_bdm.52d7fa07f1734c719532d18c26f5768a.edm" hidden="1">#REF!</definedName>
    <definedName name="_bdm.535F8182450144A49EC5DF3A00A29FBA.edm" localSheetId="4" hidden="1" xml:space="preserve">  [20]IS!$A:$IV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localSheetId="3" hidden="1">#REF!</definedName>
    <definedName name="_bdm.53c6bb5a9a6348f9a0d16ae6c696874e.edm" hidden="1">#REF!</definedName>
    <definedName name="_bdm.53dd66a459814cdd8a8c5f15107b2ce4.edm" localSheetId="3" hidden="1">#REF!</definedName>
    <definedName name="_bdm.53dd66a459814cdd8a8c5f15107b2ce4.edm" hidden="1">#REF!</definedName>
    <definedName name="_bdm.53fd413f00d74b1eae1944803981a794.edm" localSheetId="3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localSheetId="3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localSheetId="3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localSheetId="3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localSheetId="4" hidden="1" xml:space="preserve"> '[24]Capex table'!$A:$IV</definedName>
    <definedName name="_bdm.57FAF79DDB26488CBF6F468AAD102F27.edm" hidden="1">#REF!</definedName>
    <definedName name="_bdm.5813df2467ea49128e368e6c53d4956b.edm" localSheetId="3" hidden="1">#REF!</definedName>
    <definedName name="_bdm.5813df2467ea49128e368e6c53d4956b.edm" hidden="1">#REF!</definedName>
    <definedName name="_bdm.584D4F374A984FEAA4E1F0A62609A73E.edm" localSheetId="4" hidden="1" xml:space="preserve">    '[20]Interest Rate Credit Stats'!$A:$IV</definedName>
    <definedName name="_bdm.584D4F374A984FEAA4E1F0A62609A73E.edm" hidden="1">#REF!</definedName>
    <definedName name="_bdm.5851B0650D5C4D63BA9CC6026B55BB0A.edm" hidden="1">#REF!</definedName>
    <definedName name="_bdm.58878c1dc9444cf4b4b24216b603f8f2.edm" localSheetId="3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localSheetId="4" hidden="1" xml:space="preserve">    '[20]Bridge Template'!$A:$IV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localSheetId="4" hidden="1" xml:space="preserve">   [20]Collateral!$A:$IV</definedName>
    <definedName name="_bdm.59DD29AF92674D0AA5002A5B8A198CD5.edm" hidden="1">#REF!</definedName>
    <definedName name="_bdm.59f19846dc4546f8be0c83db6313f960.edm" localSheetId="3" hidden="1">#REF!</definedName>
    <definedName name="_bdm.59f19846dc4546f8be0c83db6313f960.edm" hidden="1">#REF!</definedName>
    <definedName name="_bdm.59f8a1023b8c48f4ad5891c54337de02.edm" localSheetId="3" hidden="1">#REF!</definedName>
    <definedName name="_bdm.59f8a1023b8c48f4ad5891c54337de02.edm" hidden="1">#REF!</definedName>
    <definedName name="_bdm.5a61bf194e5e4b6ab2536db875afe495.edm" localSheetId="3" hidden="1">#REF!</definedName>
    <definedName name="_bdm.5a61bf194e5e4b6ab2536db875afe495.edm" hidden="1">#REF!</definedName>
    <definedName name="_bdm.5a88928f27c544cea7387b96ee2dfb2b.edm" localSheetId="3" hidden="1">#REF!</definedName>
    <definedName name="_bdm.5a88928f27c544cea7387b96ee2dfb2b.edm" hidden="1">#REF!</definedName>
    <definedName name="_bdm.5a8e4163f6ae4a9287edc60d417f995f.edm" localSheetId="3" hidden="1">#REF!</definedName>
    <definedName name="_bdm.5a8e4163f6ae4a9287edc60d417f995f.edm" hidden="1">#REF!</definedName>
    <definedName name="_bdm.5a93a2febbae4aa9aaacb7d5b873e403.edm" localSheetId="3" hidden="1">#REF!</definedName>
    <definedName name="_bdm.5a93a2febbae4aa9aaacb7d5b873e403.edm" hidden="1">#REF!</definedName>
    <definedName name="_bdm.5abcd5a5093146fda2a3fa74eec12f8d.edm" localSheetId="3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localSheetId="3" hidden="1">#REF!</definedName>
    <definedName name="_bdm.5acf1c5667e64d6cbc236e50ae9750da.edm" hidden="1">#REF!</definedName>
    <definedName name="_bdm.5AF6AA25243C4F5BB196F43B5BBF1AAC.edm" localSheetId="4" hidden="1" xml:space="preserve"> '[22]Summary FS'!$A:$IV</definedName>
    <definedName name="_bdm.5AF6AA25243C4F5BB196F43B5BBF1AAC.edm" hidden="1">#REF!</definedName>
    <definedName name="_bdm.5b401d264b964febba95baad5faaa8ae.edm" localSheetId="3" hidden="1">#REF!</definedName>
    <definedName name="_bdm.5b401d264b964febba95baad5faaa8ae.edm" hidden="1">#REF!</definedName>
    <definedName name="_bdm.5B8853FCE0ED42889507A8BAFA27CFCE.edm" localSheetId="4" hidden="1" xml:space="preserve">    '[20]EBITDA Chart'!$A:$IV</definedName>
    <definedName name="_bdm.5B8853FCE0ED42889507A8BAFA27CFCE.edm" hidden="1">#REF!</definedName>
    <definedName name="_bdm.5BCF70048DAC4635A3B5A4528B1FC06D.edm" hidden="1">#REF!</definedName>
    <definedName name="_bdm.5bfb796f7d4b49398c82fa48fb38c58f.edm" localSheetId="3" hidden="1">#REF!</definedName>
    <definedName name="_bdm.5bfb796f7d4b49398c82fa48fb38c58f.edm" hidden="1">#REF!</definedName>
    <definedName name="_bdm.5C2CC264937B4EC8BE1AAF8267E5BE79.edm" localSheetId="4" hidden="1" xml:space="preserve">    [20]Fees!$A:$IV</definedName>
    <definedName name="_bdm.5C2CC264937B4EC8BE1AAF8267E5BE79.edm" hidden="1">#REF!</definedName>
    <definedName name="_bdm.5C2F16D04DB641429C2ECC2FD4C1CF38.edm" localSheetId="4" hidden="1" xml:space="preserve">  '[20]New Tables'!$A:$IV</definedName>
    <definedName name="_bdm.5C2F16D04DB641429C2ECC2FD4C1CF38.edm" hidden="1">#REF!</definedName>
    <definedName name="_bdm.5C9761554DC74C6290AD7EC8BB270F05.edm" localSheetId="4" hidden="1" xml:space="preserve">  '[20]Achievability Tables'!$A:$IV</definedName>
    <definedName name="_bdm.5C9761554DC74C6290AD7EC8BB270F05.edm" hidden="1">#REF!</definedName>
    <definedName name="_bdm.5C9BD23A0AD44B6887A75ACA258F1F68.edm" localSheetId="4" hidden="1" xml:space="preserve"> '[21]Growth Existing Markets'!$A:$IV</definedName>
    <definedName name="_bdm.5C9BD23A0AD44B6887A75ACA258F1F68.edm" hidden="1">#REF!</definedName>
    <definedName name="_bdm.5C9ECFE796C640FEA68C7A7FDEC1155C.edm" localSheetId="4" hidden="1" xml:space="preserve"> [20]Fees!$A:$IV</definedName>
    <definedName name="_bdm.5C9ECFE796C640FEA68C7A7FDEC1155C.edm" hidden="1">#REF!</definedName>
    <definedName name="_bdm.5D7B31748CF245FEB0C20E5F257665A8.edm" hidden="1">#REF!</definedName>
    <definedName name="_bdm.5d7e153090eb4705b5dd3f126666b06b.edm" localSheetId="3" hidden="1">#REF!</definedName>
    <definedName name="_bdm.5d7e153090eb4705b5dd3f126666b06b.edm" hidden="1">#REF!</definedName>
    <definedName name="_bdm.5dbcf14be1194ec2934fe5d53aeec5e6.edm" localSheetId="3" hidden="1">#REF!</definedName>
    <definedName name="_bdm.5dbcf14be1194ec2934fe5d53aeec5e6.edm" hidden="1">#REF!</definedName>
    <definedName name="_bdm.5dda4bc8b7f440ec908d55a179101ff7.edm" localSheetId="3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localSheetId="3" hidden="1">#REF!</definedName>
    <definedName name="_bdm.5e58f2080b8142f5bcb323fed6993c27.edm" hidden="1">#REF!</definedName>
    <definedName name="_bdm.5e9f9e04a566468cab166bec09511db3.edm" localSheetId="3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localSheetId="3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localSheetId="3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localSheetId="3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localSheetId="3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localSheetId="3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localSheetId="3" hidden="1">#REF!</definedName>
    <definedName name="_bdm.6188ec637f064fb19c78018e3fefcba0.edm" hidden="1">#REF!</definedName>
    <definedName name="_bdm.61c4de0883a344a292df7c3ee6ff5554.edm" localSheetId="3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localSheetId="4" hidden="1" xml:space="preserve">    '[20]New Stores AUV'!$A:$IV</definedName>
    <definedName name="_bdm.62685EEFEEF0469589644AC6CE733B5D.edm" hidden="1">#REF!</definedName>
    <definedName name="_bdm.6309fbb214c2420598062d9137cc2253.edm" localSheetId="3" hidden="1">#REF!</definedName>
    <definedName name="_bdm.6309fbb214c2420598062d9137cc2253.edm" hidden="1">#REF!</definedName>
    <definedName name="_bdm.633bf8631bc44ec0acd96690c0cda72d.edm" localSheetId="3" hidden="1">#REF!</definedName>
    <definedName name="_bdm.633bf8631bc44ec0acd96690c0cda72d.edm" hidden="1">#REF!</definedName>
    <definedName name="_bdm.6359c69cc899419fba6c43a306939460.edm" localSheetId="3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localSheetId="3" hidden="1">#REF!</definedName>
    <definedName name="_bdm.64042fa7c08047b896615a66566738d5.edm" hidden="1">#REF!</definedName>
    <definedName name="_bdm.650482CC37F54C7486109DE5CF662E51.edm" localSheetId="4" hidden="1" xml:space="preserve">  '[20]Achievability Tables'!$A:$IV</definedName>
    <definedName name="_bdm.650482CC37F54C7486109DE5CF662E51.edm" hidden="1">#REF!</definedName>
    <definedName name="_bdm.651f10c2079245cabf1f1329ea52ad03.edm" localSheetId="3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localSheetId="3" hidden="1">#REF!</definedName>
    <definedName name="_bdm.6580c5e10ebc4b27a250cc227ddd6bf2.edm" hidden="1">#REF!</definedName>
    <definedName name="_bdm.6598F473D5DB4BB5B5EC52A04FFCDC12.edm" localSheetId="4" hidden="1" xml:space="preserve"> '[21]Carls Jr Development'!$A:$IV</definedName>
    <definedName name="_bdm.6598F473D5DB4BB5B5EC52A04FFCDC12.edm" hidden="1">#REF!</definedName>
    <definedName name="_bdm.6659D8DBE4D2449A93296763FD47D00B.edm" hidden="1">#REF!</definedName>
    <definedName name="_bdm.669E03D999FC49EB993534F9A826F1DB.edm" localSheetId="4" hidden="1" xml:space="preserve">   '[20]Achievability Tables'!$A:$IV</definedName>
    <definedName name="_bdm.669E03D999FC49EB993534F9A826F1DB.edm" hidden="1">#REF!</definedName>
    <definedName name="_bdm.66b10df8a64245c2a9ee2f8df8b74dac.edm" localSheetId="3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localSheetId="3" hidden="1">#REF!</definedName>
    <definedName name="_bdm.67a2ed8592394ccfa0f13d8b88e5a09f.edm" hidden="1">#REF!</definedName>
    <definedName name="_bdm.67CE6EE77A6849B6B24982AB1DA251F7.edm" localSheetId="4" hidden="1" xml:space="preserve">   [20]CF!$A:$IV</definedName>
    <definedName name="_bdm.67CE6EE77A6849B6B24982AB1DA251F7.edm" hidden="1">#REF!</definedName>
    <definedName name="_bdm.67F6AD076626418D8D24FF37898284D4.edm" hidden="1">#REF!</definedName>
    <definedName name="_bdm.67fcd6a3e29a49b18444bfb61d0abd28.edm" localSheetId="3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localSheetId="3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localSheetId="3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localSheetId="4" hidden="1" xml:space="preserve">  '[20]New Tables'!$A:$IV</definedName>
    <definedName name="_bdm.68D53E3E301E419C81640E96B51C0541.edm" hidden="1">#REF!</definedName>
    <definedName name="_bdm.69171AF4927342A89F30890E477E9652.edm" localSheetId="4" hidden="1" xml:space="preserve">   '[20]Achievability Tables'!$A:$IV</definedName>
    <definedName name="_bdm.69171AF4927342A89F30890E477E9652.edm" hidden="1">#REF!</definedName>
    <definedName name="_bdm.692B7F99FC2E4E97ACF9B9BD81DC2C28.edm" hidden="1">#REF!</definedName>
    <definedName name="_bdm.694fa03696da4f448c8843b2b21e7391.edm" localSheetId="3" hidden="1">#REF!</definedName>
    <definedName name="_bdm.694fa03696da4f448c8843b2b21e7391.edm" hidden="1">#REF!</definedName>
    <definedName name="_bdm.69e3bd3fcea747a18112c74a9e6444a7.edm" localSheetId="3" hidden="1">#REF!</definedName>
    <definedName name="_bdm.69e3bd3fcea747a18112c74a9e6444a7.edm" hidden="1">#REF!</definedName>
    <definedName name="_bdm.69f9a319c865407592744326d8f86b05.edm" localSheetId="3" hidden="1">#REF!</definedName>
    <definedName name="_bdm.69f9a319c865407592744326d8f86b05.edm" hidden="1">#REF!</definedName>
    <definedName name="_bdm.69FB87B386074066B28D02646251BE11.edm" localSheetId="4" hidden="1" xml:space="preserve">  '[20]Achievability Tables'!$A:$IV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localSheetId="4" hidden="1" xml:space="preserve">    '[20]Sensitivity Credit Stats'!$A:$IV</definedName>
    <definedName name="_bdm.6AF363F23E5D4831875D36E8308AC602.edm" hidden="1">#REF!</definedName>
    <definedName name="_bdm.6AF52D9403054B129962A6D5A9A0DC07.edm" hidden="1">#REF!</definedName>
    <definedName name="_bdm.6b320e6ac3c645dc90e66d46ce163ec7.edm" localSheetId="3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localSheetId="3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localSheetId="3" hidden="1">#REF!</definedName>
    <definedName name="_bdm.6bed4aae1d36433c9751588141b8ae81.edm" hidden="1">#REF!</definedName>
    <definedName name="_bdm.6BF0E9E815284022980CE1F9EC0094CD.edm" localSheetId="4" hidden="1" xml:space="preserve"> '[21]Historical Cash Flows'!$A:$IV</definedName>
    <definedName name="_bdm.6BF0E9E815284022980CE1F9EC0094CD.edm" hidden="1">#REF!</definedName>
    <definedName name="_bdm.6c1fbea864874b63983c0efd33bdb763.edm" localSheetId="3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localSheetId="4" hidden="1" xml:space="preserve">    '[20]Credit Stats'!$A:$IV</definedName>
    <definedName name="_bdm.6CAC72C2F2EF4A3383F0B28BFEC8CCE5.edm" hidden="1">#REF!</definedName>
    <definedName name="_bdm.6CB260EA0C0F41A2A8226F67D85F1932.edm" hidden="1">#REF!</definedName>
    <definedName name="_bdm.6d9190ecbc1b4b91a03bb2e9011fc81a.edm" localSheetId="3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localSheetId="3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localSheetId="3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localSheetId="4" hidden="1" xml:space="preserve">   '[20]Achievability Tables'!$A:$IV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localSheetId="4" hidden="1" xml:space="preserve">  '[20]Credit Stats'!$A:$IV</definedName>
    <definedName name="_bdm.6FCE41D658274903B5016F37BAF8A09A.edm" hidden="1">#REF!</definedName>
    <definedName name="_bdm.6FD4ABA20E4040B380F7B94ECC6326F2.edm" hidden="1">#REF!</definedName>
    <definedName name="_bdm.7003a97498ae4adab1560b7a268c6934.edm" localSheetId="3" hidden="1">#REF!</definedName>
    <definedName name="_bdm.7003a97498ae4adab1560b7a268c6934.edm" hidden="1">#REF!</definedName>
    <definedName name="_bdm.705e9f0172c047318194ae87d9196735.edm" localSheetId="3" hidden="1">#REF!</definedName>
    <definedName name="_bdm.705e9f0172c047318194ae87d9196735.edm" hidden="1">#REF!</definedName>
    <definedName name="_bdm.7083CF59816C476FBF59D9DA8E47C842.edm" localSheetId="4" hidden="1" xml:space="preserve"> [24]BS!$A:$IV</definedName>
    <definedName name="_bdm.7083CF59816C476FBF59D9DA8E47C842.edm" hidden="1">#REF!</definedName>
    <definedName name="_bdm.708fd7b85a5d4d898f78447377ac245c.edm" localSheetId="3" hidden="1">#REF!</definedName>
    <definedName name="_bdm.708fd7b85a5d4d898f78447377ac245c.edm" hidden="1">#REF!</definedName>
    <definedName name="_bdm.70A063EE23FB4349877157024E63138F.edm" localSheetId="4" hidden="1" xml:space="preserve">    '[20]Achievability Tables'!$A:$IV</definedName>
    <definedName name="_bdm.70A063EE23FB4349877157024E63138F.edm" hidden="1">#REF!</definedName>
    <definedName name="_bdm.70ADA984B87E4D32BD3D4F9EBB33CE66.edm" hidden="1">#REF!</definedName>
    <definedName name="_bdm.7171e9d52d1d45929aa3b27d885da6ba.edm" localSheetId="3" hidden="1">#REF!</definedName>
    <definedName name="_bdm.7171e9d52d1d45929aa3b27d885da6ba.edm" hidden="1">#REF!</definedName>
    <definedName name="_bdm.71b112e9fbdb410d9081496964d0df61.edm" localSheetId="3" hidden="1">#REF!</definedName>
    <definedName name="_bdm.71b112e9fbdb410d9081496964d0df61.edm" hidden="1">#REF!</definedName>
    <definedName name="_bdm.720ca0b87c53477c95e729e1ca9451da.edm" localSheetId="3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localSheetId="3" hidden="1">#REF!</definedName>
    <definedName name="_bdm.72cfb65ef0bf4e80b5f94ddb9e7063cb.edm" hidden="1">#REF!</definedName>
    <definedName name="_bdm.72e43e17422f400a8d11e963ad4101ec.edm" localSheetId="3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localSheetId="3" hidden="1">#REF!</definedName>
    <definedName name="_bdm.74cc78d5b25c488f867ab3fc4a58279e.edm" hidden="1">#REF!</definedName>
    <definedName name="_bdm.74ece9628a244b0f99934e461c5a1247.edm" localSheetId="3" hidden="1">#REF!</definedName>
    <definedName name="_bdm.74ece9628a244b0f99934e461c5a1247.edm" hidden="1">#REF!</definedName>
    <definedName name="_bdm.7527609ab0154778b76c225d1dfbfdb2.edm" localSheetId="3" hidden="1">#REF!</definedName>
    <definedName name="_bdm.7527609ab0154778b76c225d1dfbfdb2.edm" hidden="1">#REF!</definedName>
    <definedName name="_bdm.755a8d91e17a4ec0b6ccac322b1ac42f.edm" localSheetId="3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localSheetId="3" hidden="1">#REF!</definedName>
    <definedName name="_bdm.75b228f04a764c92bcbd7fe1c2355163.edm" hidden="1">#REF!</definedName>
    <definedName name="_bdm.75D0DCEB04C94512909C06F6F9D1F0A7.edm" localSheetId="4" hidden="1" xml:space="preserve">   [25]Beef!$A:$IV</definedName>
    <definedName name="_bdm.75D0DCEB04C94512909C06F6F9D1F0A7.edm" hidden="1">#REF!</definedName>
    <definedName name="_bdm.76166eb286624ba988ffdc065c0252cd.edm" localSheetId="3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localSheetId="3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localSheetId="3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localSheetId="4" hidden="1" xml:space="preserve"> '[24]S&amp;U'!$A:$IV</definedName>
    <definedName name="_bdm.76C1C8601913451D838B60DF8F2FEDB6.edm" hidden="1">#REF!</definedName>
    <definedName name="_bdm.76E4572B529749619BB36EA3C24E347B.edm" hidden="1">#REF!</definedName>
    <definedName name="_bdm.774fa01823ec408c86b83e561788fd37.edm" localSheetId="3" hidden="1">#REF!</definedName>
    <definedName name="_bdm.774fa01823ec408c86b83e561788fd37.edm" hidden="1">#REF!</definedName>
    <definedName name="_bdm.77738eb25ae54b689a9804190c58371e.edm" localSheetId="3" hidden="1">#REF!</definedName>
    <definedName name="_bdm.77738eb25ae54b689a9804190c58371e.edm" hidden="1">#REF!</definedName>
    <definedName name="_bdm.778533e1ae754beb92e6fff2b1ac7ac9.edm" localSheetId="3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localSheetId="3" hidden="1">#REF!</definedName>
    <definedName name="_bdm.77ca9f6487d24d0097fc42ce4a4075ab.edm" hidden="1">#REF!</definedName>
    <definedName name="_bdm.77CC7B0CEF02431BA982D987B1CB13E4.edm" localSheetId="4" hidden="1" xml:space="preserve"> '[21]Hardees Corp. Development'!$A:$IV</definedName>
    <definedName name="_bdm.77CC7B0CEF02431BA982D987B1CB13E4.edm" hidden="1">#REF!</definedName>
    <definedName name="_bdm.77f1951d44b046a1a05e882faccba44d.edm" localSheetId="3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localSheetId="3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localSheetId="3" hidden="1">#REF!</definedName>
    <definedName name="_bdm.787b6dce24d949be826d5ef3f86a87e1.edm" hidden="1">#REF!</definedName>
    <definedName name="_bdm.788ea84c257a4918af4261c403fd8353.edm" localSheetId="3" hidden="1">#REF!</definedName>
    <definedName name="_bdm.788ea84c257a4918af4261c403fd8353.edm" hidden="1">#REF!</definedName>
    <definedName name="_bdm.792860EEFD1A41A6B112CA62466F734D.edm" localSheetId="4" hidden="1" xml:space="preserve">  '[20]Achievability Tables'!$A:$IV</definedName>
    <definedName name="_bdm.792860EEFD1A41A6B112CA62466F734D.edm" hidden="1">#REF!</definedName>
    <definedName name="_bdm.793c5c12ce69466293177ee761aed736.edm" localSheetId="3" hidden="1">#REF!</definedName>
    <definedName name="_bdm.793c5c12ce69466293177ee761aed736.edm" hidden="1">#REF!</definedName>
    <definedName name="_bdm.79445d6a96064b42a00a1f8ded3eec5a.edm" localSheetId="3" hidden="1">#REF!</definedName>
    <definedName name="_bdm.79445d6a96064b42a00a1f8ded3eec5a.edm" hidden="1">#REF!</definedName>
    <definedName name="_bdm.79569bca1b354fe6841e162bf8c337f0.edm" localSheetId="3" hidden="1">#REF!</definedName>
    <definedName name="_bdm.79569bca1b354fe6841e162bf8c337f0.edm" hidden="1">#REF!</definedName>
    <definedName name="_bdm.79d18f96d1264939ab6730fae4c9de34.edm" localSheetId="3" hidden="1">#REF!</definedName>
    <definedName name="_bdm.79d18f96d1264939ab6730fae4c9de34.edm" hidden="1">#REF!</definedName>
    <definedName name="_bdm.7B254461E5324E45BEE190E68FF83051.edm" localSheetId="4" hidden="1" xml:space="preserve">  '[20]Achievability Tables'!$A:$IV</definedName>
    <definedName name="_bdm.7B254461E5324E45BEE190E68FF83051.edm" hidden="1">#REF!</definedName>
    <definedName name="_bdm.7b5ae02704834bddb977c7eded3e5dcd.edm" localSheetId="3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localSheetId="3" hidden="1">#REF!</definedName>
    <definedName name="_bdm.7c312bf8687f4e21ab6b1599c4a37ea8.edm" hidden="1">#REF!</definedName>
    <definedName name="_bdm.7c407c4f46b54e8a9d3b5362568a8dcc.edm" localSheetId="3" hidden="1">#REF!</definedName>
    <definedName name="_bdm.7c407c4f46b54e8a9d3b5362568a8dcc.edm" hidden="1">#REF!</definedName>
    <definedName name="_bdm.7c61dbebcbfd4cedace80828fdf38b46.edm" localSheetId="3" hidden="1">#REF!</definedName>
    <definedName name="_bdm.7c61dbebcbfd4cedace80828fdf38b46.edm" hidden="1">#REF!</definedName>
    <definedName name="_bdm.7d84dc7122fa4fc0ab1f445d8b232e16.edm" localSheetId="3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localSheetId="3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localSheetId="4" hidden="1" xml:space="preserve">  [20]Capitalization!$A:$IV</definedName>
    <definedName name="_bdm.7EE00B6435C1476AAA5C97C4B6EAE357.edm" hidden="1">#REF!</definedName>
    <definedName name="_bdm.7F18E4D57FF74363B0F07E1BBA190FB3.edm" hidden="1">#REF!</definedName>
    <definedName name="_bdm.7f19ed102ac94c5688441a2f3752c46f.edm" localSheetId="3" hidden="1">#REF!</definedName>
    <definedName name="_bdm.7f19ed102ac94c5688441a2f3752c46f.edm" hidden="1">#REF!</definedName>
    <definedName name="_bdm.7F47B7B7D6B04068BB785BE4A08F7831.edm" localSheetId="4" hidden="1" xml:space="preserve">  '[20]Achievability Tables'!$A:$IV</definedName>
    <definedName name="_bdm.7F47B7B7D6B04068BB785BE4A08F7831.edm" hidden="1">#REF!</definedName>
    <definedName name="_bdm.7f70890ac49f438ab2b0a03c781a7fb0.edm" localSheetId="3" hidden="1">#REF!</definedName>
    <definedName name="_bdm.7f70890ac49f438ab2b0a03c781a7fb0.edm" hidden="1">#REF!</definedName>
    <definedName name="_bdm.802b324e18424133bce78e4c976efe7e.edm" localSheetId="3" hidden="1">#REF!</definedName>
    <definedName name="_bdm.802b324e18424133bce78e4c976efe7e.edm" hidden="1">#REF!</definedName>
    <definedName name="_bdm.8030d2a5e54047c19a760dd29735e0aa.edm" localSheetId="3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localSheetId="3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localSheetId="4" hidden="1" xml:space="preserve">   '[20]Segment IS'!$A:$IV</definedName>
    <definedName name="_bdm.810757DA8E6847FD970CEB3C8143D777.edm" hidden="1">#REF!</definedName>
    <definedName name="_bdm.8112bcf9d8374ca1b30fbd027d635f0e.edm" hidden="1">#REF!</definedName>
    <definedName name="_bdm.8151289a7e314a399fe8b9c0a52cc3af.edm" localSheetId="3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localSheetId="3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localSheetId="4" hidden="1" xml:space="preserve">   '[20]Detailed CapexPAC'!$A:$IV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localSheetId="4" hidden="1" xml:space="preserve"> '[24]Annual CF'!$A:$IV</definedName>
    <definedName name="_bdm.827A71F4F0C94CC98D922F2C9772674B.edm" hidden="1">#REF!</definedName>
    <definedName name="_bdm.827ad746ef7249188091f85bf9ee3ded.edm" localSheetId="3" hidden="1">#REF!</definedName>
    <definedName name="_bdm.827ad746ef7249188091f85bf9ee3ded.edm" hidden="1">#REF!</definedName>
    <definedName name="_bdm.82B8BD634988435395214C286D17E7BE.edm" localSheetId="4" hidden="1" xml:space="preserve">  '[20]Achievability Tables'!$A:$IV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localSheetId="3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localSheetId="3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localSheetId="4" hidden="1">'[26]IS Growth - Margins'!$A:$IV</definedName>
    <definedName name="_bdm.847A8505E8F14CAC8E6F7B884B473AB8.edm" hidden="1">#REF!</definedName>
    <definedName name="_bdm.84ae1b7e9b814d23ad238491f1f11f41.edm" localSheetId="3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localSheetId="4" hidden="1" xml:space="preserve"> '[24]Rest Portfolio'!$A:$IV</definedName>
    <definedName name="_bdm.8575D7ECDD83400C89A165638EB5EE20.edm" hidden="1">#REF!</definedName>
    <definedName name="_bdm.857B94AC2182472E8AB6D321C42FF487.edm" localSheetId="4" hidden="1" xml:space="preserve">   '[20]Achievability Tables'!$A:$IV</definedName>
    <definedName name="_bdm.857B94AC2182472E8AB6D321C42FF487.edm" hidden="1">#REF!</definedName>
    <definedName name="_bdm.85886A22E5C94C94AA86AC7E61EE5D01.edm" hidden="1">#REF!</definedName>
    <definedName name="_bdm.85bfd4d61c954149b5042fce8516c6b1.edm" localSheetId="3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localSheetId="3" hidden="1">#REF!</definedName>
    <definedName name="_bdm.85d630ea737a43fda115f54d75d83018.edm" hidden="1">#REF!</definedName>
    <definedName name="_bdm.8600df505aad4be78c8563b40e3ff1ac.edm" localSheetId="3" hidden="1">#REF!</definedName>
    <definedName name="_bdm.8600df505aad4be78c8563b40e3ff1ac.edm" hidden="1">#REF!</definedName>
    <definedName name="_bdm.8632136fe62043bbae6139ba959fd356.edm" localSheetId="3" hidden="1">#REF!</definedName>
    <definedName name="_bdm.8632136fe62043bbae6139ba959fd356.edm" hidden="1">#REF!</definedName>
    <definedName name="_bdm.863a50744349453299b4441ef4cc8284.edm" localSheetId="3" hidden="1">#REF!</definedName>
    <definedName name="_bdm.863a50744349453299b4441ef4cc8284.edm" hidden="1">#REF!</definedName>
    <definedName name="_bdm.863BF4F7290140E69B2B87490F07484B.edm" localSheetId="4" hidden="1" xml:space="preserve">  '[20]Achievability Tables'!$A:$IV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localSheetId="3" hidden="1">#REF!</definedName>
    <definedName name="_bdm.86a7f3cb75304786aa9d412a366d9e84.edm" hidden="1">#REF!</definedName>
    <definedName name="_bdm.86ebc6c356f440debb82d2608eedb521.edm" localSheetId="3" hidden="1">#REF!</definedName>
    <definedName name="_bdm.86ebc6c356f440debb82d2608eedb521.edm" hidden="1">#REF!</definedName>
    <definedName name="_bdm.874c38a94a9c42a79e4ba309f27c72d6.edm" localSheetId="3" hidden="1">#REF!</definedName>
    <definedName name="_bdm.874c38a94a9c42a79e4ba309f27c72d6.edm" hidden="1">#REF!</definedName>
    <definedName name="_bdm.87E6133EF43847F095F90DAA9F14B7A5.edm" localSheetId="4" hidden="1" xml:space="preserve">  '[20]Achievability Tables'!$A:$IV</definedName>
    <definedName name="_bdm.87E6133EF43847F095F90DAA9F14B7A5.edm" hidden="1">#REF!</definedName>
    <definedName name="_bdm.88566bf7f22049ccb781e8e167442b70.edm" localSheetId="3" hidden="1">#REF!</definedName>
    <definedName name="_bdm.88566bf7f22049ccb781e8e167442b70.edm" hidden="1">#REF!</definedName>
    <definedName name="_bdm.88883bd15cd24d3995712acf3155c65b.edm" localSheetId="3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localSheetId="3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localSheetId="3" hidden="1">#REF!</definedName>
    <definedName name="_bdm.89d9718c268849f6b23a4f07e6c1dc59.edm" hidden="1">#REF!</definedName>
    <definedName name="_bdm.89f3ec3e54564deaaad8894e0c715fa5.edm" localSheetId="3" hidden="1">#REF!</definedName>
    <definedName name="_bdm.89f3ec3e54564deaaad8894e0c715fa5.edm" hidden="1">#REF!</definedName>
    <definedName name="_bdm.8a5fe2af420f4898a51b1033d4012568.edm" localSheetId="3" hidden="1">#REF!</definedName>
    <definedName name="_bdm.8a5fe2af420f4898a51b1033d4012568.edm" hidden="1">#REF!</definedName>
    <definedName name="_bdm.8ab4070030e14d99bdab0d6a306cc364.edm" localSheetId="3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localSheetId="3" hidden="1">#REF!</definedName>
    <definedName name="_bdm.8aea424cf5bc4992b84698b28bbb702c.edm" hidden="1">#REF!</definedName>
    <definedName name="_bdm.8afb0d3ab08d4212804969742933edc4.edm" localSheetId="3" hidden="1">#REF!</definedName>
    <definedName name="_bdm.8afb0d3ab08d4212804969742933edc4.edm" hidden="1">#REF!</definedName>
    <definedName name="_bdm.8b287495da87468fb9d9226c0413134a.edm" localSheetId="3" hidden="1">#REF!</definedName>
    <definedName name="_bdm.8b287495da87468fb9d9226c0413134a.edm" hidden="1">#REF!</definedName>
    <definedName name="_bdm.8b35bd9acb9e40b6bb4875341749ac52.edm" localSheetId="3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localSheetId="3" hidden="1">#REF!</definedName>
    <definedName name="_bdm.8cc251f28fcb41019b7c3d788d2f4e9f.edm" hidden="1">#REF!</definedName>
    <definedName name="_bdm.8cfde7fbb01b4384a1853578a8f9b0f9.edm" localSheetId="3" hidden="1">#REF!</definedName>
    <definedName name="_bdm.8cfde7fbb01b4384a1853578a8f9b0f9.edm" hidden="1">#REF!</definedName>
    <definedName name="_bdm.8d85075b3a6a48f78ba2cc32216de665.edm" localSheetId="3" hidden="1">#REF!</definedName>
    <definedName name="_bdm.8d85075b3a6a48f78ba2cc32216de665.edm" hidden="1">#REF!</definedName>
    <definedName name="_bdm.8d992b6610e54aa0a5f13fccda987ddf.edm" localSheetId="3" hidden="1">#REF!</definedName>
    <definedName name="_bdm.8d992b6610e54aa0a5f13fccda987ddf.edm" hidden="1">#REF!</definedName>
    <definedName name="_bdm.8d9cf9f737f144b0b2abc81ca18ff01a.edm" localSheetId="3" hidden="1">#REF!</definedName>
    <definedName name="_bdm.8d9cf9f737f144b0b2abc81ca18ff01a.edm" hidden="1">#REF!</definedName>
    <definedName name="_bdm.8df655858cf846d9a9082a16166c4eba.edm" localSheetId="3" hidden="1">#REF!</definedName>
    <definedName name="_bdm.8df655858cf846d9a9082a16166c4eba.edm" hidden="1">#REF!</definedName>
    <definedName name="_bdm.8ede0278f4f941debea53dd28e542220.edm" localSheetId="3" hidden="1">#REF!</definedName>
    <definedName name="_bdm.8ede0278f4f941debea53dd28e542220.edm" hidden="1">#REF!</definedName>
    <definedName name="_bdm.8f035eca19b54bdab0c9274f1990db33.edm" localSheetId="3" hidden="1">#REF!</definedName>
    <definedName name="_bdm.8f035eca19b54bdab0c9274f1990db33.edm" hidden="1">#REF!</definedName>
    <definedName name="_bdm.8F2D1730F7654A21A73FEEBE202F5D42.edm" localSheetId="4" hidden="1" xml:space="preserve"> '[27]Credit Stats'!$A:$IV</definedName>
    <definedName name="_bdm.8F2D1730F7654A21A73FEEBE202F5D42.edm" hidden="1">#REF!</definedName>
    <definedName name="_bdm.8F37CB71CCCD4C61A4A528207C72112C.edm" hidden="1">#REF!</definedName>
    <definedName name="_bdm.8f49439b4296438a959db1026a9e03b5.edm" localSheetId="3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localSheetId="3" hidden="1">#REF!</definedName>
    <definedName name="_bdm.9008587f575544c4b4b8b59ed85aca42.edm" hidden="1">#REF!</definedName>
    <definedName name="_bdm.902684a4d540423099e2a5f82b773599.edm" localSheetId="3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localSheetId="3" hidden="1">#REF!</definedName>
    <definedName name="_bdm.909988c31e9140dfbaa67d494f672ac8.edm" hidden="1">#REF!</definedName>
    <definedName name="_bdm.90A8C2B24E6B4D708AFCB03F66B23F3B.edm" localSheetId="4" hidden="1" xml:space="preserve">   '[20]New Stores AUV'!$A:$IV</definedName>
    <definedName name="_bdm.90A8C2B24E6B4D708AFCB03F66B23F3B.edm" hidden="1">#REF!</definedName>
    <definedName name="_bdm.90D796657FEA4FF3A2C72CD3900B02A6.edm" hidden="1">#REF!</definedName>
    <definedName name="_bdm.90f731b5048a4b918c284225f29a2492.edm" localSheetId="3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localSheetId="4" hidden="1" xml:space="preserve"> '[21]Carls Jr Development'!$A:$IV</definedName>
    <definedName name="_bdm.912951C0F4FE4B5A813AFFEB07FF581B.edm" hidden="1">#REF!</definedName>
    <definedName name="_bdm.913FA7EE6F8A4250B38C02AE3EE29770.edm" hidden="1">#REF!</definedName>
    <definedName name="_bdm.91bba67706324721b9003a802b8f09ff.edm" localSheetId="3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localSheetId="3" hidden="1">#REF!</definedName>
    <definedName name="_bdm.92bf819a46f14f989ef5d24a43361746.edm" hidden="1">#REF!</definedName>
    <definedName name="_bdm.92f6f25d01324b868659541056bc2e74.edm" localSheetId="3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localSheetId="3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localSheetId="4" hidden="1" xml:space="preserve">    '[20]Interest Rate Credit Stats'!$A:$IV</definedName>
    <definedName name="_bdm.938C210AAC49466FB0F7963C2AABB464.edm" hidden="1">#REF!</definedName>
    <definedName name="_bdm.944a1b0be91b45949a8e436ac24cac74.edm" localSheetId="3" hidden="1">#REF!</definedName>
    <definedName name="_bdm.944a1b0be91b45949a8e436ac24cac74.edm" hidden="1">#REF!</definedName>
    <definedName name="_bdm.945a75876452400fb1bc8b8a23b39b80.edm" localSheetId="3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localSheetId="4" hidden="1" xml:space="preserve">    '[20]New Stores AUV'!$A:$IV</definedName>
    <definedName name="_bdm.9558C6FD2D1A41DAB7EBD3A408924DE6.edm" hidden="1">#REF!</definedName>
    <definedName name="_bdm.955edfb2f12a4104a2a2d35547c801b2.edm" localSheetId="3" hidden="1">#REF!</definedName>
    <definedName name="_bdm.955edfb2f12a4104a2a2d35547c801b2.edm" hidden="1">#REF!</definedName>
    <definedName name="_bdm.956fd30e0f0b4745ae3423ddbf030162.edm" localSheetId="3" hidden="1">#REF!</definedName>
    <definedName name="_bdm.956fd30e0f0b4745ae3423ddbf030162.edm" hidden="1">#REF!</definedName>
    <definedName name="_bdm.95715A5BB5E3499A94DC8975E4288E8F.edm" localSheetId="4" hidden="1" xml:space="preserve">   '[20]New Stores AUV'!$A:$IV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localSheetId="3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localSheetId="3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localSheetId="3" hidden="1">#REF!</definedName>
    <definedName name="_bdm.96827821e9c34ef5a730e1743d01384e.edm" hidden="1">#REF!</definedName>
    <definedName name="_bdm.96880c316c794ed38e9f52176ab9ef86.edm" localSheetId="3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localSheetId="4" hidden="1" xml:space="preserve">  '[20]New Tables'!$A:$IV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localSheetId="3" hidden="1">#REF!</definedName>
    <definedName name="_bdm.98176e08d0aa4f3ca5012bd0d75324d1.edm" hidden="1">#REF!</definedName>
    <definedName name="_bdm.9820806d15cc4740b40c062ce4a520cb.edm" localSheetId="3" hidden="1">#REF!</definedName>
    <definedName name="_bdm.9820806d15cc4740b40c062ce4a520cb.edm" hidden="1">#REF!</definedName>
    <definedName name="_bdm.984E06A6ACDF4279BD838011E4A5AF2C.edm" localSheetId="4" hidden="1" xml:space="preserve">  '[20]Achievability Tables'!$A:$IV</definedName>
    <definedName name="_bdm.984E06A6ACDF4279BD838011E4A5AF2C.edm" hidden="1">#REF!</definedName>
    <definedName name="_bdm.9852100d736c4a3d9a7fe3a9a4b2418d.edm" localSheetId="3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localSheetId="3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localSheetId="4" hidden="1" xml:space="preserve">    [20]Template!$A:$IV</definedName>
    <definedName name="_bdm.99360D89E3C540ADBF0AA7B20E277903.edm" hidden="1">#REF!</definedName>
    <definedName name="_bdm.9978511385d545bca38bb5a3c3c1ac7f.edm" localSheetId="3" hidden="1">#REF!</definedName>
    <definedName name="_bdm.9978511385d545bca38bb5a3c3c1ac7f.edm" hidden="1">#REF!</definedName>
    <definedName name="_bdm.99a402a32c3f4422bf6454a5f5f2471f.edm" localSheetId="3" hidden="1">#REF!</definedName>
    <definedName name="_bdm.99a402a32c3f4422bf6454a5f5f2471f.edm" hidden="1">#REF!</definedName>
    <definedName name="_bdm.99CF7A7A764440C4AEABDC10D7096928.edm" localSheetId="4" hidden="1" xml:space="preserve">   '[20]Achievability Tables'!$A:$IV</definedName>
    <definedName name="_bdm.99CF7A7A764440C4AEABDC10D7096928.edm" hidden="1">#REF!</definedName>
    <definedName name="_bdm.99ECE305D9964B3EB31187E43523C73A.edm" localSheetId="4" hidden="1" xml:space="preserve">  '[20]Achievability Tables'!$A:$IV</definedName>
    <definedName name="_bdm.99ECE305D9964B3EB31187E43523C73A.edm" hidden="1">#REF!</definedName>
    <definedName name="_bdm.9A0B94E7D5164238AB78E736245EA2FB.edm" hidden="1">#REF!</definedName>
    <definedName name="_bdm.9A4FB331F13C4DA4964E531F07351B81.edm" localSheetId="4" hidden="1">'[26]Revenue Summary'!$A:$IV</definedName>
    <definedName name="_bdm.9A4FB331F13C4DA4964E531F07351B81.edm" hidden="1">#REF!</definedName>
    <definedName name="_bdm.9a50546f5746413c8542a8f03a27d5ad.edm" localSheetId="3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localSheetId="4" hidden="1" xml:space="preserve">  '[20]Achievability Tables'!$A:$IV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localSheetId="3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localSheetId="4" hidden="1" xml:space="preserve"> '[24]S&amp;U'!$A:$IV</definedName>
    <definedName name="_bdm.9C5E33F06FFD4E02AE99E21017847A25.edm" hidden="1">#REF!</definedName>
    <definedName name="_bdm.9CAECF85556745708F7CDFCB977EED48.edm" hidden="1">#REF!</definedName>
    <definedName name="_bdm.9cc3f993efa74f9b80c125b075fac624.edm" localSheetId="3" hidden="1">#REF!</definedName>
    <definedName name="_bdm.9cc3f993efa74f9b80c125b075fac624.edm" hidden="1">#REF!</definedName>
    <definedName name="_bdm.9cca2fcad94b48588f28b8750585d229.edm" localSheetId="3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localSheetId="3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localSheetId="3" hidden="1">#REF!</definedName>
    <definedName name="_bdm.9d66b099314241689e1a2d6dc54ae47f.edm" hidden="1">#REF!</definedName>
    <definedName name="_bdm.9dd7ae5eb83c4ba098400956031d2f52.edm" localSheetId="3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localSheetId="3" hidden="1">#REF!</definedName>
    <definedName name="_bdm.9e8a65b0779e456bb6226b62ee466f1b.edm" hidden="1">#REF!</definedName>
    <definedName name="_bdm.9ed5a832d21f49728970e06601828b6f.edm" localSheetId="3" hidden="1">#REF!</definedName>
    <definedName name="_bdm.9ed5a832d21f49728970e06601828b6f.edm" hidden="1">#REF!</definedName>
    <definedName name="_bdm.9ef9d35b3f6a4bf4baa907b1a8e455f3.edm" localSheetId="3" hidden="1">#REF!</definedName>
    <definedName name="_bdm.9ef9d35b3f6a4bf4baa907b1a8e455f3.edm" hidden="1">#REF!</definedName>
    <definedName name="_bdm.9efb52a7ce5446558fb34a9ee5d7bef6.edm" localSheetId="3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localSheetId="4" hidden="1" xml:space="preserve">  '[20]Achievability Tables'!$A:$IV</definedName>
    <definedName name="_bdm.9F281C2D729544CBA58025780394E066.edm" hidden="1">#REF!</definedName>
    <definedName name="_bdm.9F49B659818E4F8DB537CBAD556706A7.edm" localSheetId="4" hidden="1" xml:space="preserve">  '[20]Achievability Tables'!$A:$IV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localSheetId="3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localSheetId="3" hidden="1">#REF!</definedName>
    <definedName name="_bdm.a09e3d4111e345b08e1efad5e26a057e.edm" hidden="1">#REF!</definedName>
    <definedName name="_bdm.a0b144f1c4c34d2f93c84786bcb96621.edm" localSheetId="3" hidden="1">#REF!</definedName>
    <definedName name="_bdm.a0b144f1c4c34d2f93c84786bcb96621.edm" hidden="1">#REF!</definedName>
    <definedName name="_bdm.a0baed4cc0954ef9a4955e2536939a7c.edm" localSheetId="3" hidden="1">#REF!</definedName>
    <definedName name="_bdm.a0baed4cc0954ef9a4955e2536939a7c.edm" hidden="1">#REF!</definedName>
    <definedName name="_bdm.a0e0e2ec88974ebca5124eaa2f81b783.edm" localSheetId="3" hidden="1">#REF!</definedName>
    <definedName name="_bdm.a0e0e2ec88974ebca5124eaa2f81b783.edm" hidden="1">#REF!</definedName>
    <definedName name="_bdm.A0FB5C0D7A1C4E72AD632A2E87049DE9.edm" localSheetId="4" hidden="1" xml:space="preserve">    '[20]Sensitivity Driver'!$A:$IV</definedName>
    <definedName name="_bdm.A0FB5C0D7A1C4E72AD632A2E87049DE9.edm" hidden="1">#REF!</definedName>
    <definedName name="_bdm.A0FC95D084484F4CB0DB8065802DAEC2.edm" localSheetId="4" hidden="1" xml:space="preserve">  '[20]New Tables'!$A:$IV</definedName>
    <definedName name="_bdm.A0FC95D084484F4CB0DB8065802DAEC2.edm" hidden="1">#REF!</definedName>
    <definedName name="_bdm.a12caae48e644032971136426c8c870f.edm" localSheetId="3" hidden="1">#REF!</definedName>
    <definedName name="_bdm.a12caae48e644032971136426c8c870f.edm" hidden="1">#REF!</definedName>
    <definedName name="_bdm.a14ad67b9b12401e83d8c0c076791e07.edm" localSheetId="3" hidden="1">#REF!</definedName>
    <definedName name="_bdm.a14ad67b9b12401e83d8c0c076791e07.edm" hidden="1">#REF!</definedName>
    <definedName name="_bdm.a15ce552a08b4de18968ffc849c5ab63.edm" localSheetId="3" hidden="1">#REF!</definedName>
    <definedName name="_bdm.a15ce552a08b4de18968ffc849c5ab63.edm" hidden="1">#REF!</definedName>
    <definedName name="_bdm.a1622d865be14513822cc89c9aea92bd.edm" localSheetId="3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localSheetId="3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localSheetId="3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localSheetId="3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localSheetId="4" hidden="1" xml:space="preserve">   '[20]Achievability Tables'!$A:$IV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localSheetId="3" hidden="1">#REF!</definedName>
    <definedName name="_bdm.a407c77572bc483eb1770aae61f0aa84.edm" hidden="1">#REF!</definedName>
    <definedName name="_bdm.a4100e0bd6484d2d9d3c9c651c079de8.edm" localSheetId="3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localSheetId="4" hidden="1" xml:space="preserve">  '[20]Achievability Tables'!$A:$IV</definedName>
    <definedName name="_bdm.A47690466B074C2595AFD45A96169806.edm" hidden="1">#REF!</definedName>
    <definedName name="_bdm.a47d3ef6f1034a3b9bcbdc55436609e3.edm" localSheetId="3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localSheetId="4" hidden="1" xml:space="preserve">   '[20]Credit Stats'!$A:$IV</definedName>
    <definedName name="_bdm.A5F535492512432A8901717E7ED3338A.edm" hidden="1">#REF!</definedName>
    <definedName name="_bdm.a5fbb7e968a54c4bb1707c99841e431e.edm" localSheetId="3" hidden="1">#REF!</definedName>
    <definedName name="_bdm.a5fbb7e968a54c4bb1707c99841e431e.edm" hidden="1">#REF!</definedName>
    <definedName name="_bdm.a606e7086a3a4428aaae7ab82ec02019.edm" localSheetId="3" hidden="1">#REF!</definedName>
    <definedName name="_bdm.a606e7086a3a4428aaae7ab82ec02019.edm" hidden="1">#REF!</definedName>
    <definedName name="_bdm.A60B08BA82324890B93913E05CC34D5C.edm" localSheetId="4" hidden="1" xml:space="preserve">  '[20]Achievability Tables'!$A:$IV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localSheetId="3" hidden="1">#REF!</definedName>
    <definedName name="_bdm.a6305082ee614fe8b1860c213895fe43.edm" hidden="1">#REF!</definedName>
    <definedName name="_bdm.a63a5c6f0971452dae5030b36faeda98.edm" localSheetId="3" hidden="1">#REF!</definedName>
    <definedName name="_bdm.a63a5c6f0971452dae5030b36faeda98.edm" hidden="1">#REF!</definedName>
    <definedName name="_bdm.a63caf06c8ba4b21bcdd3446347954c2.edm" localSheetId="3" hidden="1">#REF!</definedName>
    <definedName name="_bdm.a63caf06c8ba4b21bcdd3446347954c2.edm" hidden="1">#REF!</definedName>
    <definedName name="_bdm.a65a5fc9e37546a5a783e715b5253d4e.edm" localSheetId="3" hidden="1">#REF!</definedName>
    <definedName name="_bdm.a65a5fc9e37546a5a783e715b5253d4e.edm" hidden="1">#REF!</definedName>
    <definedName name="_bdm.a6ea918f0f334c1aaa65586d2a8904ee.edm" localSheetId="3" hidden="1">#REF!</definedName>
    <definedName name="_bdm.a6ea918f0f334c1aaa65586d2a8904ee.edm" hidden="1">#REF!</definedName>
    <definedName name="_bdm.A6EBA1A6287C4D08821F9261BEC5BB9F.edm" localSheetId="4" hidden="1" xml:space="preserve">    '[20]EBITDA Chart'!$A:$IV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localSheetId="3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localSheetId="4" hidden="1">'[23]S&amp;U'!$A:$IV</definedName>
    <definedName name="_bdm.A843B10E23444DF4BF9548958BCE1994.edm" hidden="1">#REF!</definedName>
    <definedName name="_bdm.A8637A6BEE354D0C8FFD84419A5B55EE.edm" localSheetId="4" hidden="1" xml:space="preserve">    '[20]Sensitivity Driver'!$A:$IV</definedName>
    <definedName name="_bdm.A8637A6BEE354D0C8FFD84419A5B55EE.edm" hidden="1">#REF!</definedName>
    <definedName name="_bdm.A8715AB9E6DF421394B78E1BCEE371F3.edm" localSheetId="4" hidden="1" xml:space="preserve">   '[20]New Tables'!$A:$IV</definedName>
    <definedName name="_bdm.A8715AB9E6DF421394B78E1BCEE371F3.edm" hidden="1">#REF!</definedName>
    <definedName name="_bdm.A8BF5B5471E144E6BB8A557EFC594795.edm" hidden="1">#REF!</definedName>
    <definedName name="_bdm.a933a943949d45078c83d04ffe4ad880.edm" localSheetId="3" hidden="1">#REF!</definedName>
    <definedName name="_bdm.a933a943949d45078c83d04ffe4ad880.edm" hidden="1">#REF!</definedName>
    <definedName name="_bdm.a96c50a3dbfd456a8fde809218aaa3d8.edm" localSheetId="3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localSheetId="3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localSheetId="3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localSheetId="3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localSheetId="3" hidden="1">#REF!</definedName>
    <definedName name="_bdm.abe283327ad545098a62d1153cb3bf6a.edm" hidden="1">#REF!</definedName>
    <definedName name="_bdm.ac02b10fb0644d8d9c95add9f8f830c8.edm" localSheetId="3" hidden="1">#REF!</definedName>
    <definedName name="_bdm.ac02b10fb0644d8d9c95add9f8f830c8.edm" hidden="1">#REF!</definedName>
    <definedName name="_bdm.AC0CD7931FA641D08094AC99CB8A7CBB.edm" localSheetId="4" hidden="1" xml:space="preserve">  '[20]New Tables'!$A:$IV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localSheetId="3" hidden="1">#REF!</definedName>
    <definedName name="_bdm.acaa26ce618343c9b7e06662cead7e49.edm" hidden="1">#REF!</definedName>
    <definedName name="_bdm.ACFBF56D2368498B8A05F0F048968777.edm" localSheetId="4" hidden="1" xml:space="preserve">  '[20]Achievability Tables'!$A:$IV</definedName>
    <definedName name="_bdm.ACFBF56D2368498B8A05F0F048968777.edm" hidden="1">#REF!</definedName>
    <definedName name="_bdm.AD14A7F7039A4AAF9E7F2C4C68BFB470.edm" hidden="1">#REF!</definedName>
    <definedName name="_bdm.ad40aee40002435aa0ddd7054e24be17.edm" localSheetId="3" hidden="1">#REF!</definedName>
    <definedName name="_bdm.ad40aee40002435aa0ddd7054e24be17.edm" hidden="1">#REF!</definedName>
    <definedName name="_bdm.AD671641271E4A339DE71A82D54046A6.edm" localSheetId="4" hidden="1" xml:space="preserve">   '[20]Achievability Tables'!$A:$IV</definedName>
    <definedName name="_bdm.AD671641271E4A339DE71A82D54046A6.edm" hidden="1">#REF!</definedName>
    <definedName name="_bdm.AD97EA905EA748A9A37C207AE30A8FF4.edm" hidden="1">#REF!</definedName>
    <definedName name="_bdm.ad989d3688a4477bb0c216827a0b403a.edm" localSheetId="3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localSheetId="4" hidden="1" xml:space="preserve">  '[20]Achievability Tables'!$A:$IV</definedName>
    <definedName name="_bdm.AF4BC401E63543628D12CFA9B1B3B0B3.edm" hidden="1">#REF!</definedName>
    <definedName name="_bdm.af5442eaab6447b89b9d6106f24a8e7e.edm" localSheetId="3" hidden="1">#REF!</definedName>
    <definedName name="_bdm.af5442eaab6447b89b9d6106f24a8e7e.edm" hidden="1">#REF!</definedName>
    <definedName name="_bdm.AF773558D3EC481A96F8F48875B36A88.edm" localSheetId="4" hidden="1" xml:space="preserve">   '[20]Achievability Tables'!$A:$IV</definedName>
    <definedName name="_bdm.AF773558D3EC481A96F8F48875B36A88.edm" hidden="1">#REF!</definedName>
    <definedName name="_bdm.af86a6dea9894b158198403fb5a74687.edm" localSheetId="3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localSheetId="3" hidden="1">#REF!</definedName>
    <definedName name="_bdm.b0ab83053abc4ada9a1cc1374c964f5b.edm" hidden="1">#REF!</definedName>
    <definedName name="_bdm.b0db30190226453eb6f6a7cd7ba3988c.edm" localSheetId="3" hidden="1">#REF!</definedName>
    <definedName name="_bdm.b0db30190226453eb6f6a7cd7ba3988c.edm" hidden="1">#REF!</definedName>
    <definedName name="_bdm.b10e49ec7f744bd9aabf09eff8b89f6a.edm" localSheetId="3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localSheetId="4" hidden="1" xml:space="preserve">   '[20]S&amp;U'!$A:$IV</definedName>
    <definedName name="_bdm.B186E15AA61247E49B998A281EB54A51.edm" hidden="1">#REF!</definedName>
    <definedName name="_bdm.B187957A40074E88B68BA9B13084EB53.edm" hidden="1">#REF!</definedName>
    <definedName name="_bdm.b19939fc3f2d4776af51be5d22a47caf.edm" localSheetId="3" hidden="1">#REF!</definedName>
    <definedName name="_bdm.b19939fc3f2d4776af51be5d22a47caf.edm" hidden="1">#REF!</definedName>
    <definedName name="_bdm.b19e98b351c84e14a39def54f492b27e.edm" localSheetId="3" hidden="1">#REF!</definedName>
    <definedName name="_bdm.b19e98b351c84e14a39def54f492b27e.edm" hidden="1">#REF!</definedName>
    <definedName name="_bdm.b1c53083637647e6a7373a82ae676f92.edm" localSheetId="3" hidden="1">#REF!</definedName>
    <definedName name="_bdm.b1c53083637647e6a7373a82ae676f92.edm" hidden="1">#REF!</definedName>
    <definedName name="_bdm.b1e387c4118a4e778b2ceff9a321709b.edm" localSheetId="3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localSheetId="4" hidden="1" xml:space="preserve">  '[20]Achievability Tables'!$A:$IV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localSheetId="4" hidden="1" xml:space="preserve">  '[20]Achievability Tables'!$A:$IV</definedName>
    <definedName name="_bdm.B32C27066B474B7093CA312E4410C870.edm" hidden="1">#REF!</definedName>
    <definedName name="_bdm.B36AA8A8027C4D79A6451785817372CF.edm" hidden="1">#REF!</definedName>
    <definedName name="_bdm.b3aef0d28ff345df9e7d5b224b23a048.edm" localSheetId="3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localSheetId="4" hidden="1" xml:space="preserve">   '[20]Achievability Tables'!$A:$IV</definedName>
    <definedName name="_bdm.B3B9E42BB888499897B24C1353B83652.edm" hidden="1">#REF!</definedName>
    <definedName name="_bdm.B3BC5D878CDB4719A2378BF33371901A.edm" hidden="1">#REF!</definedName>
    <definedName name="_bdm.B3E164EC4CF84C70868E58344F800852.edm" localSheetId="4" hidden="1" xml:space="preserve">  '[20]Detailed CapexPAC'!$A:$IV</definedName>
    <definedName name="_bdm.B3E164EC4CF84C70868E58344F800852.edm" hidden="1">#REF!</definedName>
    <definedName name="_bdm.b42d486f5ec94d309f760d4597eb97da.edm" localSheetId="3" hidden="1">#REF!</definedName>
    <definedName name="_bdm.b42d486f5ec94d309f760d4597eb97da.edm" hidden="1">#REF!</definedName>
    <definedName name="_bdm.B4367CE3B149429698EFDB6B3E697924.edm" localSheetId="4" hidden="1" xml:space="preserve">  '[20]New Tables'!$A:$IV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localSheetId="3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localSheetId="3" hidden="1">#REF!</definedName>
    <definedName name="_bdm.b51cdaa9fe6a4ea5a00dcddce46e72fc.edm" hidden="1">#REF!</definedName>
    <definedName name="_bdm.b53f7fbdcb3f4087b9fbd449d0d514e2.edm" localSheetId="3" hidden="1">#REF!</definedName>
    <definedName name="_bdm.b53f7fbdcb3f4087b9fbd449d0d514e2.edm" hidden="1">#REF!</definedName>
    <definedName name="_bdm.B5637F213E89450389A6B13F1DB2F883.edm" localSheetId="4" hidden="1" xml:space="preserve">    '[20]Credit Stats'!$A:$IV</definedName>
    <definedName name="_bdm.B5637F213E89450389A6B13F1DB2F883.edm" hidden="1">#REF!</definedName>
    <definedName name="_bdm.B5B6950F16FB4C9D8A0C8E366D397E87.edm" hidden="1">#REF!</definedName>
    <definedName name="_bdm.b5bd369e4a69410a8388d81c18c0af59.edm" localSheetId="3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localSheetId="3" hidden="1">#REF!</definedName>
    <definedName name="_bdm.b860709ab9604f72bce4a19479cddf47.edm" hidden="1">#REF!</definedName>
    <definedName name="_bdm.b8e21cb16fdb439892ea700b4a5a71f4.edm" localSheetId="3" hidden="1">#REF!</definedName>
    <definedName name="_bdm.b8e21cb16fdb439892ea700b4a5a71f4.edm" hidden="1">#REF!</definedName>
    <definedName name="_bdm.B8FCDE0827E846458FD1BAFA5F07AAE3.edm" localSheetId="4" hidden="1" xml:space="preserve">   '[20]Achievability Tables'!$A:$IV</definedName>
    <definedName name="_bdm.B8FCDE0827E846458FD1BAFA5F07AAE3.edm" hidden="1">#REF!</definedName>
    <definedName name="_bdm.b9a03916661d47d796abc537f2914798.edm" localSheetId="3" hidden="1">#REF!</definedName>
    <definedName name="_bdm.b9a03916661d47d796abc537f2914798.edm" hidden="1">#REF!</definedName>
    <definedName name="_bdm.B9F0B03BF7A4481FA4BDC46EC9E8AE3A.edm" localSheetId="4" hidden="1" xml:space="preserve">   [20]BS!$A:$IV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localSheetId="4" hidden="1" xml:space="preserve">   '[20]EBITDA Chart'!$A:$IV</definedName>
    <definedName name="_bdm.BA1AD8CD31EB4332A5896B9E976942F8.edm" hidden="1">#REF!</definedName>
    <definedName name="_bdm.ba65c8936365426295cadf60837c2753.edm" localSheetId="3" hidden="1">#REF!</definedName>
    <definedName name="_bdm.ba65c8936365426295cadf60837c2753.edm" hidden="1">#REF!</definedName>
    <definedName name="_bdm.bae0656f870e40cba44359a78fe509c4.edm" localSheetId="3" hidden="1">#REF!</definedName>
    <definedName name="_bdm.bae0656f870e40cba44359a78fe509c4.edm" hidden="1">#REF!</definedName>
    <definedName name="_bdm.bb4a534448614d5b9e3ab25dafa2d4c9.edm" localSheetId="3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localSheetId="3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localSheetId="3" hidden="1">#REF!</definedName>
    <definedName name="_bdm.bd63866f37574fcebf1e803e91a44ffc.edm" hidden="1">#REF!</definedName>
    <definedName name="_bdm.bd772caab47e4b199caf7751167ab151.edm" localSheetId="3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localSheetId="3" hidden="1">#REF!</definedName>
    <definedName name="_bdm.be4b9813f96a46cdb7e3eec8a2288546.edm" hidden="1">#REF!</definedName>
    <definedName name="_bdm.be4efe48d92149bda541bf0071f1189d.edm" localSheetId="3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localSheetId="4" hidden="1" xml:space="preserve">  '[20]S&amp;U'!$A:$IV</definedName>
    <definedName name="_bdm.BF4F9C20D67546B7AEC95ECB28BAFA61.edm" hidden="1">#REF!</definedName>
    <definedName name="_bdm.c080610a1c47468e8f71e28e469a1f25.edm" localSheetId="3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localSheetId="4" hidden="1" xml:space="preserve">   '[20]New Stores AUV'!$A:$IV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localSheetId="3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localSheetId="4" hidden="1">'[26]Gross Profit Summary'!$A:$IV</definedName>
    <definedName name="_bdm.C428CE2024664683B12ABF82D734D0EB.edm" hidden="1">#REF!</definedName>
    <definedName name="_bdm.c4424bc7667c4319ad47b5c9d627347e.edm" localSheetId="3" hidden="1">#REF!</definedName>
    <definedName name="_bdm.c4424bc7667c4319ad47b5c9d627347e.edm" hidden="1">#REF!</definedName>
    <definedName name="_bdm.C451E26BD32B4E55B4C9248448F65317.edm" localSheetId="4" hidden="1" xml:space="preserve"> '[24]Op Metrics'!$A:$IV</definedName>
    <definedName name="_bdm.C451E26BD32B4E55B4C9248448F65317.edm" hidden="1">#REF!</definedName>
    <definedName name="_bdm.C457CCBFC4B44D35AAD5FB3BCB15F95A.edm" hidden="1">#REF!</definedName>
    <definedName name="_bdm.c4722ca2576f449191af4c5776031f51.edm" localSheetId="3" hidden="1">#REF!</definedName>
    <definedName name="_bdm.c4722ca2576f449191af4c5776031f51.edm" hidden="1">#REF!</definedName>
    <definedName name="_bdm.c48f9f11ca8b4a78b8c6ce3ed9994d1b.edm" localSheetId="3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localSheetId="3" hidden="1">#REF!</definedName>
    <definedName name="_bdm.c4dd8a2882644f2e9707083e51d1e992.edm" hidden="1">#REF!</definedName>
    <definedName name="_bdm.C5019477A1CF488D88A1FA4ACCD41639.edm" localSheetId="4" hidden="1" xml:space="preserve">  '[20]Achievability Tables'!$A:$IV</definedName>
    <definedName name="_bdm.C5019477A1CF488D88A1FA4ACCD41639.edm" hidden="1">#REF!</definedName>
    <definedName name="_bdm.C50EE2BE6B35410AB901B6599395C07B.edm" localSheetId="4" hidden="1" xml:space="preserve">  '[20]Achievability Tables'!$A:$IV</definedName>
    <definedName name="_bdm.C50EE2BE6B35410AB901B6599395C07B.edm" hidden="1">#REF!</definedName>
    <definedName name="_bdm.c58e0037bd10441a98ea5abc3f777f68.edm" localSheetId="3" hidden="1">#REF!</definedName>
    <definedName name="_bdm.c58e0037bd10441a98ea5abc3f777f68.edm" hidden="1">#REF!</definedName>
    <definedName name="_bdm.c5c04335f4ea4a5cadbe15e7523954bb.edm" localSheetId="3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localSheetId="4" hidden="1" xml:space="preserve">   [20]Capitalization!$A:$IV</definedName>
    <definedName name="_bdm.C61BC3CF5C1842AFB0E667CD3F300D2F.edm" hidden="1">#REF!</definedName>
    <definedName name="_bdm.C62CA4D9D8444FC18A277D9EF9117F9B.edm" hidden="1">#REF!</definedName>
    <definedName name="_bdm.c668943c990d47efbd87d2db4782cdce.edm" localSheetId="3" hidden="1">#REF!</definedName>
    <definedName name="_bdm.c668943c990d47efbd87d2db4782cdce.edm" hidden="1">#REF!</definedName>
    <definedName name="_bdm.c674d602009b4b4d818a170eb2b68ce2.edm" localSheetId="3" hidden="1">#REF!</definedName>
    <definedName name="_bdm.c674d602009b4b4d818a170eb2b68ce2.edm" hidden="1">#REF!</definedName>
    <definedName name="_bdm.c6a8fbe817ae4a229d72fbf06ed8c771.edm" localSheetId="3" hidden="1">#REF!</definedName>
    <definedName name="_bdm.c6a8fbe817ae4a229d72fbf06ed8c771.edm" hidden="1">#REF!</definedName>
    <definedName name="_bdm.c6aa67a8cb594bff9aa43f7e7beb251c.edm" localSheetId="3" hidden="1">#REF!</definedName>
    <definedName name="_bdm.c6aa67a8cb594bff9aa43f7e7beb251c.edm" hidden="1">#REF!</definedName>
    <definedName name="_bdm.c6b0fa36e1d2451cad6fcbde192eb5a2.edm" localSheetId="3" hidden="1">#REF!</definedName>
    <definedName name="_bdm.c6b0fa36e1d2451cad6fcbde192eb5a2.edm" hidden="1">#REF!</definedName>
    <definedName name="_bdm.C6D132461F934440B9092B92149D0296.edm" localSheetId="4" hidden="1" xml:space="preserve">  '[20]Achievability Tables'!$A:$IV</definedName>
    <definedName name="_bdm.C6D132461F934440B9092B92149D0296.edm" hidden="1">#REF!</definedName>
    <definedName name="_bdm.c6ef3bed7bb74615bdde82ae5bc5af23.edm" localSheetId="3" hidden="1">#REF!</definedName>
    <definedName name="_bdm.c6ef3bed7bb74615bdde82ae5bc5af23.edm" hidden="1">#REF!</definedName>
    <definedName name="_bdm.c70d0e90c17b429eb8d7f7f1baccb14e.edm" localSheetId="3" hidden="1">#REF!</definedName>
    <definedName name="_bdm.c70d0e90c17b429eb8d7f7f1baccb14e.edm" hidden="1">#REF!</definedName>
    <definedName name="_bdm.c7471d35d26d4f9c9d371b9f6e293e85.edm" localSheetId="3" hidden="1">#REF!</definedName>
    <definedName name="_bdm.c7471d35d26d4f9c9d371b9f6e293e85.edm" hidden="1">#REF!</definedName>
    <definedName name="_bdm.c7e867f5ae1b4641aa9d99d1c49d1944.edm" localSheetId="3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localSheetId="3" hidden="1">#REF!</definedName>
    <definedName name="_bdm.c7ffacc4d48a4e3e9b6ceecb271b226d.edm" hidden="1">#REF!</definedName>
    <definedName name="_bdm.c80b4f72779147af850a9658598e6c52.edm" localSheetId="3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localSheetId="4" hidden="1" xml:space="preserve">    '[20]Interest Rate Credit Stats'!$A:$IV</definedName>
    <definedName name="_bdm.C898044C281F4002B657876EEEF54A94.edm" hidden="1">#REF!</definedName>
    <definedName name="_bdm.c8aaba5e8bf844bb944e870f306114df.edm" localSheetId="3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localSheetId="3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localSheetId="3" hidden="1">#REF!</definedName>
    <definedName name="_bdm.c9cb7690224f48d2a8e526a27e2f8b10.edm" hidden="1">#REF!</definedName>
    <definedName name="_bdm.c9ce04d632d34d0999934ceeb52cf0f5.edm" localSheetId="3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localSheetId="4" hidden="1" xml:space="preserve">    '[20]Achievability Tables'!$A:$IV</definedName>
    <definedName name="_bdm.CA6B13128BBB43BBB82BC6F4304CB568.edm" hidden="1">#REF!</definedName>
    <definedName name="_bdm.ca8c74e03be140cd872e7758814de51e.edm" localSheetId="3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localSheetId="3" hidden="1">#REF!</definedName>
    <definedName name="_bdm.cb185e53521044a391397fc96e9ed9af.edm" hidden="1">#REF!</definedName>
    <definedName name="_bdm.cb2f92183d0740c2bc6dc3a478845827.edm" localSheetId="3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localSheetId="3" hidden="1">#REF!</definedName>
    <definedName name="_bdm.cb528ae884cf45519cdb7a3cd7bc2764.edm" hidden="1">#REF!</definedName>
    <definedName name="_bdm.cb6bb9fcca9a42969f82d9340705d068.edm" localSheetId="3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localSheetId="3" hidden="1">#REF!</definedName>
    <definedName name="_bdm.cbf647e6de3c422d924cb6543b8e09ac.edm" hidden="1">#REF!</definedName>
    <definedName name="_bdm.cc3951c5afbc41c7a8cdee46fff0c99d.edm" localSheetId="3" hidden="1">#REF!</definedName>
    <definedName name="_bdm.cc3951c5afbc41c7a8cdee46fff0c99d.edm" hidden="1">#REF!</definedName>
    <definedName name="_bdm.CC4B1B78616E4AC5B0C3EA8852AB3482.edm" localSheetId="4" hidden="1" xml:space="preserve">   '[20]New Tables'!$A:$IV</definedName>
    <definedName name="_bdm.CC4B1B78616E4AC5B0C3EA8852AB3482.edm" hidden="1">#REF!</definedName>
    <definedName name="_bdm.CC4EED0E69894811808F3CEC927B750A.edm" localSheetId="4" hidden="1" xml:space="preserve">  '[20]New Tables'!$A:$IV</definedName>
    <definedName name="_bdm.CC4EED0E69894811808F3CEC927B750A.edm" hidden="1">#REF!</definedName>
    <definedName name="_bdm.CC556D11727249EB93A5C133A4E15BE3.edm" hidden="1">#REF!</definedName>
    <definedName name="_bdm.cc5a21250b4d4173b4edb876f1474dd1.edm" localSheetId="3" hidden="1">#REF!</definedName>
    <definedName name="_bdm.cc5a21250b4d4173b4edb876f1474dd1.edm" hidden="1">#REF!</definedName>
    <definedName name="_bdm.cc64ecdd594848a587865d3dcd184095.edm" localSheetId="3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localSheetId="4" hidden="1" xml:space="preserve">   '[20]Achievability Tables'!$A:$IV</definedName>
    <definedName name="_bdm.CCC109E1FEF54FE283F960D682C3FF99.edm" hidden="1">#REF!</definedName>
    <definedName name="_bdm.CCD7E4EFF54E4A20BF2027CDB6FBCE63.edm" localSheetId="4" hidden="1" xml:space="preserve">   '[20]Achievability Tables'!$A:$IV</definedName>
    <definedName name="_bdm.CCD7E4EFF54E4A20BF2027CDB6FBCE63.edm" hidden="1">#REF!</definedName>
    <definedName name="_bdm.CCF645B21C6A4B79962E4B4F54BDDC44.edm" hidden="1">#REF!</definedName>
    <definedName name="_bdm.cd135118457c4970a1c6a6d05ea37577.edm" localSheetId="3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localSheetId="3" hidden="1">#REF!</definedName>
    <definedName name="_bdm.ce361bed386b4c1faee01ff80a6e915d.edm" hidden="1">#REF!</definedName>
    <definedName name="_bdm.ce3c745844584740a0bc5d5a39344a50.edm" localSheetId="3" hidden="1">#REF!</definedName>
    <definedName name="_bdm.ce3c745844584740a0bc5d5a39344a50.edm" hidden="1">#REF!</definedName>
    <definedName name="_bdm.ce8fa268a41244fdb5ae01c612c4ad13.edm" localSheetId="3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localSheetId="4" hidden="1" xml:space="preserve">    '[20]Sensitivity Credit Stats'!$A:$IV</definedName>
    <definedName name="_bdm.CF13E457D517439E8DFA165C08086F62.edm" hidden="1">#REF!</definedName>
    <definedName name="_bdm.CF2462299F494156ACD4F968338D25F6.edm" hidden="1">#REF!</definedName>
    <definedName name="_bdm.cf5ddec3ea7c44f3a49647629a1c7cb2.edm" localSheetId="3" hidden="1">#REF!</definedName>
    <definedName name="_bdm.cf5ddec3ea7c44f3a49647629a1c7cb2.edm" hidden="1">#REF!</definedName>
    <definedName name="_bdm.cf66ce859a004093b4bb789fa7d2182c.edm" localSheetId="3" hidden="1">#REF!</definedName>
    <definedName name="_bdm.cf66ce859a004093b4bb789fa7d2182c.edm" hidden="1">#REF!</definedName>
    <definedName name="_bdm.cfb00e5adad74b92b4c3c5aa09bddf17.edm" localSheetId="3" hidden="1">#REF!</definedName>
    <definedName name="_bdm.cfb00e5adad74b92b4c3c5aa09bddf17.edm" hidden="1">#REF!</definedName>
    <definedName name="_bdm.CFC68A61017B42D68FAA62D2DAF7A122.edm" localSheetId="4" hidden="1" xml:space="preserve">    '[20]Base vs Sensitivity'!$A:$IV</definedName>
    <definedName name="_bdm.CFC68A61017B42D68FAA62D2DAF7A122.edm" hidden="1">#REF!</definedName>
    <definedName name="_bdm.cfc982d7d2bc4677a1f59020a76aa690.edm" localSheetId="3" hidden="1">#REF!</definedName>
    <definedName name="_bdm.cfc982d7d2bc4677a1f59020a76aa690.edm" hidden="1">#REF!</definedName>
    <definedName name="_bdm.CFD83350EFA74CE7BC4A97BA0581DF0E.edm" localSheetId="4" hidden="1" xml:space="preserve">   '[20]Achievability Tables'!$A:$IV</definedName>
    <definedName name="_bdm.CFD83350EFA74CE7BC4A97BA0581DF0E.edm" hidden="1">#REF!</definedName>
    <definedName name="_bdm.CFE6E4BE74084A30B53E4E250E97D292.edm" hidden="1">#REF!</definedName>
    <definedName name="_bdm.D006BEACAD3549478E340D7CF196196C.edm" localSheetId="4" hidden="1" xml:space="preserve">    '[20]Achievability Tables'!$A:$IV</definedName>
    <definedName name="_bdm.D006BEACAD3549478E340D7CF196196C.edm" hidden="1">#REF!</definedName>
    <definedName name="_bdm.D01FB97CAE4A4582855B1F0FD2460727.edm" hidden="1">#REF!</definedName>
    <definedName name="_bdm.d0485330f2774ec9a1ced613dafe7a99.edm" localSheetId="3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localSheetId="3" hidden="1">#REF!</definedName>
    <definedName name="_bdm.d132a857ae6242dd903367f1d6cff16f.edm" hidden="1">#REF!</definedName>
    <definedName name="_bdm.d14b3ea297e34b46953743259006176a.edm" localSheetId="3" hidden="1">#REF!</definedName>
    <definedName name="_bdm.d14b3ea297e34b46953743259006176a.edm" hidden="1">#REF!</definedName>
    <definedName name="_bdm.d170b5347af840d184f31ea3243d7bb9.edm" localSheetId="3" hidden="1">#REF!</definedName>
    <definedName name="_bdm.d170b5347af840d184f31ea3243d7bb9.edm" hidden="1">#REF!</definedName>
    <definedName name="_bdm.d1991c2a717a4e75b8b3ebbaedaae363.edm" localSheetId="3" hidden="1">#REF!</definedName>
    <definedName name="_bdm.d1991c2a717a4e75b8b3ebbaedaae363.edm" hidden="1">#REF!</definedName>
    <definedName name="_bdm.d1c7e40baa9f4f07ba844a7596429829.edm" localSheetId="3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localSheetId="4" hidden="1" xml:space="preserve">    '[20]Interest Rate Credit Stats'!$A:$IV</definedName>
    <definedName name="_bdm.D23F9A3C37EB4DC1B5C216A2067B790B.edm" hidden="1">#REF!</definedName>
    <definedName name="_bdm.d243c71bef3c4313a51ec8122af7417e.edm" localSheetId="3" hidden="1">#REF!</definedName>
    <definedName name="_bdm.d243c71bef3c4313a51ec8122af7417e.edm" hidden="1">#REF!</definedName>
    <definedName name="_bdm.d2753b6c08034785855db47c08f409a3.edm" localSheetId="3" hidden="1">#REF!</definedName>
    <definedName name="_bdm.d2753b6c08034785855db47c08f409a3.edm" hidden="1">#REF!</definedName>
    <definedName name="_bdm.d2a81c16f82545849cbe289ba795a8bd.edm" localSheetId="3" hidden="1">#REF!</definedName>
    <definedName name="_bdm.d2a81c16f82545849cbe289ba795a8bd.edm" hidden="1">#REF!</definedName>
    <definedName name="_bdm.d2ea0302443540b18183f62c8b4b24ca.edm" localSheetId="3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localSheetId="4" hidden="1" xml:space="preserve">  '[20]Achievability Tables'!$A:$IV</definedName>
    <definedName name="_bdm.D402BBBB39A64C1BB3A4A09CC5C83A2B.edm" hidden="1">#REF!</definedName>
    <definedName name="_bdm.d445597284ea46d98ccbf033f6918c72.edm" localSheetId="3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localSheetId="4" hidden="1" xml:space="preserve">  '[20]EBITDA Chart'!$A:$IV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localSheetId="3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localSheetId="3" hidden="1">#REF!</definedName>
    <definedName name="_bdm.d5be7b48739f42f7b6f314431a22f41e.edm" hidden="1">#REF!</definedName>
    <definedName name="_bdm.D5EDF818421F412FA7B7D269FDAE29BF.edm" localSheetId="4" hidden="1" xml:space="preserve">  '[20]Achievability Tables'!$A:$IV</definedName>
    <definedName name="_bdm.D5EDF818421F412FA7B7D269FDAE29BF.edm" hidden="1">#REF!</definedName>
    <definedName name="_bdm.d608146eb3a8436a879d24a156b23e3e.edm" localSheetId="3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localSheetId="3" hidden="1">#REF!</definedName>
    <definedName name="_bdm.d625b55366674bc18abf3f7ce683a383.edm" hidden="1">#REF!</definedName>
    <definedName name="_bdm.D65CA1A576C143CCAD2F28E1CE17B0F9.edm" localSheetId="4" hidden="1" xml:space="preserve">   '[20]Achievability Tables'!$A:$IV</definedName>
    <definedName name="_bdm.D65CA1A576C143CCAD2F28E1CE17B0F9.edm" hidden="1">#REF!</definedName>
    <definedName name="_bdm.d699af3c78744ba98ebde5dd9817ec2e.edm" localSheetId="3" hidden="1">#REF!</definedName>
    <definedName name="_bdm.d699af3c78744ba98ebde5dd9817ec2e.edm" hidden="1">#REF!</definedName>
    <definedName name="_bdm.d6baa84664fa4693bea4fb1c40b6a95f.edm" localSheetId="3" hidden="1">#REF!</definedName>
    <definedName name="_bdm.d6baa84664fa4693bea4fb1c40b6a95f.edm" hidden="1">#REF!</definedName>
    <definedName name="_bdm.D6ECEA1865F44233A4D80AD58389D486.edm" localSheetId="4" hidden="1" xml:space="preserve">    '[20]Base vs Sensitivity'!$A:$IV</definedName>
    <definedName name="_bdm.D6ECEA1865F44233A4D80AD58389D486.edm" hidden="1">#REF!</definedName>
    <definedName name="_bdm.d721f207f31c4bccb9723eff624eb124.edm" localSheetId="3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localSheetId="3" hidden="1">#REF!</definedName>
    <definedName name="_bdm.d78648cda5bf4419a3d36031ccb66edf.edm" hidden="1">#REF!</definedName>
    <definedName name="_bdm.D7866A487AB444C493DF0B61870C6870.edm" localSheetId="4" hidden="1" xml:space="preserve">  '[20]Achievability Tables'!$A:$IV</definedName>
    <definedName name="_bdm.D7866A487AB444C493DF0B61870C6870.edm" hidden="1">#REF!</definedName>
    <definedName name="_bdm.d7916b96aa954c5294f227f555564fe7.edm" localSheetId="3" hidden="1">#REF!</definedName>
    <definedName name="_bdm.d7916b96aa954c5294f227f555564fe7.edm" hidden="1">#REF!</definedName>
    <definedName name="_bdm.D7A6E81E3BD045F59FDA267BC03A3C62.edm" localSheetId="4" hidden="1" xml:space="preserve">  '[20]Achievability Tables'!$A:$IV</definedName>
    <definedName name="_bdm.D7A6E81E3BD045F59FDA267BC03A3C62.edm" hidden="1">#REF!</definedName>
    <definedName name="_bdm.d7bebf4ecdc846ef9641b55600608760.edm" localSheetId="3" hidden="1">#REF!</definedName>
    <definedName name="_bdm.d7bebf4ecdc846ef9641b55600608760.edm" hidden="1">#REF!</definedName>
    <definedName name="_bdm.D7EE71CFFFDA4800AC1B0210099E6013.edm" localSheetId="4" hidden="1" xml:space="preserve"> '[21]Financial Profile1'!$A:$IV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localSheetId="4" hidden="1" xml:space="preserve">  '[20]Segment IS'!$A:$IV</definedName>
    <definedName name="_bdm.D8FD12FED03A4CC38CCE98769BDE229B.edm" hidden="1">#REF!</definedName>
    <definedName name="_bdm.D9037BEC4D0F42FD85D3D54A8BE0B2D3.edm" localSheetId="4" hidden="1" xml:space="preserve"> '[24]Capex table'!$A:$IV</definedName>
    <definedName name="_bdm.D9037BEC4D0F42FD85D3D54A8BE0B2D3.edm" hidden="1">#REF!</definedName>
    <definedName name="_bdm.D92E0C690DB9465AAA6E9EF3C50D172F.edm" hidden="1">#REF!</definedName>
    <definedName name="_bdm.d93bdc57e2894903b077d7ef0acab5a3.edm" localSheetId="3" hidden="1">#REF!</definedName>
    <definedName name="_bdm.d93bdc57e2894903b077d7ef0acab5a3.edm" hidden="1">#REF!</definedName>
    <definedName name="_bdm.D93F073A2895443AA768981F1D53F91C.edm" localSheetId="4" hidden="1" xml:space="preserve">   '[20]Achievability Tables'!$A:$IV</definedName>
    <definedName name="_bdm.D93F073A2895443AA768981F1D53F91C.edm" hidden="1">#REF!</definedName>
    <definedName name="_bdm.d94838c1bcae4c57b833e4aaec93111f.edm" hidden="1">#REF!</definedName>
    <definedName name="_bdm.D997B1CBEED44634B81E7AC27993CD1D.edm" localSheetId="4" hidden="1" xml:space="preserve"> '[21]YTD SSS'!$A:$IV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localSheetId="3" hidden="1">#REF!</definedName>
    <definedName name="_bdm.d9ef01d925fc469cb777d63bc575f16e.edm" hidden="1">#REF!</definedName>
    <definedName name="_bdm.da27295b19cb4a0daf8aeed506457f4f.edm" localSheetId="3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localSheetId="3" hidden="1">#REF!</definedName>
    <definedName name="_bdm.dabd5ab5bb48404c92fe9818ea2643e2.edm" hidden="1">#REF!</definedName>
    <definedName name="_bdm.db63657b9a814132aba8d586c79fdf2e.edm" localSheetId="3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localSheetId="3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localSheetId="4" hidden="1" xml:space="preserve">    '[20]Base vs Sensitivity'!$A:$IV</definedName>
    <definedName name="_bdm.DC26CD57A3D34C338B71B657C42D8090.edm" hidden="1">#REF!</definedName>
    <definedName name="_bdm.dc29692c91dd4d51b1a8c5a4e0ce89aa.edm" localSheetId="3" hidden="1">#REF!</definedName>
    <definedName name="_bdm.dc29692c91dd4d51b1a8c5a4e0ce89aa.edm" hidden="1">#REF!</definedName>
    <definedName name="_bdm.dc4ab4ab3dde4784a65bc5876759ae0a.edm" localSheetId="3" hidden="1">#REF!</definedName>
    <definedName name="_bdm.dc4ab4ab3dde4784a65bc5876759ae0a.edm" hidden="1">#REF!</definedName>
    <definedName name="_bdm.DC59E11096EA46E583147B64C93DB116.edm" localSheetId="4" hidden="1" xml:space="preserve">  '[20]Achievability Tables'!$A:$IV</definedName>
    <definedName name="_bdm.DC59E11096EA46E583147B64C93DB116.edm" hidden="1">#REF!</definedName>
    <definedName name="_bdm.dcc46f2bf4aa4bacbf137f9bf7fb78e9.edm" localSheetId="3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localSheetId="3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localSheetId="4" hidden="1" xml:space="preserve">   '[20]New Tables'!$A:$IV</definedName>
    <definedName name="_bdm.DE13A75BEF444FEB8CCAD1287D93FC39.edm" hidden="1">#REF!</definedName>
    <definedName name="_bdm.de15142d512744d9b6d0e08e1e3bb01d.edm" localSheetId="3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localSheetId="3" hidden="1">#REF!</definedName>
    <definedName name="_bdm.deafbefbe2074cc883d3a173b60f77c9.edm" hidden="1">#REF!</definedName>
    <definedName name="_bdm.ded56a4c3d6b4efbbed1536964f846fc.edm" localSheetId="3" hidden="1">#REF!</definedName>
    <definedName name="_bdm.ded56a4c3d6b4efbbed1536964f846fc.edm" hidden="1">#REF!</definedName>
    <definedName name="_bdm.df76dce63ef940549e7bcdfd9e71b997.edm" localSheetId="3" hidden="1">#REF!</definedName>
    <definedName name="_bdm.df76dce63ef940549e7bcdfd9e71b997.edm" hidden="1">#REF!</definedName>
    <definedName name="_bdm.df7b45806d9a48c6963a5c055217d36e.edm" localSheetId="3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localSheetId="4" hidden="1" xml:space="preserve"> '[22]Summary FS'!$A:$IV</definedName>
    <definedName name="_bdm.E02682C552034E10BC26E2455D758CA2.edm" hidden="1">#REF!</definedName>
    <definedName name="_bdm.E08AF7EDF6F1450CBCEDAFE6F731DE8E.edm" localSheetId="4" hidden="1" xml:space="preserve">  '[20]Achievability Tables'!$A:$IV</definedName>
    <definedName name="_bdm.E08AF7EDF6F1450CBCEDAFE6F731DE8E.edm" hidden="1">#REF!</definedName>
    <definedName name="_bdm.E08EF6567EBE4CE9BBF97129714EB36E.edm" hidden="1">#REF!</definedName>
    <definedName name="_bdm.E0A044CDFAB14C31909AD34032FFC27A.edm" localSheetId="4" hidden="1" xml:space="preserve"> '[24]PF Cap'!$A:$IV</definedName>
    <definedName name="_bdm.E0A044CDFAB14C31909AD34032FFC27A.edm" hidden="1">#REF!</definedName>
    <definedName name="_bdm.e0d1e2c4cb5f466189a7841ea2d7d053.edm" localSheetId="3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localSheetId="3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localSheetId="4" hidden="1" xml:space="preserve">    '[20]Sensitivity Driver'!$A:$IV</definedName>
    <definedName name="_bdm.E1CF26BB2A1C430BAE06A5159699351E.edm" hidden="1">#REF!</definedName>
    <definedName name="_bdm.E23FD995601E4324815480ADBB04E654.edm" hidden="1">#REF!</definedName>
    <definedName name="_bdm.E24FA0B24E994683B5D26B4D4B1C6E39.edm" localSheetId="4" hidden="1" xml:space="preserve">  '[20]Achievability Tables'!$A:$IV</definedName>
    <definedName name="_bdm.E24FA0B24E994683B5D26B4D4B1C6E39.edm" hidden="1">#REF!</definedName>
    <definedName name="_bdm.e2897e20ec3740b190b9aa2a41503034.edm" localSheetId="3" hidden="1">#REF!</definedName>
    <definedName name="_bdm.e2897e20ec3740b190b9aa2a41503034.edm" hidden="1">#REF!</definedName>
    <definedName name="_bdm.e2b5cd6f799a47b5bdcd3ce8b0d9926b.edm" localSheetId="3" hidden="1">#REF!</definedName>
    <definedName name="_bdm.e2b5cd6f799a47b5bdcd3ce8b0d9926b.edm" hidden="1">#REF!</definedName>
    <definedName name="_bdm.e34959be09444964a641fccc725f7d6a.edm" localSheetId="3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localSheetId="3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localSheetId="3" hidden="1">#REF!</definedName>
    <definedName name="_bdm.e3ba2b72deca4b18a564ca4f3de405f4.edm" hidden="1">#REF!</definedName>
    <definedName name="_bdm.e3bbe531222041c7bf42cd394835dcbe.edm" localSheetId="3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localSheetId="3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localSheetId="3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localSheetId="3" hidden="1">#REF!</definedName>
    <definedName name="_bdm.e54b874b8ef446de996d1b52a34bb918.edm" hidden="1">#REF!</definedName>
    <definedName name="_bdm.e597b0ae0a6344fa92c768f4d77b44c4.edm" localSheetId="3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localSheetId="3" hidden="1">#REF!</definedName>
    <definedName name="_bdm.e6b61de6d72449019cdc23a5ae5aa51e.edm" hidden="1">#REF!</definedName>
    <definedName name="_bdm.e709475949b2497eaec7e4c23e234590.edm" localSheetId="3" hidden="1">#REF!</definedName>
    <definedName name="_bdm.e709475949b2497eaec7e4c23e234590.edm" hidden="1">#REF!</definedName>
    <definedName name="_bdm.E72208BA69664A8986D206FDDC062899.edm" localSheetId="4" hidden="1">'[23]Revenue &amp; Exp Assumptions'!$A:$IV</definedName>
    <definedName name="_bdm.E72208BA69664A8986D206FDDC062899.edm" hidden="1">#REF!</definedName>
    <definedName name="_bdm.e740f14d68ae4ad49af1a7b680a55433.edm" localSheetId="3" hidden="1">#REF!</definedName>
    <definedName name="_bdm.e740f14d68ae4ad49af1a7b680a55433.edm" hidden="1">#REF!</definedName>
    <definedName name="_bdm.e77b8ef6e6cc4e2b8b824c5f856a20a8.edm" localSheetId="3" hidden="1">#REF!</definedName>
    <definedName name="_bdm.e77b8ef6e6cc4e2b8b824c5f856a20a8.edm" hidden="1">#REF!</definedName>
    <definedName name="_bdm.e7e9a18dabb04bab81b119a1b8080a65.edm" localSheetId="3" hidden="1">#REF!</definedName>
    <definedName name="_bdm.e7e9a18dabb04bab81b119a1b8080a65.edm" hidden="1">#REF!</definedName>
    <definedName name="_bdm.E88EB71D19574FE8A9DF43F9F1515E70.edm" localSheetId="4" hidden="1" xml:space="preserve">  [20]IS!$A:$IV</definedName>
    <definedName name="_bdm.E88EB71D19574FE8A9DF43F9F1515E70.edm" hidden="1">#REF!</definedName>
    <definedName name="_bdm.E8903DCF111D4AE280B3AA8D11430374.edm" localSheetId="4" hidden="1">'[26]Revenue - Product'!$A:$IV</definedName>
    <definedName name="_bdm.E8903DCF111D4AE280B3AA8D11430374.edm" hidden="1">#REF!</definedName>
    <definedName name="_bdm.e8968811033a4d99aca82ac802f4e8c7.edm" localSheetId="3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localSheetId="4" hidden="1" xml:space="preserve">    '[20]Achievability Tables'!$A:$IV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localSheetId="4" hidden="1" xml:space="preserve">  '[20]Detailed CapexPAC'!$A:$IV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localSheetId="3" hidden="1">#REF!</definedName>
    <definedName name="_bdm.ea88cae7170f48a8a621ef296a33b9c7.edm" hidden="1">#REF!</definedName>
    <definedName name="_bdm.eaa53a6f3cbb4ad0b7d142fb683052cc.edm" localSheetId="3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localSheetId="3" hidden="1">#REF!</definedName>
    <definedName name="_bdm.eb154fef39994774bf843cc036baee05.edm" hidden="1">#REF!</definedName>
    <definedName name="_bdm.eb16c9919a11463bbd0322181c94874e.edm" localSheetId="3" hidden="1">#REF!</definedName>
    <definedName name="_bdm.eb16c9919a11463bbd0322181c94874e.edm" hidden="1">#REF!</definedName>
    <definedName name="_bdm.eb1fe353b336481d945edc416ad01a25.edm" localSheetId="3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localSheetId="4" hidden="1" xml:space="preserve">   '[20]Achievability Tables'!$A:$IV</definedName>
    <definedName name="_bdm.EBC9C4E0F6244A4892D91C8E25ECB064.edm" hidden="1">#REF!</definedName>
    <definedName name="_bdm.ec2d43719c8146c9a9852260df8e1067.edm" localSheetId="3" hidden="1">#REF!</definedName>
    <definedName name="_bdm.ec2d43719c8146c9a9852260df8e1067.edm" hidden="1">#REF!</definedName>
    <definedName name="_bdm.ECA4FCC1175149579C964E9BFBA0946F.edm" localSheetId="4" hidden="1" xml:space="preserve">  '[20]Achievability Tables'!$A:$IV</definedName>
    <definedName name="_bdm.ECA4FCC1175149579C964E9BFBA0946F.edm" hidden="1">#REF!</definedName>
    <definedName name="_bdm.ed0dd6b5b9584d8d813fda5134ae4f8e.edm" localSheetId="3" hidden="1">#REF!</definedName>
    <definedName name="_bdm.ed0dd6b5b9584d8d813fda5134ae4f8e.edm" hidden="1">#REF!</definedName>
    <definedName name="_bdm.ED384B7EF5F941F6ADF4883A79A8F240.edm" localSheetId="4" hidden="1" xml:space="preserve">   '[20]Achievability Tables'!$A:$IV</definedName>
    <definedName name="_bdm.ED384B7EF5F941F6ADF4883A79A8F240.edm" hidden="1">#REF!</definedName>
    <definedName name="_bdm.ED5C45D4EBCF42AAA574E7F83783DB16.edm" localSheetId="4" hidden="1" xml:space="preserve">  '[20]Achievability Tables'!$A:$IV</definedName>
    <definedName name="_bdm.ED5C45D4EBCF42AAA574E7F83783DB16.edm" hidden="1">#REF!</definedName>
    <definedName name="_bdm.ed643fb34adb4d63b12272aef752b3fa.edm" localSheetId="3" hidden="1">#REF!</definedName>
    <definedName name="_bdm.ed643fb34adb4d63b12272aef752b3fa.edm" hidden="1">#REF!</definedName>
    <definedName name="_bdm.ED715F2540794D9B8E0C8355A29ACF7C.edm" localSheetId="4" hidden="1" xml:space="preserve">    '[20]Sensitivity Driver'!$A:$IV</definedName>
    <definedName name="_bdm.ED715F2540794D9B8E0C8355A29ACF7C.edm" hidden="1">#REF!</definedName>
    <definedName name="_bdm.ED7912AC909844EC95C9EA1AEB12EA25.edm" localSheetId="4" hidden="1" xml:space="preserve">    '[20]Achievability Tables'!$A:$IV</definedName>
    <definedName name="_bdm.ED7912AC909844EC95C9EA1AEB12EA25.edm" hidden="1">#REF!</definedName>
    <definedName name="_bdm.ED7FD5E25DD740199082F12BDF460C28.edm" localSheetId="4" hidden="1" xml:space="preserve">   [20]IS!$A:$IV</definedName>
    <definedName name="_bdm.ED7FD5E25DD740199082F12BDF460C28.edm" hidden="1">#REF!</definedName>
    <definedName name="_bdm.edf1cbba36fd4a1a93ab2012f6dcf8dc.edm" localSheetId="3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localSheetId="4" hidden="1" xml:space="preserve">    '[20]Base vs Sensitivity'!$A:$IV</definedName>
    <definedName name="_bdm.EF04E9344B5F4A0B814AADBD0AD95363.edm" hidden="1">#REF!</definedName>
    <definedName name="_bdm.EF7FD2C37D354A8FAB6759BD2F5F82E1.edm" localSheetId="4" hidden="1" xml:space="preserve">  '[20]Achievability Tables'!$A:$IV</definedName>
    <definedName name="_bdm.EF7FD2C37D354A8FAB6759BD2F5F82E1.edm" hidden="1">#REF!</definedName>
    <definedName name="_bdm.efbe90661f7f4f9eb26d831a8385fa29.edm" localSheetId="3" hidden="1">#REF!</definedName>
    <definedName name="_bdm.efbe90661f7f4f9eb26d831a8385fa29.edm" hidden="1">#REF!</definedName>
    <definedName name="_bdm.EFEE59572EB94C23B609CC461DA22CFD.edm" localSheetId="4" hidden="1">[23]Collateral!$A:$IV</definedName>
    <definedName name="_bdm.EFEE59572EB94C23B609CC461DA22CFD.edm" hidden="1">#REF!</definedName>
    <definedName name="_bdm.F036D26E6177415F8BD10517B5DF651E.edm" localSheetId="4" hidden="1" xml:space="preserve">   '[20]Achievability Tables'!$A:$IV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localSheetId="3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localSheetId="3" hidden="1">#REF!</definedName>
    <definedName name="_bdm.f17756b40f674aacaf68acaa9cbf990d.edm" hidden="1">#REF!</definedName>
    <definedName name="_bdm.F1848CF655A24B649FB4BA7E6F72B24D.edm" localSheetId="4" hidden="1" xml:space="preserve">  '[20]Achievability Tables'!$A:$IV</definedName>
    <definedName name="_bdm.F1848CF655A24B649FB4BA7E6F72B24D.edm" hidden="1">#REF!</definedName>
    <definedName name="_bdm.f193a09b9d494afc947f7d5f9241234f.edm" localSheetId="3" hidden="1">#REF!</definedName>
    <definedName name="_bdm.f193a09b9d494afc947f7d5f9241234f.edm" hidden="1">#REF!</definedName>
    <definedName name="_bdm.F1CC71DB0ABD45E79622486C7591ECBF.edm" localSheetId="4" hidden="1" xml:space="preserve"> '[24]Capex table'!$A:$IV</definedName>
    <definedName name="_bdm.F1CC71DB0ABD45E79622486C7591ECBF.edm" hidden="1">#REF!</definedName>
    <definedName name="_bdm.f1e1cac4fbb349b2a19491ae2cc1a701.edm" localSheetId="3" hidden="1">#REF!</definedName>
    <definedName name="_bdm.f1e1cac4fbb349b2a19491ae2cc1a701.edm" hidden="1">#REF!</definedName>
    <definedName name="_bdm.f1e9e09e76fc4fea9b3819378179963b.edm" localSheetId="3" hidden="1">#REF!</definedName>
    <definedName name="_bdm.f1e9e09e76fc4fea9b3819378179963b.edm" hidden="1">#REF!</definedName>
    <definedName name="_bdm.f2b9e977df3b4a9c9a7025f9f1ccba37.edm" localSheetId="3" hidden="1">#REF!</definedName>
    <definedName name="_bdm.f2b9e977df3b4a9c9a7025f9f1ccba37.edm" hidden="1">#REF!</definedName>
    <definedName name="_bdm.f2f2166dc72c427b8a3b0d93af36168e.edm" localSheetId="3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localSheetId="3" hidden="1">#REF!</definedName>
    <definedName name="_bdm.f3167c15c24b4144b976131e4cbc95c6.edm" hidden="1">#REF!</definedName>
    <definedName name="_bdm.F33BD566F8114135BDAF818B7D8BF681.edm" localSheetId="4" hidden="1" xml:space="preserve">    '[20]Credit Stats'!$A:$IV</definedName>
    <definedName name="_bdm.F33BD566F8114135BDAF818B7D8BF681.edm" hidden="1">#REF!</definedName>
    <definedName name="_bdm.f37309ce261b4734a0d762b093a3ebdd.edm" hidden="1">#REF!</definedName>
    <definedName name="_bdm.f394d1aff93b440893076450d94f199e.edm" localSheetId="3" hidden="1">#REF!</definedName>
    <definedName name="_bdm.f394d1aff93b440893076450d94f199e.edm" hidden="1">#REF!</definedName>
    <definedName name="_bdm.f3c5e5c87df04d83894d3a2558702d15.edm" localSheetId="3" hidden="1">#REF!</definedName>
    <definedName name="_bdm.f3c5e5c87df04d83894d3a2558702d15.edm" hidden="1">#REF!</definedName>
    <definedName name="_bdm.f3ffcb3603924314bdbe0d81cc35c9d2.edm" localSheetId="3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localSheetId="3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localSheetId="3" hidden="1">#REF!</definedName>
    <definedName name="_bdm.f49f5d18e2c341fcbc5eff856ff4139b.edm" hidden="1">#REF!</definedName>
    <definedName name="_bdm.F5013502BB33475987B52B0E58F635C8.edm" localSheetId="4" hidden="1" xml:space="preserve">  '[20]Achievability Tables'!$A:$IV</definedName>
    <definedName name="_bdm.F5013502BB33475987B52B0E58F635C8.edm" hidden="1">#REF!</definedName>
    <definedName name="_bdm.f51ca970e0634a578010134c2c8e9c5b.edm" localSheetId="3" hidden="1">#REF!</definedName>
    <definedName name="_bdm.f51ca970e0634a578010134c2c8e9c5b.edm" hidden="1">#REF!</definedName>
    <definedName name="_bdm.F52D112DB8DF469F890973278C701DD1.edm" localSheetId="4" hidden="1" xml:space="preserve"> [20]Fees!$A:$IV</definedName>
    <definedName name="_bdm.F52D112DB8DF469F890973278C701DD1.edm" hidden="1">#REF!</definedName>
    <definedName name="_bdm.F58EC808EF7B4C3884BAA1DBFEEE81F5.edm" hidden="1">#REF!</definedName>
    <definedName name="_bdm.F5D2E35AAEBD432DB25543ABA8C05ADF.edm" localSheetId="4" hidden="1" xml:space="preserve">  '[20]Achievability Tables'!$A:$IV</definedName>
    <definedName name="_bdm.F5D2E35AAEBD432DB25543ABA8C05ADF.edm" hidden="1">#REF!</definedName>
    <definedName name="_bdm.F5D98B4808264048934A0E8CCABAE730.edm" localSheetId="4" hidden="1" xml:space="preserve">  [20]IS!$A:$IV</definedName>
    <definedName name="_bdm.F5D98B4808264048934A0E8CCABAE730.edm" hidden="1">#REF!</definedName>
    <definedName name="_bdm.f5ee4456baa54119b207486a241e41a3.edm" localSheetId="3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localSheetId="3" hidden="1">#REF!</definedName>
    <definedName name="_bdm.f62d897fc8e04294955ee59170e88783.edm" hidden="1">#REF!</definedName>
    <definedName name="_bdm.F69FBDB7BCA94DF0A522DE00D0BB7ED9.edm" localSheetId="4" hidden="1" xml:space="preserve"> '[21]YTD SSS'!$A:$IV</definedName>
    <definedName name="_bdm.F69FBDB7BCA94DF0A522DE00D0BB7ED9.edm" hidden="1">#REF!</definedName>
    <definedName name="_bdm.f6aa0616d7d148e38880e4fe01111270.edm" localSheetId="3" hidden="1">#REF!</definedName>
    <definedName name="_bdm.f6aa0616d7d148e38880e4fe01111270.edm" hidden="1">#REF!</definedName>
    <definedName name="_bdm.f6b60360df7b41249033fe1193a8c0b6.edm" localSheetId="3" hidden="1">#REF!</definedName>
    <definedName name="_bdm.f6b60360df7b41249033fe1193a8c0b6.edm" hidden="1">#REF!</definedName>
    <definedName name="_bdm.f7daa8d281f344dc8844328f6f363187.edm" localSheetId="3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localSheetId="3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localSheetId="4" hidden="1" xml:space="preserve">  '[20]Achievability Tables'!$A:$IV</definedName>
    <definedName name="_bdm.F982B25943F2477A8C5790E92BCD6090.edm" hidden="1">#REF!</definedName>
    <definedName name="_bdm.fa455326d2af423f86bb857d0c618c91.edm" localSheetId="3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localSheetId="3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localSheetId="3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localSheetId="3" hidden="1">#REF!</definedName>
    <definedName name="_bdm.fc2349fe00894a8dab8eec3623b323ba.edm" hidden="1">#REF!</definedName>
    <definedName name="_bdm.FC2E308D536A460090AB075542B0147E.edm" localSheetId="4" hidden="1" xml:space="preserve">   '[20]Detailed CapexPAC'!$A:$IV</definedName>
    <definedName name="_bdm.FC2E308D536A460090AB075542B0147E.edm" hidden="1">#REF!</definedName>
    <definedName name="_bdm.fc5f1c0abe824f2bb79cd4ff0295f8fa.edm" localSheetId="3" hidden="1">#REF!</definedName>
    <definedName name="_bdm.fc5f1c0abe824f2bb79cd4ff0295f8fa.edm" hidden="1">#REF!</definedName>
    <definedName name="_bdm.fc939198def64457bd635a8e9940cbec.edm" localSheetId="3" hidden="1">#REF!</definedName>
    <definedName name="_bdm.fc939198def64457bd635a8e9940cbec.edm" hidden="1">#REF!</definedName>
    <definedName name="_bdm.fcaf9b5ad3a741e996ab3caae16ec586.edm" localSheetId="3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localSheetId="3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localSheetId="4" hidden="1" xml:space="preserve"> [24]BS!$A:$IV</definedName>
    <definedName name="_bdm.FECF881F1117400CA18091261E8714CB.edm" hidden="1">#REF!</definedName>
    <definedName name="_bdm.FEFB06B34FFB49D78F40D3DB49DE22F1.edm" hidden="1">#REF!</definedName>
    <definedName name="_bdm.ff7424f2a1a24f7491e6213fdb7f5bf0.edm" localSheetId="3" hidden="1">#REF!</definedName>
    <definedName name="_bdm.ff7424f2a1a24f7491e6213fdb7f5bf0.edm" hidden="1">#REF!</definedName>
    <definedName name="_bdm.ffeb37a8632c4ee0ba315a666602608c.edm" localSheetId="3" hidden="1">#REF!</definedName>
    <definedName name="_bdm.ffeb37a8632c4ee0ba315a666602608c.edm" hidden="1">#REF!</definedName>
    <definedName name="_bdm.fffbad46c55349e889b40ed0e6c4906c.edm" localSheetId="3" hidden="1">#REF!</definedName>
    <definedName name="_bdm.fffbad46c55349e889b40ed0e6c4906c.edm" hidden="1">#REF!</definedName>
    <definedName name="_bg1" hidden="1">#REF!</definedName>
    <definedName name="_bg2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localSheetId="3" hidden="1">{#N/A,"PURCHM",FALSE,"Business Analysis";#N/A,"SPADD",FALSE,"Business Analysis"}</definedName>
    <definedName name="_bji23" hidden="1">{#N/A,"PURCHM",FALSE,"Business Analysis";#N/A,"SPADD",FALSE,"Business Analysis"}</definedName>
    <definedName name="_bkd87" localSheetId="3" hidden="1">{#N/A,"PURCHM",FALSE,"Business Analysis";#N/A,"SPADD",FALSE,"Business Analysis"}</definedName>
    <definedName name="_bkd87" hidden="1">{#N/A,"PURCHM",FALSE,"Business Analysis";#N/A,"SPADD",FALSE,"Business Analysis"}</definedName>
    <definedName name="_bro1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localSheetId="3" hidden="1">{#N/A,#N/A,FALSE,"Créances";#N/A,#N/A,FALSE,"Effectifs";#N/A,#N/A,FALSE,"SI"}</definedName>
    <definedName name="_bro2" hidden="1">{#N/A,#N/A,FALSE,"Créances";#N/A,#N/A,FALSE,"Effectifs";#N/A,#N/A,FALSE,"SI"}</definedName>
    <definedName name="_BSF95">#REF!</definedName>
    <definedName name="_BSV1" localSheetId="4">'[28]years-$'!$C$1:$Z$30,'[28]years-$'!$C$31:$Z$71,'[28]years-$'!$C$72:$Z$102</definedName>
    <definedName name="_BSV1">#REF!,#REF!,#REF!</definedName>
    <definedName name="_BTS3" localSheetId="3" hidden="1">{#N/A,#N/A,TRUE,"인수_증설"}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localSheetId="3" hidden="1">{#N/A,#N/A,FALSE,"Layout Cash Flow"}</definedName>
    <definedName name="_c" hidden="1">{#N/A,#N/A,FALSE,"Layout Cash Flow"}</definedName>
    <definedName name="_c_1" localSheetId="3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_1_1" localSheetId="3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localSheetId="3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localSheetId="3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localSheetId="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localSheetId="3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localSheetId="3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localSheetId="3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localSheetId="3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localSheetId="3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localSheetId="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localSheetId="3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localSheetId="3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localSheetId="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localSheetId="3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localSheetId="3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localSheetId="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localSheetId="3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localSheetId="3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localSheetId="3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localSheetId="3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localSheetId="3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localSheetId="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localSheetId="3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localSheetId="3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localSheetId="3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localSheetId="3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localSheetId="3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localSheetId="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localSheetId="3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localSheetId="3" hidden="1">{"Fiesta Facer Page",#N/A,FALSE,"Q_C_S";"Fiesta Main Page",#N/A,FALSE,"V_L";"Fiesta 95BP Struct",#N/A,FALSE,"StructBP";"Fiesta Post 95BP Struct",#N/A,FALSE,"AdjStructBP"}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localSheetId="4" hidden="1">{#N/A,#N/A,FALSE,"Job Sched"}</definedName>
    <definedName name="_cd1" localSheetId="3" hidden="1">{#N/A,#N/A,FALSE,"Job Sched"}</definedName>
    <definedName name="_cd1" hidden="1">{#N/A,#N/A,FALSE,"Job Sched"}</definedName>
    <definedName name="_cd2" localSheetId="4" hidden="1">{#N/A,#N/A,FALSE,"Job Sched"}</definedName>
    <definedName name="_cd2" localSheetId="3" hidden="1">{#N/A,#N/A,FALSE,"Job Sched"}</definedName>
    <definedName name="_cd2" hidden="1">{#N/A,#N/A,FALSE,"Job Sched"}</definedName>
    <definedName name="_CD3" localSheetId="4" hidden="1">{#N/A,#N/A,FALSE,"Job Sched"}</definedName>
    <definedName name="_CD3" localSheetId="3" hidden="1">{#N/A,#N/A,FALSE,"Job Sched"}</definedName>
    <definedName name="_CD3" hidden="1">{#N/A,#N/A,FALSE,"Job Sched"}</definedName>
    <definedName name="_cd4" localSheetId="4" hidden="1">{#N/A,#N/A,FALSE,"Job Sched"}</definedName>
    <definedName name="_cd4" localSheetId="3" hidden="1">{#N/A,#N/A,FALSE,"Job Sched"}</definedName>
    <definedName name="_cd4" hidden="1">{#N/A,#N/A,FALSE,"Job Sched"}</definedName>
    <definedName name="_Cd5" localSheetId="4" hidden="1">{#N/A,#N/A,FALSE,"A"}</definedName>
    <definedName name="_Cd5" localSheetId="3" hidden="1">{#N/A,#N/A,FALSE,"A"}</definedName>
    <definedName name="_Cd5" hidden="1">{#N/A,#N/A,FALSE,"A"}</definedName>
    <definedName name="_cd8" localSheetId="4" hidden="1">{#N/A,#N/A,FALSE,"Job Sched"}</definedName>
    <definedName name="_cd8" localSheetId="3" hidden="1">{#N/A,#N/A,FALSE,"Job Sched"}</definedName>
    <definedName name="_cd8" hidden="1">{#N/A,#N/A,FALSE,"Job Sched"}</definedName>
    <definedName name="_cf2" localSheetId="3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[9]מדדים!$E$32</definedName>
    <definedName name="_cpi95">#REF!</definedName>
    <definedName name="_cpi96">#REF!</definedName>
    <definedName name="_cpi97">#REF!</definedName>
    <definedName name="_cpi996">#REF!</definedName>
    <definedName name="_d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3" hidden="1">Word</definedName>
    <definedName name="_d2" hidden="1">Word</definedName>
    <definedName name="_D33" localSheetId="3" hidden="1">{"Olk by Qtr Full",#N/A,FALSE,"Tot PalmPalm";"Olk by Qtr Full",#N/A,FALSE,"Tot Device";"Olk by Qtr Full",#N/A,FALSE,"Platform";"Olk by Qtr Full",#N/A,FALSE,"Palm.Net";"Olk by Qtr Full",#N/A,FALSE,"Elim"}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localSheetId="3" hidden="1">{"Back Page",#N/A,FALSE,"Front and Back"}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localSheetId="3" hidden="1">{#N/A,#N/A,FALSE,"Calc";#N/A,#N/A,FALSE,"Sensitivity";#N/A,#N/A,FALSE,"LT Earn.Dil.";#N/A,#N/A,FALSE,"Dil. AVP"}</definedName>
    <definedName name="_df1" hidden="1">{#N/A,#N/A,FALSE,"Calc";#N/A,#N/A,FALSE,"Sensitivity";#N/A,#N/A,FALSE,"LT Earn.Dil.";#N/A,#N/A,FALSE,"Dil. AVP"}</definedName>
    <definedName name="_df2" localSheetId="3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 localSheetId="4">'[29]$'!$C$3</definedName>
    <definedName name="_dlr999">#REF!</definedName>
    <definedName name="_dwa1" localSheetId="3" hidden="1">{#N/A,"PURCHM",FALSE,"Business Analysis";#N/A,"SPADD",FALSE,"Business Analysis"}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localSheetId="4" hidden="1">{"ww",#N/A,FALSE,"Hospital Products";"us",#N/A,FALSE,"Hospital Products";"in",#N/A,FALSE,"Hospital Products"}</definedName>
    <definedName name="_EPO2" localSheetId="3" hidden="1">{"ww",#N/A,FALSE,"Hospital Products";"us",#N/A,FALSE,"Hospital Products";"in",#N/A,FALSE,"Hospital Products"}</definedName>
    <definedName name="_EPO2" hidden="1">{"ww",#N/A,FALSE,"Hospital Products";"us",#N/A,FALSE,"Hospital Products";"in",#N/A,FALSE,"Hospital Products"}</definedName>
    <definedName name="_EPO3" localSheetId="4" hidden="1">{"ww",#N/A,FALSE,"Hospital Products";"us",#N/A,FALSE,"Hospital Products";"in",#N/A,FALSE,"Hospital Products"}</definedName>
    <definedName name="_EPO3" localSheetId="3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localSheetId="4" hidden="1">{"ww",#N/A,FALSE,"Hospital Products";"us",#N/A,FALSE,"Hospital Products";"in",#N/A,FALSE,"Hospital Products"}</definedName>
    <definedName name="_EPO4" localSheetId="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localSheetId="3" hidden="1">{"Comp_of_Price_Effect",#N/A,FALSE,"QTRDPVAR"}</definedName>
    <definedName name="_eu93" hidden="1">{"Comp_of_Price_Effect",#N/A,FALSE,"QTRDPVAR"}</definedName>
    <definedName name="_Exp2" localSheetId="4">'[30]Temp 2'!#REF!</definedName>
    <definedName name="_exp2">#REF!</definedName>
    <definedName name="_F" hidden="1">#REF!</definedName>
    <definedName name="_f1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localSheetId="3" hidden="1">{"incomemth",#N/A,TRUE,"forecast00";"incomepercentmth",#N/A,TRUE,"forecast00";"balancemth",#N/A,TRUE,"forecast00";"cashmth",#N/A,TRUE,"forecast00";"covenantmth",#N/A,TRUE,"forecast00"}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localSheetId="3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4" hidden="1">'[31]2002'!$B$1:$B$1758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 localSheetId="4">'[32]years-$'!$A$73:$N$102,'[32]years-$'!$A$40:$N$72,'[32]years-$'!$A$1:$O$39</definedName>
    <definedName name="_fs1">#REF!,#REF!,#REF!</definedName>
    <definedName name="_FXC1" localSheetId="4">'[33]OpModel-DCF'!#REF!</definedName>
    <definedName name="_FXC1">#REF!</definedName>
    <definedName name="_fy97" localSheetId="3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FYE2">#REF!</definedName>
    <definedName name="_g1" localSheetId="3" hidden="1">{"comp1",#N/A,FALSE,"COMPS";"footnotes",#N/A,FALSE,"COMPS"}</definedName>
    <definedName name="_g1" hidden="1">{"comp1",#N/A,FALSE,"COMPS";"footnotes",#N/A,FALSE,"COMPS"}</definedName>
    <definedName name="_gf1" localSheetId="3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localSheetId="3" hidden="1">{"Informes",#N/A,FALSE,"CA";"Informes",#N/A,FALSE,"CN";"Informes",#N/A,FALSE,"INVERSIONES";"Informes",#N/A,FALSE,"CN Oficial";"Informes",#N/A,FALSE,"CA Oficial";"Informes",#N/A,FALSE,"Res Datos Areas"}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localSheetId="3" hidden="1">{#N/A,#N/A,FALSE,"PMTABB";#N/A,#N/A,FALSE,"PMTABB"}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localSheetId="3" hidden="1">{"fy96q1",#N/A,FALSE,"Q1FY96";"fy96q2",#N/A,FALSE,"Q2FY96";"fy96q3",#N/A,FALSE,"Q3FY96";"fy96q4",#N/A,FALSE,"Q4FY96";"fy96fcst",#N/A,FALSE,"FY96 FCST";"fy97q1",#N/A,FALSE,"Q1FY97";"fy97q2",#N/A,FALSE,"Q2FY97"}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localSheetId="3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localSheetId="3" hidden="1">{#N/A,#N/A,FALSE,"Calc";#N/A,#N/A,FALSE,"Sensitivity";#N/A,#N/A,FALSE,"LT Earn.Dil.";#N/A,#N/A,FALSE,"Dil. AVP"}</definedName>
    <definedName name="_hd1" hidden="1">{#N/A,#N/A,FALSE,"Calc";#N/A,#N/A,FALSE,"Sensitivity";#N/A,#N/A,FALSE,"LT Earn.Dil.";#N/A,#N/A,FALSE,"Dil. AVP"}</definedName>
    <definedName name="_hd2" localSheetId="3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localSheetId="3" hidden="1">{"PVGraph2",#N/A,FALSE,"PV Data"}</definedName>
    <definedName name="_I2" hidden="1">{"PVGraph2",#N/A,FALSE,"PV Data"}</definedName>
    <definedName name="_i21" localSheetId="3" hidden="1">{"PVGraph2",#N/A,FALSE,"PV Data"}</definedName>
    <definedName name="_i21" hidden="1">{"PVGraph2",#N/A,FALSE,"PV Data"}</definedName>
    <definedName name="_I22" localSheetId="3" hidden="1">{"PVGraph2",#N/A,FALSE,"PV Data"}</definedName>
    <definedName name="_I22" hidden="1">{"PVGraph2",#N/A,FALSE,"PV Data"}</definedName>
    <definedName name="_i2211" localSheetId="3" hidden="1">{"PVGraph2",#N/A,FALSE,"PV Data"}</definedName>
    <definedName name="_i2211" hidden="1">{"PVGraph2",#N/A,FALSE,"PV Data"}</definedName>
    <definedName name="_i223" localSheetId="3" hidden="1">{"PVGraph2",#N/A,FALSE,"PV Data"}</definedName>
    <definedName name="_i223" hidden="1">{"PVGraph2",#N/A,FALSE,"PV Data"}</definedName>
    <definedName name="_i23" localSheetId="3" hidden="1">{"PVGraph2",#N/A,FALSE,"PV Data"}</definedName>
    <definedName name="_i23" hidden="1">{"PVGraph2",#N/A,FALSE,"PV Data"}</definedName>
    <definedName name="_i2323" localSheetId="3" hidden="1">{"PVGraph2",#N/A,FALSE,"PV Data"}</definedName>
    <definedName name="_i2323" hidden="1">{"PVGraph2",#N/A,FALSE,"PV Data"}</definedName>
    <definedName name="_i24" localSheetId="3" hidden="1">{"PVGraph2",#N/A,FALSE,"PV Data"}</definedName>
    <definedName name="_i24" hidden="1">{"PVGraph2",#N/A,FALSE,"PV Data"}</definedName>
    <definedName name="_I3" localSheetId="3" hidden="1">{"PVGraph2",#N/A,FALSE,"PV Data"}</definedName>
    <definedName name="_I3" hidden="1">{"PVGraph2",#N/A,FALSE,"PV Data"}</definedName>
    <definedName name="_ibo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localSheetId="3" hidden="1">{"PVGraph2",#N/A,FALSE,"PV Data"}</definedName>
    <definedName name="_II2" hidden="1">{"PVGraph2",#N/A,FALSE,"PV Data"}</definedName>
    <definedName name="_ik1" localSheetId="3" hidden="1">{"casespecific",#N/A,FALSE,"Assumptions"}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localSheetId="3" hidden="1">{#N/A,#N/A,FALSE,"Summary";#N/A,#N/A,FALSE,"CF";#N/A,#N/A,FALSE,"P&amp;L";#N/A,#N/A,FALSE,"BS";#N/A,#N/A,FALSE,"Returns";#N/A,#N/A,FALSE,"Assumptions";#N/A,#N/A,FALSE,"Analysis"}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localSheetId="3" hidden="1">{#N/A,#N/A,FALSE,"ALM-ASISC"}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localSheetId="3" hidden="1">{"table",#N/A,FALSE,"COVER";"income_statement",#N/A,FALSE,"COVER"}</definedName>
    <definedName name="_m1" hidden="1">{"table",#N/A,FALSE,"COVER";"income_statement",#N/A,FALSE,"COVER"}</definedName>
    <definedName name="_m2" localSheetId="3" hidden="1">{"table",#N/A,FALSE,"COVER";"income_statement",#N/A,FALSE,"COVER"}</definedName>
    <definedName name="_m2" hidden="1">{"table",#N/A,FALSE,"COVER";"income_statement",#N/A,FALSE,"COVER"}</definedName>
    <definedName name="_m3" localSheetId="3" hidden="1">{"table",#N/A,FALSE,"COVER";"income_statement",#N/A,FALSE,"COVER"}</definedName>
    <definedName name="_m3" hidden="1">{"table",#N/A,FALSE,"COVER";"income_statement",#N/A,FALSE,"COVER"}</definedName>
    <definedName name="_m4" localSheetId="3" hidden="1">{"table",#N/A,FALSE,"COVER";"income_statement",#N/A,FALSE,"COVER"}</definedName>
    <definedName name="_m4" hidden="1">{"table",#N/A,FALSE,"COVER";"income_statement",#N/A,FALSE,"COVER"}</definedName>
    <definedName name="_m5" localSheetId="3" hidden="1">{"table",#N/A,FALSE,"COVER";"income_statement",#N/A,FALSE,"COVER"}</definedName>
    <definedName name="_m5" hidden="1">{"table",#N/A,FALSE,"COVER";"income_statement",#N/A,FALSE,"COVER"}</definedName>
    <definedName name="_m6" localSheetId="3" hidden="1">{"table",#N/A,FALSE,"COVER";"income_statement",#N/A,FALSE,"COVER"}</definedName>
    <definedName name="_m6" hidden="1">{"table",#N/A,FALSE,"COVER";"income_statement",#N/A,FALSE,"COVER"}</definedName>
    <definedName name="_m7" localSheetId="3" hidden="1">{"table",#N/A,FALSE,"COVER";"income_statement",#N/A,FALSE,"COVER"}</definedName>
    <definedName name="_m7" hidden="1">{"table",#N/A,FALSE,"COVER";"income_statement",#N/A,FALSE,"COVER"}</definedName>
    <definedName name="_m8" localSheetId="3" hidden="1">{"table",#N/A,FALSE,"COVER";"income_statement",#N/A,FALSE,"COVER"}</definedName>
    <definedName name="_m8" hidden="1">{"table",#N/A,FALSE,"COVER";"income_statement",#N/A,FALSE,"COVER"}</definedName>
    <definedName name="_m9" localSheetId="3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localSheetId="3" hidden="1">{#N/A,#N/A,FALSE,"Sheet1"}</definedName>
    <definedName name="_mdc2" hidden="1">{#N/A,#N/A,FALSE,"Sheet1"}</definedName>
    <definedName name="_mfg2" localSheetId="4" hidden="1">{"PAGE 1",#N/A,FALSE,"WEST_OT"}</definedName>
    <definedName name="_mfg2" localSheetId="3" hidden="1">{"PAGE 1",#N/A,FALSE,"WEST_OT"}</definedName>
    <definedName name="_mfg2" hidden="1">{"PAGE 1",#N/A,FALSE,"WEST_OT"}</definedName>
    <definedName name="_mfg3" localSheetId="4" hidden="1">{"PAGE 1",#N/A,FALSE,"WEST_OT"}</definedName>
    <definedName name="_mfg3" localSheetId="3" hidden="1">{"PAGE 1",#N/A,FALSE,"WEST_OT"}</definedName>
    <definedName name="_mfg3" hidden="1">{"PAGE 1",#N/A,FALSE,"WEST_OT"}</definedName>
    <definedName name="_mfg4" localSheetId="4" hidden="1">{"PAGE 1",#N/A,FALSE,"WEST_OT"}</definedName>
    <definedName name="_mfg4" localSheetId="3" hidden="1">{"PAGE 1",#N/A,FALSE,"WEST_OT"}</definedName>
    <definedName name="_mfg4" hidden="1">{"PAGE 1",#N/A,FALSE,"WEST_OT"}</definedName>
    <definedName name="_mfg5" localSheetId="4" hidden="1">{"PAGE 1",#N/A,FALSE,"WEST_OT"}</definedName>
    <definedName name="_mfg5" localSheetId="3" hidden="1">{"PAGE 1",#N/A,FALSE,"WEST_OT"}</definedName>
    <definedName name="_mfg5" hidden="1">{"PAGE 1",#N/A,FALSE,"WEST_OT"}</definedName>
    <definedName name="_MHA1" localSheetId="4" hidden="1">{"rtn",#N/A,FALSE,"RTN";"tables",#N/A,FALSE,"RTN";"cf",#N/A,FALSE,"CF";"stats",#N/A,FALSE,"Stats";"prop",#N/A,FALSE,"Prop"}</definedName>
    <definedName name="_MHA1" localSheetId="3" hidden="1">{"rtn",#N/A,FALSE,"RTN";"tables",#N/A,FALSE,"RTN";"cf",#N/A,FALSE,"CF";"stats",#N/A,FALSE,"Stats";"prop",#N/A,FALSE,"Prop"}</definedName>
    <definedName name="_MHA1" hidden="1">{"rtn",#N/A,FALSE,"RTN";"tables",#N/A,FALSE,"RTN";"cf",#N/A,FALSE,"CF";"stats",#N/A,FALSE,"Stats";"prop",#N/A,FALSE,"Prop"}</definedName>
    <definedName name="_MHA1_1" localSheetId="4" hidden="1">{"rtn",#N/A,FALSE,"RTN";"tables",#N/A,FALSE,"RTN";"cf",#N/A,FALSE,"CF";"stats",#N/A,FALSE,"Stats";"prop",#N/A,FALSE,"Prop"}</definedName>
    <definedName name="_MHA1_1" localSheetId="3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localSheetId="3" hidden="1">{"detail",#N/A,FALSE,"mfg";"summary",#N/A,FALSE,"mfg"}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localSheetId="3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localSheetId="3" hidden="1">{"detail",#N/A,FALSE,"mfg";"summary",#N/A,FALSE,"mfg"}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localSheetId="3" hidden="1">{#N/A,#N/A,FALSE,"Pharm";#N/A,#N/A,FALSE,"WWCM"}</definedName>
    <definedName name="_new1_1" hidden="1">{#N/A,#N/A,FALSE,"Pharm";#N/A,#N/A,FALSE,"WWCM"}</definedName>
    <definedName name="_new1_2" localSheetId="3" hidden="1">{#N/A,#N/A,FALSE,"Pharm";#N/A,#N/A,FALSE,"WWCM"}</definedName>
    <definedName name="_new1_2" hidden="1">{#N/A,#N/A,FALSE,"Pharm";#N/A,#N/A,FALSE,"WWCM"}</definedName>
    <definedName name="_new1_3" localSheetId="3" hidden="1">{#N/A,#N/A,FALSE,"Pharm";#N/A,#N/A,FALSE,"WWCM"}</definedName>
    <definedName name="_new1_3" hidden="1">{#N/A,#N/A,FALSE,"Pharm";#N/A,#N/A,FALSE,"WWCM"}</definedName>
    <definedName name="_new1_4" localSheetId="3" hidden="1">{#N/A,#N/A,FALSE,"Pharm";#N/A,#N/A,FALSE,"WWCM"}</definedName>
    <definedName name="_new1_4" hidden="1">{#N/A,#N/A,FALSE,"Pharm";#N/A,#N/A,FALSE,"WWCM"}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localSheetId="3" hidden="1">{"TOTAL",#N/A,FALSE,"A";"FISCAL94",#N/A,FALSE,"A";"FISCAL95",#N/A,FALSE,"A";"FISCAL96",#N/A,FALSE,"A";"misc page",#N/A,FALSE,"A"}</definedName>
    <definedName name="_New2" hidden="1">{"TOTAL",#N/A,FALSE,"A";"FISCAL94",#N/A,FALSE,"A";"FISCAL95",#N/A,FALSE,"A";"FISCAL96",#N/A,FALSE,"A";"misc page",#N/A,FALSE,"A"}</definedName>
    <definedName name="_niv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1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localSheetId="3" hidden="1">{"All5",#N/A,FALSE,"ConsolidatingBS"}</definedName>
    <definedName name="_no3" hidden="1">{"All5",#N/A,FALSE,"ConsolidatingBS"}</definedName>
    <definedName name="_no4" localSheetId="3" hidden="1">{"All6",#N/A,FALSE,"ConsolidatingBS"}</definedName>
    <definedName name="_no4" hidden="1">{"All6",#N/A,FALSE,"ConsolidatingBS"}</definedName>
    <definedName name="_no5" localSheetId="3" hidden="1">{"Consol1",#N/A,FALSE,"ConsolidatingBS"}</definedName>
    <definedName name="_no5" hidden="1">{"Consol1",#N/A,FALSE,"ConsolidatingBS"}</definedName>
    <definedName name="_no6" localSheetId="3" hidden="1">{"Consol10",#N/A,FALSE,"ConsolidatingBS"}</definedName>
    <definedName name="_no6" hidden="1">{"Consol10",#N/A,FALSE,"ConsolidatingBS"}</definedName>
    <definedName name="_no7" localSheetId="3" hidden="1">{"Consolidating BS",#N/A,FALSE,"ConsolidatingBS"}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localSheetId="3" hidden="1">{#N/A,#N/A,FALSE,"PMTABB";#N/A,#N/A,FALSE,"PMTABB"}</definedName>
    <definedName name="_OIL310106" hidden="1">{#N/A,#N/A,FALSE,"PMTABB";#N/A,#N/A,FALSE,"PMTABB"}</definedName>
    <definedName name="_OIL310701" localSheetId="3" hidden="1">{#N/A,#N/A,FALSE,"PMTABB";#N/A,#N/A,FALSE,"PMTABB"}</definedName>
    <definedName name="_OIL310701" hidden="1">{#N/A,#N/A,FALSE,"PMTABB";#N/A,#N/A,FALSE,"PMTABB"}</definedName>
    <definedName name="_ok2" localSheetId="3" hidden="1">{#N/A,#N/A,FALSE,"Cover";#N/A,#N/A,FALSE,"LUMI";#N/A,#N/A,FALSE,"COMD";#N/A,#N/A,FALSE,"Valuation";#N/A,#N/A,FALSE,"Assumptions";#N/A,#N/A,FALSE,"Pooling";#N/A,#N/A,FALSE,"BalanceSheet"}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 localSheetId="4">[18]Sensetivities!#REF!</definedName>
    <definedName name="_op2">#REF!</definedName>
    <definedName name="_opt1">#REF!</definedName>
    <definedName name="_opt2">#REF!</definedName>
    <definedName name="_order_1" hidden="1">0</definedName>
    <definedName name="_Order1" localSheetId="4" hidden="1">0</definedName>
    <definedName name="_Order1" hidden="1">255</definedName>
    <definedName name="_Order1_1" hidden="1">255</definedName>
    <definedName name="_Order2" localSheetId="4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localSheetId="4">'[11]מגנזיום P&amp;L'!#REF!</definedName>
    <definedName name="_pl1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localSheetId="3" hidden="1">{#N/A,#N/A,FALSE,"Report Data";#N/A,#N/A,FALSE,"COMP POOL";#N/A,#N/A,FALSE,"COMP POOL NB95";#N/A,#N/A,FALSE,"COMP POOL NB94"}</definedName>
    <definedName name="_PL4" hidden="1">{#N/A,#N/A,FALSE,"Report Data";#N/A,#N/A,FALSE,"COMP POOL";#N/A,#N/A,FALSE,"COMP POOL NB95";#N/A,#N/A,FALSE,"COMP POOL NB94"}</definedName>
    <definedName name="_PL5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 localSheetId="3">{"adj95mult",#N/A,FALSE,"COMPCO";"adj95est",#N/A,FALSE,"COMPCO"}</definedName>
    <definedName name="_PRN2">{"adj95mult",#N/A,FALSE,"COMPCO";"adj95est",#N/A,FALSE,"COMPCO"}</definedName>
    <definedName name="_puc101" localSheetId="3" hidden="1">{#N/A,"PURCHM",FALSE,"Business Analysis";#N/A,"SPADD",FALSE,"Business Analysis"}</definedName>
    <definedName name="_puc101" hidden="1">{#N/A,"PURCHM",FALSE,"Business Analysis";#N/A,"SPADD",FALSE,"Business Analysis"}</definedName>
    <definedName name="_puc102" localSheetId="3" hidden="1">{#N/A,"PURCHM",FALSE,"Business Analysis";#N/A,"SPADD",FALSE,"Business Analysis"}</definedName>
    <definedName name="_puc102" hidden="1">{#N/A,"PURCHM",FALSE,"Business Analysis";#N/A,"SPADD",FALSE,"Business Analysis"}</definedName>
    <definedName name="_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localSheetId="3" hidden="1">{"rfcjan",#N/A,FALSE,"Stats"}</definedName>
    <definedName name="_q2" hidden="1">{"rfcjan",#N/A,FALSE,"Stats"}</definedName>
    <definedName name="_q234" hidden="1">#REF!</definedName>
    <definedName name="_Q3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3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localSheetId="3" hidden="1">{0,0,0,0;0,0,0,0;0,0,0,0;0,0,0,0;0,0,0,0;0,0,0,0}</definedName>
    <definedName name="_qw2" hidden="1">{0,0,0,0;0,0,0,0;0,0,0,0;0,0,0,0;0,0,0,0;0,0,0,0}</definedName>
    <definedName name="_qwe123" localSheetId="4" hidden="1">{#N/A,#N/A,FALSE,"Aging Summary";#N/A,#N/A,FALSE,"Ratio Analysis";#N/A,#N/A,FALSE,"Test 120 Day Accts";#N/A,#N/A,FALSE,"Tickmarks"}</definedName>
    <definedName name="_qwe123" localSheetId="3" hidden="1">{#N/A,#N/A,FALSE,"Aging Summary";#N/A,#N/A,FALSE,"Ratio Analysis";#N/A,#N/A,FALSE,"Test 120 Day Accts";#N/A,#N/A,FALSE,"Tickmarks"}</definedName>
    <definedName name="_qwe123" hidden="1">{#N/A,#N/A,FALSE,"Aging Summary";#N/A,#N/A,FALSE,"Ratio Analysis";#N/A,#N/A,FALSE,"Test 120 Day Accts";#N/A,#N/A,FALSE,"Tickmarks"}</definedName>
    <definedName name="_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localSheetId="3" hidden="1">{#N/A,#N/A,FALSE,"Pharm";#N/A,#N/A,FALSE,"WWCM"}</definedName>
    <definedName name="_r_1" hidden="1">{#N/A,#N/A,FALSE,"Pharm";#N/A,#N/A,FALSE,"WWCM"}</definedName>
    <definedName name="_r_2" localSheetId="3" hidden="1">{#N/A,#N/A,FALSE,"Pharm";#N/A,#N/A,FALSE,"WWCM"}</definedName>
    <definedName name="_r_2" hidden="1">{#N/A,#N/A,FALSE,"Pharm";#N/A,#N/A,FALSE,"WWCM"}</definedName>
    <definedName name="_r_3" localSheetId="3" hidden="1">{#N/A,#N/A,FALSE,"Pharm";#N/A,#N/A,FALSE,"WWCM"}</definedName>
    <definedName name="_r_3" hidden="1">{#N/A,#N/A,FALSE,"Pharm";#N/A,#N/A,FALSE,"WWCM"}</definedName>
    <definedName name="_r_4" localSheetId="3" hidden="1">{#N/A,#N/A,FALSE,"Pharm";#N/A,#N/A,FALSE,"WWCM"}</definedName>
    <definedName name="_r_4" hidden="1">{#N/A,#N/A,FALSE,"Pharm";#N/A,#N/A,FALSE,"WWCM"}</definedName>
    <definedName name="_r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 localSheetId="4">'[34]רכוש קבוע '!$A$1:$F$19,'[34]רכוש קבוע '!$G$1:$L$19,'[34]רכוש קבוע '!$M$1:$R$19,'[34]רכוש קבוע '!$Y$1:$AD$19,'[34]רכוש קבוע '!$AE$1:$AJ$19,'[34]רכוש קבוע '!$AK$1:$AP$19,'[34]רכוש קבוע '!$AQ$1:$AV$19,'[34]רכוש קבוע '!$BO$1:$BT$19,'[34]רכוש קבוע '!$BU$1:$CA$19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localSheetId="3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localSheetId="3" hidden="1">{"QTD_GENERALH2",#N/A,FALSE,"QTD"}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localSheetId="3" hidden="1">{"fcst w head depre cap",#N/A,FALSE,"PL";"new bud adj",#N/A,FALSE,"PL";"qtr",#N/A,FALSE,"PL";"quick",#N/A,FALSE,"PL";"bal sheet",#N/A,FALSE,"PL";"fixed assets",#N/A,FALSE,"PL"}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[35]StaticCodeListTemplate!$B$3</definedName>
    <definedName name="_SAP_BYD_CodeList_DisplayAs">[35]StaticCodeListTemplate!$C$4</definedName>
    <definedName name="_scenchg_count">1</definedName>
    <definedName name="_sd34" localSheetId="3" hidden="1">{"QTD",#N/A,FALSE,"SUM"}</definedName>
    <definedName name="_sd34" hidden="1">{"QTD",#N/A,FALSE,"SUM"}</definedName>
    <definedName name="_sep1" localSheetId="4">{"חובה","SUM(חובה)","YNNNN",FALSE}</definedName>
    <definedName name="_sep1" localSheetId="3">{"חובה","SUM(חובה)","YNNNN",FALSE}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 localSheetId="3">{"'1-TheatreBkgs'!$A$1:$L$102"}</definedName>
    <definedName name="_sex2">{"'1-TheatreBkgs'!$A$1:$L$102"}</definedName>
    <definedName name="_sex3" localSheetId="3">{"'1-TheatreBkgs'!$A$1:$L$102"}</definedName>
    <definedName name="_sex3">{"'1-TheatreBkgs'!$A$1:$L$102"}</definedName>
    <definedName name="_sex4" localSheetId="3">{"'1-TheatreBkgs'!$A$1:$L$102"}</definedName>
    <definedName name="_sex4">{"'1-TheatreBkgs'!$A$1:$L$102"}</definedName>
    <definedName name="_sex5" localSheetId="3">{"'1-TheatreBkgs'!$A$1:$L$102"}</definedName>
    <definedName name="_sex5">{"'1-TheatreBkgs'!$A$1:$L$102"}</definedName>
    <definedName name="_sex6" localSheetId="3">{"'1-TheatreBkgs'!$A$1:$L$102"}</definedName>
    <definedName name="_sex6">{"'1-TheatreBkgs'!$A$1:$L$102"}</definedName>
    <definedName name="_sn2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localSheetId="3" hidden="1">{"detail",#N/A,FALSE,"mfg";"summary",#N/A,FALSE,"mfg"}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localSheetId="3" hidden="1">{"Client is",#N/A,FALSE,"Client"}</definedName>
    <definedName name="_t1" hidden="1">{"Client is",#N/A,FALSE,"Client"}</definedName>
    <definedName name="_t9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localSheetId="4" hidden="1">[36]INPUT!#REF!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localSheetId="4" hidden="1">{"'Expense Details'!$A$1:$AM$222"}</definedName>
    <definedName name="_tes2" localSheetId="3" hidden="1">{"'Expense Details'!$A$1:$AM$222"}</definedName>
    <definedName name="_tes2" hidden="1">{"'Expense Details'!$A$1:$AM$222"}</definedName>
    <definedName name="_tm1" localSheetId="3" hidden="1">{#N/A,#N/A,FALSE,"Pharm";#N/A,#N/A,FALSE,"WWCM"}</definedName>
    <definedName name="_tm1" hidden="1">{#N/A,#N/A,FALSE,"Pharm";#N/A,#N/A,FALSE,"WWCM"}</definedName>
    <definedName name="_tm1_1" localSheetId="3" hidden="1">{#N/A,#N/A,FALSE,"Pharm";#N/A,#N/A,FALSE,"WWCM"}</definedName>
    <definedName name="_tm1_1" hidden="1">{#N/A,#N/A,FALSE,"Pharm";#N/A,#N/A,FALSE,"WWCM"}</definedName>
    <definedName name="_tm1_2" localSheetId="3" hidden="1">{#N/A,#N/A,FALSE,"Pharm";#N/A,#N/A,FALSE,"WWCM"}</definedName>
    <definedName name="_tm1_2" hidden="1">{#N/A,#N/A,FALSE,"Pharm";#N/A,#N/A,FALSE,"WWCM"}</definedName>
    <definedName name="_tm1_3" localSheetId="3" hidden="1">{#N/A,#N/A,FALSE,"Pharm";#N/A,#N/A,FALSE,"WWCM"}</definedName>
    <definedName name="_tm1_3" hidden="1">{#N/A,#N/A,FALSE,"Pharm";#N/A,#N/A,FALSE,"WWCM"}</definedName>
    <definedName name="_tm1_4" localSheetId="3" hidden="1">{#N/A,#N/A,FALSE,"Pharm";#N/A,#N/A,FALSE,"WWCM"}</definedName>
    <definedName name="_tm1_4" hidden="1">{#N/A,#N/A,FALSE,"Pharm";#N/A,#N/A,FALSE,"WWCM"}</definedName>
    <definedName name="_TMAutoChart11Names" localSheetId="3" hidden="1">{"Curves","Chart 4","Curves Graphique 4"}</definedName>
    <definedName name="_TMAutoChart11Names" hidden="1">{"Curves","Chart 4","Curves Graphique 4"}</definedName>
    <definedName name="_TMAutoChart11Refs" localSheetId="3" hidden="1">{"","","'Curves'!$V$3","'Curves'!$W$3","","","","","",""}</definedName>
    <definedName name="_TMAutoChart11Refs" hidden="1">{"","","'Curves'!$V$3","'Curves'!$W$3","","","","","",""}</definedName>
    <definedName name="_TMAutoChart12Names" localSheetId="3" hidden="1">{"Curves","Chart 3","Curves Graphique 3"}</definedName>
    <definedName name="_TMAutoChart12Names" hidden="1">{"Curves","Chart 3","Curves Graphique 3"}</definedName>
    <definedName name="_TMAutoChart12Refs" localSheetId="3" hidden="1">{"","","'Curves'!$C$55","'Curves'!$D$55","","","","","",""}</definedName>
    <definedName name="_TMAutoChart12Refs" hidden="1">{"","","'Curves'!$C$55","'Curves'!$D$55","","","","","",""}</definedName>
    <definedName name="_TMAutoChart13Names" localSheetId="3" hidden="1">{"Curves","Chart 2","Curves Graphique 2"}</definedName>
    <definedName name="_TMAutoChart13Names" hidden="1">{"Curves","Chart 2","Curves Graphique 2"}</definedName>
    <definedName name="_TMAutoChart13Refs" localSheetId="3" hidden="1">{"","","'Curves'!$V$3","'Curves'!$W$3","","","","","",""}</definedName>
    <definedName name="_TMAutoChart13Refs" hidden="1">{"","","'Curves'!$V$3","'Curves'!$W$3","","","","","",""}</definedName>
    <definedName name="_TMAutoChart14Names" localSheetId="3" hidden="1">{"Curves","Chart 1","Curves Graphique 1"}</definedName>
    <definedName name="_TMAutoChart14Names" hidden="1">{"Curves","Chart 1","Curves Graphique 1"}</definedName>
    <definedName name="_TMAutoChart14Refs" localSheetId="3" hidden="1">{"","","'Curves'!$C$55","'Curves'!$D$55","","","","","",""}</definedName>
    <definedName name="_TMAutoChart14Refs" hidden="1">{"","","'Curves'!$C$55","'Curves'!$D$55","","","","","",""}</definedName>
    <definedName name="_TMAutoChart15Names" localSheetId="3" hidden="1">{"Curves","Chart 4","Curves Graphique 4"}</definedName>
    <definedName name="_TMAutoChart15Names" hidden="1">{"Curves","Chart 4","Curves Graphique 4"}</definedName>
    <definedName name="_TMAutoChart15Refs" localSheetId="3" hidden="1">{"","","'Curves'!$V$3","'Curves'!$W$3","","","","","",""}</definedName>
    <definedName name="_TMAutoChart15Refs" hidden="1">{"","","'Curves'!$V$3","'Curves'!$W$3","","","","","",""}</definedName>
    <definedName name="_TMAutoChart16Names" localSheetId="3" hidden="1">{"Curves","Chart 3","Curves Graphique 3"}</definedName>
    <definedName name="_TMAutoChart16Names" hidden="1">{"Curves","Chart 3","Curves Graphique 3"}</definedName>
    <definedName name="_TMAutoChart16Refs" localSheetId="3" hidden="1">{"","","'Curves'!$V$4","'Curves'!$W$4","","","","","",""}</definedName>
    <definedName name="_TMAutoChart16Refs" hidden="1">{"","","'Curves'!$V$4","'Curves'!$W$4","","","","","",""}</definedName>
    <definedName name="_TMAutoChart17Names" localSheetId="3" hidden="1">{"Curves","Chart 2","Curves Graphique 2"}</definedName>
    <definedName name="_TMAutoChart17Names" hidden="1">{"Curves","Chart 2","Curves Graphique 2"}</definedName>
    <definedName name="_TMAutoChart17Refs" localSheetId="3" hidden="1">{"","","'Curves'!$V$3","'Curves'!$W$3","","","","","",""}</definedName>
    <definedName name="_TMAutoChart17Refs" hidden="1">{"","","'Curves'!$V$3","'Curves'!$W$3","","","","","",""}</definedName>
    <definedName name="_TMAutoChart18Names" localSheetId="3" hidden="1">{"Curves","Chart 1","Curves Graphique 1"}</definedName>
    <definedName name="_TMAutoChart18Names" hidden="1">{"Curves","Chart 1","Curves Graphique 1"}</definedName>
    <definedName name="_TMAutoChart18Refs" localSheetId="3" hidden="1">{"","","'Curves'!$V$4","'Curves'!$W$4","","","","","",""}</definedName>
    <definedName name="_TMAutoChart18Refs" hidden="1">{"","","'Curves'!$V$4","'Curves'!$W$4","","","","","",""}</definedName>
    <definedName name="_TMAutoChart19Names" localSheetId="3" hidden="1">{"Curves","Chart 3","Curves Graphique 3"}</definedName>
    <definedName name="_TMAutoChart19Names" hidden="1">{"Curves","Chart 3","Curves Graphique 3"}</definedName>
    <definedName name="_TMAutoChart19Refs" localSheetId="3" hidden="1">{"","","'Curves'!$W$8","'Curves'!$X$8","","","","","",""}</definedName>
    <definedName name="_TMAutoChart19Refs" hidden="1">{"","","'Curves'!$W$8","'Curves'!$X$8","","","","","",""}</definedName>
    <definedName name="_TMAutoChart1Names" localSheetId="3">{"Timeline","Chart 6","Timeline Chart 6"}</definedName>
    <definedName name="_TMAutoChart1Names">{"Timeline","Chart 6","Timeline Chart 6"}</definedName>
    <definedName name="_TMAutoChart1Refs" localSheetId="3">{"","","'Timeline'!$F$16","'Timeline'!$F$25","","","","","",""}</definedName>
    <definedName name="_TMAutoChart1Refs">{"","","'Timeline'!$F$16","'Timeline'!$F$25","","","","","",""}</definedName>
    <definedName name="_TMAutoChart20Names" localSheetId="3" hidden="1">{"Curves","Chart 4","Curves Graphique 4"}</definedName>
    <definedName name="_TMAutoChart20Names" hidden="1">{"Curves","Chart 4","Curves Graphique 4"}</definedName>
    <definedName name="_TMAutoChart20Refs" localSheetId="3" hidden="1">{"","","'Curves'!$W$11","'Curves'!$X$11","","","","","",""}</definedName>
    <definedName name="_TMAutoChart20Refs" hidden="1">{"","","'Curves'!$W$11","'Curves'!$X$11","","","","","",""}</definedName>
    <definedName name="_TMAutoChart21Names" localSheetId="3" hidden="1">{"Curves","Chart 2","Curves Graphique 2"}</definedName>
    <definedName name="_TMAutoChart21Names" hidden="1">{"Curves","Chart 2","Curves Graphique 2"}</definedName>
    <definedName name="_TMAutoChart21Refs" localSheetId="3" hidden="1">{"","","'Curves'!$W$10","'Curves'!$X$10","","","","","",""}</definedName>
    <definedName name="_TMAutoChart21Refs" hidden="1">{"","","'Curves'!$W$10","'Curves'!$X$10","","","","","",""}</definedName>
    <definedName name="_TMAutoChart22Names" localSheetId="3" hidden="1">{"Curves","Chart 1","Curves Graphique 1"}</definedName>
    <definedName name="_TMAutoChart22Names" hidden="1">{"Curves","Chart 1","Curves Graphique 1"}</definedName>
    <definedName name="_TMAutoChart22Refs" localSheetId="3" hidden="1">{"","","'Curves'!$W$7","'Curves'!$X$7","","","","","",""}</definedName>
    <definedName name="_TMAutoChart22Refs" hidden="1">{"","","'Curves'!$W$7","'Curves'!$X$7","","","","","",""}</definedName>
    <definedName name="_TMAutoChart23Names" localSheetId="3" hidden="1">{"Curves","Chart 3","Curves Graphique 3"}</definedName>
    <definedName name="_TMAutoChart23Names" hidden="1">{"Curves","Chart 3","Curves Graphique 3"}</definedName>
    <definedName name="_TMAutoChart23Refs" localSheetId="3" hidden="1">{"","","'Curves'!$W$8","'Curves'!$X$8","","","","","",""}</definedName>
    <definedName name="_TMAutoChart23Refs" hidden="1">{"","","'Curves'!$W$8","'Curves'!$X$8","","","","","",""}</definedName>
    <definedName name="_TMAutoChart24Names" localSheetId="3" hidden="1">{"Curves","Chart 4","Curves Graphique 4"}</definedName>
    <definedName name="_TMAutoChart24Names" hidden="1">{"Curves","Chart 4","Curves Graphique 4"}</definedName>
    <definedName name="_TMAutoChart24Refs" localSheetId="3" hidden="1">{"","","'Curves'!$W$12","'Curves'!$X$12","","","","","",""}</definedName>
    <definedName name="_TMAutoChart24Refs" hidden="1">{"","","'Curves'!$W$12","'Curves'!$X$12","","","","","",""}</definedName>
    <definedName name="_TMAutoChart25Names" localSheetId="3" hidden="1">{"Curves","Chart 2","Curves Graphique 2"}</definedName>
    <definedName name="_TMAutoChart25Names" hidden="1">{"Curves","Chart 2","Curves Graphique 2"}</definedName>
    <definedName name="_TMAutoChart25Refs" localSheetId="3" hidden="1">{"","","'Curves'!$W$11","'Curves'!$X$11","","","","","",""}</definedName>
    <definedName name="_TMAutoChart25Refs" hidden="1">{"","","'Curves'!$W$11","'Curves'!$X$11","","","","","",""}</definedName>
    <definedName name="_TMAutoChart26Names" localSheetId="3" hidden="1">{"Curves","Chart 1","Curves Graphique 1"}</definedName>
    <definedName name="_TMAutoChart26Names" hidden="1">{"Curves","Chart 1","Curves Graphique 1"}</definedName>
    <definedName name="_TMAutoChart26Refs" localSheetId="3" hidden="1">{"","","'Curves'!$W$7","'Curves'!$X$7","","","","","",""}</definedName>
    <definedName name="_TMAutoChart26Refs" hidden="1">{"","","'Curves'!$W$7","'Curves'!$X$7","","","","","",""}</definedName>
    <definedName name="_TMAutoChart2Names" localSheetId="3">{"Timeline","Chart 6","Timeline Chart 6"}</definedName>
    <definedName name="_TMAutoChart2Names">{"Timeline","Chart 6","Timeline Chart 6"}</definedName>
    <definedName name="_TMAutoChart2Refs" localSheetId="3">{"","","'Timeline'!$F$16","'Timeline'!$H$25","","","","","",""}</definedName>
    <definedName name="_TMAutoChart2Refs">{"","","'Timeline'!$F$16","'Timeline'!$H$25","","","","","",""}</definedName>
    <definedName name="_TMAutoChart7Names" localSheetId="3" hidden="1">{"Curves","Chart 4","Curves Graphique 4"}</definedName>
    <definedName name="_TMAutoChart7Names" hidden="1">{"Curves","Chart 4","Curves Graphique 4"}</definedName>
    <definedName name="_TMAutoChart7Refs" localSheetId="3" hidden="1">{"","","'Curves'!$E$55","'Curves'!$F$55","","","","","",""}</definedName>
    <definedName name="_TMAutoChart7Refs" hidden="1">{"","","'Curves'!$E$55","'Curves'!$F$55","","","","","",""}</definedName>
    <definedName name="_TMAutoChart8Names" localSheetId="3" hidden="1">{"Curves","Chart 2","Curves Graphique 2"}</definedName>
    <definedName name="_TMAutoChart8Names" hidden="1">{"Curves","Chart 2","Curves Graphique 2"}</definedName>
    <definedName name="_TMAutoChart8Refs" localSheetId="3" hidden="1">{"","","'Curves'!$E$55","'Curves'!$F$55","","","","","",""}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 localSheetId="4">'[37]מדדים ושע"ח'!$C$18</definedName>
    <definedName name="_us0300">#REF!</definedName>
    <definedName name="_us0301" localSheetId="4">'[38]מדדים ושע"ח'!$C$22</definedName>
    <definedName name="_us0301">#REF!</definedName>
    <definedName name="_v" localSheetId="4" hidden="1">'[39]IS Summary-96'!$B$12:$AL$30</definedName>
    <definedName name="_v" hidden="1">#REF!</definedName>
    <definedName name="_v1" localSheetId="3">{"'1-TheatreBkgs'!$A$1:$L$102"}</definedName>
    <definedName name="_v1">{"'1-TheatreBkgs'!$A$1:$L$102"}</definedName>
    <definedName name="_v3" localSheetId="3">{"'1-TheatreBkgs'!$A$1:$L$102"}</definedName>
    <definedName name="_v3">{"'1-TheatreBkgs'!$A$1:$L$102"}</definedName>
    <definedName name="_ver1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localSheetId="3" hidden="1">{#N/A,#N/A,FALSE,"FINAL"}</definedName>
    <definedName name="_VSK1" hidden="1">{#N/A,#N/A,FALSE,"FINAL"}</definedName>
    <definedName name="_VSK2" localSheetId="3" hidden="1">{#N/A,#N/A,FALSE,"FINAL"}</definedName>
    <definedName name="_VSK2" hidden="1">{#N/A,#N/A,FALSE,"FINAL"}</definedName>
    <definedName name="_w1" localSheetId="3" hidden="1">{"PVGraph2",#N/A,FALSE,"PV Data"}</definedName>
    <definedName name="_w1" hidden="1">{"PVGraph2",#N/A,FALSE,"PV Data"}</definedName>
    <definedName name="_w11" localSheetId="3" hidden="1">{"PVGraph2",#N/A,FALSE,"PV Data"}</definedName>
    <definedName name="_w11" hidden="1">{"PVGraph2",#N/A,FALSE,"PV Data"}</definedName>
    <definedName name="_w112" localSheetId="3" hidden="1">{"PVGraph2",#N/A,FALSE,"PV Data"}</definedName>
    <definedName name="_w112" hidden="1">{"PVGraph2",#N/A,FALSE,"PV Data"}</definedName>
    <definedName name="_w1121" localSheetId="3" hidden="1">{"PVGraph2",#N/A,FALSE,"PV Data"}</definedName>
    <definedName name="_w1121" hidden="1">{"PVGraph2",#N/A,FALSE,"PV Data"}</definedName>
    <definedName name="_w12" localSheetId="3" hidden="1">{"PVGraph2",#N/A,FALSE,"PV Data"}</definedName>
    <definedName name="_w12" hidden="1">{"PVGraph2",#N/A,FALSE,"PV Data"}</definedName>
    <definedName name="_w121" localSheetId="3" hidden="1">{"PVGraph2",#N/A,FALSE,"PV Data"}</definedName>
    <definedName name="_w121" hidden="1">{"PVGraph2",#N/A,FALSE,"PV Data"}</definedName>
    <definedName name="_w12345" localSheetId="3" hidden="1">{"PVGraph2",#N/A,FALSE,"PV Data"}</definedName>
    <definedName name="_w12345" hidden="1">{"PVGraph2",#N/A,FALSE,"PV Data"}</definedName>
    <definedName name="_w13" localSheetId="3" hidden="1">{"PVGraph2",#N/A,FALSE,"PV Data"}</definedName>
    <definedName name="_w13" hidden="1">{"PVGraph2",#N/A,FALSE,"PV Data"}</definedName>
    <definedName name="_w2" localSheetId="3" hidden="1">{"PVGraph2",#N/A,FALSE,"PV Data"}</definedName>
    <definedName name="_w2" hidden="1">{"PVGraph2",#N/A,FALSE,"PV Data"}</definedName>
    <definedName name="_w3" localSheetId="3" hidden="1">{"PVGraph2",#N/A,FALSE,"PV Data"}</definedName>
    <definedName name="_w3" hidden="1">{"PVGraph2",#N/A,FALSE,"PV Data"}</definedName>
    <definedName name="_w9" localSheetId="3" hidden="1">{"PVGraph2",#N/A,FALSE,"PV Data"}</definedName>
    <definedName name="_w9" hidden="1">{"PVGraph2",#N/A,FALSE,"PV Data"}</definedName>
    <definedName name="_wrn071" localSheetId="3" hidden="1">{#N/A,"PURCHM",FALSE,"Business Analysis";#N/A,"SPADD",FALSE,"Business Analysis"}</definedName>
    <definedName name="_wrn071" hidden="1">{#N/A,"PURCHM",FALSE,"Business Analysis";#N/A,"SPADD",FALSE,"Business Analysis"}</definedName>
    <definedName name="_wrn1" localSheetId="4" hidden="1">{"Annual",#N/A,FALSE,"Sales &amp; Market";"Quarterly",#N/A,FALSE,"Sales &amp; Market"}</definedName>
    <definedName name="_wrn1" localSheetId="3" hidden="1">{"Annual",#N/A,FALSE,"Sales &amp; Market";"Quarterly",#N/A,FALSE,"Sales &amp; Market"}</definedName>
    <definedName name="_wrn1" hidden="1">{"Annual",#N/A,FALSE,"Sales &amp; Market";"Quarterly",#N/A,FALSE,"Sales &amp; Market"}</definedName>
    <definedName name="_WRN2" localSheetId="4" hidden="1">{#N/A,#N/A,FALSE,"Consol P&amp;L ";#N/A,#N/A,FALSE,"CP P&amp;L";#N/A,#N/A,FALSE,"ADS P&amp;L";#N/A,#N/A,FALSE,"Corp P&amp;L"}</definedName>
    <definedName name="_wrn2" localSheetId="3" hidden="1">{"client cfbs",#N/A,FALSE,"Client"}</definedName>
    <definedName name="_wrn2" hidden="1">{"client cfbs",#N/A,FALSE,"Client"}</definedName>
    <definedName name="_wrn213" localSheetId="3" hidden="1">{"detail",#N/A,FALSE,"mfg";"summary",#N/A,FALSE,"mfg"}</definedName>
    <definedName name="_wrn213" hidden="1">{"detail",#N/A,FALSE,"mfg";"summary",#N/A,FALSE,"mfg"}</definedName>
    <definedName name="_wrn3" localSheetId="4" hidden="1">{"client is",#N/A,FALSE,"Client"}</definedName>
    <definedName name="_wrn3" localSheetId="3" hidden="1">{"client is",#N/A,FALSE,"Client"}</definedName>
    <definedName name="_wrn3" hidden="1">{"client is",#N/A,FALSE,"Client"}</definedName>
    <definedName name="_wrn4" localSheetId="4" hidden="1">{"client stats",#N/A,FALSE,"Client"}</definedName>
    <definedName name="_wrn4" localSheetId="3" hidden="1">{"client stats",#N/A,FALSE,"Client"}</definedName>
    <definedName name="_wrn4" hidden="1">{"client stats",#N/A,FALSE,"Client"}</definedName>
    <definedName name="_WRN41" localSheetId="3" hidden="1">{"detail",#N/A,FALSE,"mfg";"summary",#N/A,FALSE,"mfg"}</definedName>
    <definedName name="_WRN41" hidden="1">{"detail",#N/A,FALSE,"mfg";"summary",#N/A,FALSE,"mfg"}</definedName>
    <definedName name="_wrn413" localSheetId="3" hidden="1">{"detail",#N/A,FALSE,"mfg";"summary",#N/A,FALSE,"mfg"}</definedName>
    <definedName name="_wrn413" hidden="1">{"detail",#N/A,FALSE,"mfg";"summary",#N/A,FALSE,"mfg"}</definedName>
    <definedName name="_wrn5" localSheetId="4" hidden="1">{"internal is",#N/A,FALSE,"Model"}</definedName>
    <definedName name="_wrn5" localSheetId="3" hidden="1">{"internal is",#N/A,FALSE,"Model"}</definedName>
    <definedName name="_wrn5" hidden="1">{"internal is",#N/A,FALSE,"Model"}</definedName>
    <definedName name="_wrn51" localSheetId="3" hidden="1">{#N/A,"PURCHM",FALSE,"Business Analysis";#N/A,"SPADD",FALSE,"Business Analysis"}</definedName>
    <definedName name="_wrn51" hidden="1">{#N/A,"PURCHM",FALSE,"Business Analysis";#N/A,"SPADD",FALSE,"Business Analysis"}</definedName>
    <definedName name="_wrn6" localSheetId="4" hidden="1">{"portrait letter is",#N/A,FALSE,"Model"}</definedName>
    <definedName name="_wrn6" localSheetId="3" hidden="1">{"portrait letter is",#N/A,FALSE,"Model"}</definedName>
    <definedName name="_wrn6" hidden="1">{"portrait letter is",#N/A,FALSE,"Model"}</definedName>
    <definedName name="_wrn61" localSheetId="3" hidden="1">{"detail",#N/A,FALSE,"mfg";"summary",#N/A,FALSE,"mfg"}</definedName>
    <definedName name="_wrn61" hidden="1">{"detail",#N/A,FALSE,"mfg";"summary",#N/A,FALSE,"mfg"}</definedName>
    <definedName name="_wrn651" localSheetId="3" hidden="1">{"detail",#N/A,FALSE,"mfg";"summary",#N/A,FALSE,"mfg"}</definedName>
    <definedName name="_wrn651" hidden="1">{"detail",#N/A,FALSE,"mfg";"summary",#N/A,FALSE,"mfg"}</definedName>
    <definedName name="_wrn7" localSheetId="4" hidden="1">{#N/A,#N/A,FALSE,"Financial";#N/A,#N/A,FALSE,"Balance Sheet";#N/A,#N/A,FALSE,"Income stmt";#N/A,#N/A,FALSE,"Ratio"}</definedName>
    <definedName name="_wrn7" localSheetId="3" hidden="1">{#N/A,#N/A,FALSE,"Financial";#N/A,#N/A,FALSE,"Balance Sheet";#N/A,#N/A,FALSE,"Income stmt";#N/A,#N/A,FALSE,"Ratio"}</definedName>
    <definedName name="_wrn7" hidden="1">{#N/A,#N/A,FALSE,"Financial";#N/A,#N/A,FALSE,"Balance Sheet";#N/A,#N/A,FALSE,"Income stmt";#N/A,#N/A,FALSE,"Ratio"}</definedName>
    <definedName name="_WVU4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localSheetId="3" hidden="1">{"detail",#N/A,FALSE,"mfg";"summary",#N/A,FALSE,"mfg"}</definedName>
    <definedName name="_x1" hidden="1">{"detail",#N/A,FALSE,"mfg";"summary",#N/A,FALSE,"mfg"}</definedName>
    <definedName name="_x2" localSheetId="3" hidden="1">{"PVGraph2",#N/A,FALSE,"PV Data"}</definedName>
    <definedName name="_x2" hidden="1">{"PVGraph2",#N/A,FALSE,"PV Data"}</definedName>
    <definedName name="_X2_1" localSheetId="3" hidden="1">{#N/A,#N/A,FALSE,"Other";#N/A,#N/A,FALSE,"Ace";#N/A,#N/A,FALSE,"Derm"}</definedName>
    <definedName name="_X2_1" hidden="1">{#N/A,#N/A,FALSE,"Other";#N/A,#N/A,FALSE,"Ace";#N/A,#N/A,FALSE,"Derm"}</definedName>
    <definedName name="_X2_2" localSheetId="3" hidden="1">{#N/A,#N/A,FALSE,"Other";#N/A,#N/A,FALSE,"Ace";#N/A,#N/A,FALSE,"Derm"}</definedName>
    <definedName name="_X2_2" hidden="1">{#N/A,#N/A,FALSE,"Other";#N/A,#N/A,FALSE,"Ace";#N/A,#N/A,FALSE,"Derm"}</definedName>
    <definedName name="_X2_3" localSheetId="3" hidden="1">{#N/A,#N/A,FALSE,"Other";#N/A,#N/A,FALSE,"Ace";#N/A,#N/A,FALSE,"Derm"}</definedName>
    <definedName name="_X2_3" hidden="1">{#N/A,#N/A,FALSE,"Other";#N/A,#N/A,FALSE,"Ace";#N/A,#N/A,FALSE,"Derm"}</definedName>
    <definedName name="_X2_4" localSheetId="3" hidden="1">{#N/A,#N/A,FALSE,"Other";#N/A,#N/A,FALSE,"Ace";#N/A,#N/A,FALSE,"Derm"}</definedName>
    <definedName name="_X2_4" hidden="1">{#N/A,#N/A,FALSE,"Other";#N/A,#N/A,FALSE,"Ace";#N/A,#N/A,FALSE,"Derm"}</definedName>
    <definedName name="_x3" localSheetId="3" hidden="1">{"detail",#N/A,FALSE,"mfg";"summary",#N/A,FALSE,"mfg"}</definedName>
    <definedName name="_x3" hidden="1">{"detail",#N/A,FALSE,"mfg";"summary",#N/A,FALSE,"mfg"}</definedName>
    <definedName name="_x4" localSheetId="3" hidden="1">{#N/A,"PURCHM",FALSE,"Business Analysis";#N/A,"SPADD",FALSE,"Business Analysis"}</definedName>
    <definedName name="_x4" hidden="1">{#N/A,"PURCHM",FALSE,"Business Analysis";#N/A,"SPADD",FALSE,"Business Analysis"}</definedName>
    <definedName name="_x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localSheetId="3" hidden="1">{#N/A,#N/A,FALSE,"CMN_FE"}</definedName>
    <definedName name="_xx1" hidden="1">{#N/A,#N/A,FALSE,"CMN_FE"}</definedName>
    <definedName name="_xx10" localSheetId="3" hidden="1">{#N/A,"PURCHM",FALSE,"Business Analysis";#N/A,"SPADD",FALSE,"Business Analysis"}</definedName>
    <definedName name="_xx10" hidden="1">{#N/A,"PURCHM",FALSE,"Business Analysis";#N/A,"SPADD",FALSE,"Business Analysis"}</definedName>
    <definedName name="_xx2" localSheetId="4" hidden="1">{"Current V Prior, Current Month",#N/A,FALSE,"Current v Prior"}</definedName>
    <definedName name="_xx2" localSheetId="3" hidden="1">{"Current V Prior, Current Month",#N/A,FALSE,"Current v Prior"}</definedName>
    <definedName name="_xx2" hidden="1">{"Current V Prior, Current Month",#N/A,FALSE,"Current v Prior"}</definedName>
    <definedName name="_xx3" localSheetId="3" hidden="1">{"detail",#N/A,FALSE,"mfg";"summary",#N/A,FALSE,"mfg"}</definedName>
    <definedName name="_xx3" hidden="1">{"detail",#N/A,FALSE,"mfg";"summary",#N/A,FALSE,"mfg"}</definedName>
    <definedName name="_xx4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localSheetId="3" hidden="1">{"oct_res_comm",#N/A,FALSE,"VarToBud"}</definedName>
    <definedName name="_xx7" hidden="1">{"oct_res_comm",#N/A,FALSE,"VarToBud"}</definedName>
    <definedName name="_xx8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localSheetId="3" hidden="1">{"AS REP",#N/A,FALSE,"EEFSNAP2";"PROP",#N/A,FALSE,"EEFSNAP2";"RISKS",#N/A,FALSE,"EEFSNAP2";"VIEW ALL",#N/A,FALSE,"EEFSNAP2"}</definedName>
    <definedName name="_xx9" hidden="1">{"AS REP",#N/A,FALSE,"EEFSNAP2";"PROP",#N/A,FALSE,"EEFSNAP2";"RISKS",#N/A,FALSE,"EEFSNAP2";"VIEW ALL",#N/A,FALSE,"EEFSNAP2"}</definedName>
    <definedName name="_xz4" localSheetId="3" hidden="1">{0,0,0,0;0,0,0,0;0,0,0,0;0,0,0,0;0,0,0,0;0,0,0,0}</definedName>
    <definedName name="_xz4" hidden="1">{0,0,0,0;0,0,0,0;0,0,0,0;0,0,0,0;0,0,0,0;0,0,0,0}</definedName>
    <definedName name="_y2" localSheetId="3" hidden="1">{"PVGraph2",#N/A,FALSE,"PV Data"}</definedName>
    <definedName name="_y2" hidden="1">{"PVGraph2",#N/A,FALSE,"PV Data"}</definedName>
    <definedName name="_y22" localSheetId="3" hidden="1">{"PVGraph2",#N/A,FALSE,"PV Data"}</definedName>
    <definedName name="_y22" hidden="1">{"PVGraph2",#N/A,FALSE,"PV Data"}</definedName>
    <definedName name="_y6" localSheetId="3" hidden="1">{#N/A,#N/A,FALSE,"ORIX CSC"}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localSheetId="3" hidden="1">{"pro_view",#N/A,FALSE,"EEFSNAP2";"rep_view",#N/A,FALSE,"EEFSNAP2"}</definedName>
    <definedName name="_z12" hidden="1">{"pro_view",#N/A,FALSE,"EEFSNAP2";"rep_view",#N/A,FALSE,"EEFSNAP2"}</definedName>
    <definedName name="_z2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localSheetId="3" hidden="1">{"detail",#N/A,FALSE,"mfg";"summary",#N/A,FALSE,"mfg"}</definedName>
    <definedName name="_z25" hidden="1">{"detail",#N/A,FALSE,"mfg";"summary",#N/A,FALSE,"mfg"}</definedName>
    <definedName name="_Zcomps1" localSheetId="3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localSheetId="3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localSheetId="3" hidden="1">{"pro_view",#N/A,FALSE,"EEFSNAP2";"rep_view",#N/A,FALSE,"EEFSNAP2"}</definedName>
    <definedName name="_zz1" hidden="1">{"pro_view",#N/A,FALSE,"EEFSNAP2";"rep_view",#N/A,FALSE,"EEFSNAP2"}</definedName>
    <definedName name="_zz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 localSheetId="4">[40]Stdv!$B$2:$C$506</definedName>
    <definedName name="a" localSheetId="3">{"'2ND_QUAR'!$A$1:$P$106"}</definedName>
    <definedName name="a">{"'2ND_QUAR'!$A$1:$P$106"}</definedName>
    <definedName name="a_1" localSheetId="4" hidden="1">{"rtn",#N/A,FALSE,"RTN";"tables",#N/A,FALSE,"RTN";"cf",#N/A,FALSE,"CF";"stats",#N/A,FALSE,"Stats";"prop",#N/A,FALSE,"Prop"}</definedName>
    <definedName name="a_1" localSheetId="3" hidden="1">{"rtn",#N/A,FALSE,"RTN";"tables",#N/A,FALSE,"RTN";"cf",#N/A,FALSE,"CF";"stats",#N/A,FALSE,"Stats";"prop",#N/A,FALSE,"Prop"}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 localSheetId="4">'[41]Warrants &amp; options'!$E$7</definedName>
    <definedName name="A1_Eff_Ex_P">#REF!</definedName>
    <definedName name="a1a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localSheetId="3" hidden="1">{"detail",#N/A,FALSE,"mfg";"summary",#N/A,FALSE,"mfg"}</definedName>
    <definedName name="a2a" hidden="1">{"detail",#N/A,FALSE,"mfg";"summary",#N/A,FALSE,"mfg"}</definedName>
    <definedName name="AA" localSheetId="4">#REF!</definedName>
    <definedName name="aa" localSheetId="3">{"DCF1",#N/A,FALSE,"SIERRA DCF";"MATRIX1",#N/A,FALSE,"SIERRA DCF"}</definedName>
    <definedName name="aa">{"DCF1",#N/A,FALSE,"SIERRA DCF";"MATRIX1",#N/A,FALSE,"SIERRA DCF"}</definedName>
    <definedName name="aa_1" localSheetId="4" hidden="1">{"Outflow 1",#N/A,FALSE,"Outflows-Inflows";"Outflow 2",#N/A,FALSE,"Outflows-Inflows";"Inflow 1",#N/A,FALSE,"Outflows-Inflows";"Inflow 2",#N/A,FALSE,"Outflows-Inflows"}</definedName>
    <definedName name="aa_1" localSheetId="3" hidden="1">{"Outflow 1",#N/A,FALSE,"Outflows-Inflows";"Outflow 2",#N/A,FALSE,"Outflows-Inflows";"Inflow 1",#N/A,FALSE,"Outflows-Inflows";"Inflow 2",#N/A,FALSE,"Outflows-Inflows"}</definedName>
    <definedName name="aa_1" hidden="1">{"Outflow 1",#N/A,FALSE,"Outflows-Inflows";"Outflow 2",#N/A,FALSE,"Outflows-Inflows";"Inflow 1",#N/A,FALSE,"Outflows-Inflows";"Inflow 2",#N/A,FALSE,"Outflows-Inflows"}</definedName>
    <definedName name="aa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 localSheetId="4" hidden="1">#REF!</definedName>
    <definedName name="aaa" localSheetId="3">{"adj95mult",#N/A,FALSE,"COMPCO";"adj95est",#N/A,FALSE,"COMPCO"}</definedName>
    <definedName name="aaa">{"adj95mult",#N/A,FALSE,"COMPCO";"adj95est",#N/A,FALSE,"COMPCO"}</definedName>
    <definedName name="äää" localSheetId="3" hidden="1">{#N/A,#N/A,FALSE,"Umsatz 99";#N/A,#N/A,FALSE,"ER 99 "}</definedName>
    <definedName name="äää" hidden="1">{#N/A,#N/A,FALSE,"Umsatz 99";#N/A,#N/A,FALSE,"ER 99 "}</definedName>
    <definedName name="aaa_1" localSheetId="3" hidden="1">{"standalone1",#N/A,FALSE,"DCFBase";"standalone2",#N/A,FALSE,"DCFBase"}</definedName>
    <definedName name="aaa_1" hidden="1">{"standalone1",#N/A,FALSE,"DCFBase";"standalone2",#N/A,FALSE,"DCFBase"}</definedName>
    <definedName name="aaa_1_1" localSheetId="3" hidden="1">{"standalone1",#N/A,FALSE,"DCFBase";"standalone2",#N/A,FALSE,"DCFBase"}</definedName>
    <definedName name="aaa_1_1" hidden="1">{"standalone1",#N/A,FALSE,"DCFBase";"standalone2",#N/A,FALSE,"DCFBase"}</definedName>
    <definedName name="aaa_1_2" localSheetId="3" hidden="1">{"standalone1",#N/A,FALSE,"DCFBase";"standalone2",#N/A,FALSE,"DCFBase"}</definedName>
    <definedName name="aaa_1_2" hidden="1">{"standalone1",#N/A,FALSE,"DCFBase";"standalone2",#N/A,FALSE,"DCFBase"}</definedName>
    <definedName name="aaa_1_3" localSheetId="3" hidden="1">{"standalone1",#N/A,FALSE,"DCFBase";"standalone2",#N/A,FALSE,"DCFBase"}</definedName>
    <definedName name="aaa_1_3" hidden="1">{"standalone1",#N/A,FALSE,"DCFBase";"standalone2",#N/A,FALSE,"DCFBase"}</definedName>
    <definedName name="aaa_1_4" localSheetId="3" hidden="1">{"standalone1",#N/A,FALSE,"DCFBase";"standalone2",#N/A,FALSE,"DCFBase"}</definedName>
    <definedName name="aaa_1_4" hidden="1">{"standalone1",#N/A,FALSE,"DCFBase";"standalone2",#N/A,FALSE,"DCFBase"}</definedName>
    <definedName name="aaa_1_5" localSheetId="3" hidden="1">{"standalone1",#N/A,FALSE,"DCFBase";"standalone2",#N/A,FALSE,"DCFBase"}</definedName>
    <definedName name="aaa_1_5" hidden="1">{"standalone1",#N/A,FALSE,"DCFBase";"standalone2",#N/A,FALSE,"DCFBase"}</definedName>
    <definedName name="aaa_2" localSheetId="3" hidden="1">{"standalone1",#N/A,FALSE,"DCFBase";"standalone2",#N/A,FALSE,"DCFBase"}</definedName>
    <definedName name="aaa_2" hidden="1">{"standalone1",#N/A,FALSE,"DCFBase";"standalone2",#N/A,FALSE,"DCFBase"}</definedName>
    <definedName name="aaa_2_1" localSheetId="3" hidden="1">{"standalone1",#N/A,FALSE,"DCFBase";"standalone2",#N/A,FALSE,"DCFBase"}</definedName>
    <definedName name="aaa_2_1" hidden="1">{"standalone1",#N/A,FALSE,"DCFBase";"standalone2",#N/A,FALSE,"DCFBase"}</definedName>
    <definedName name="aaa_2_2" localSheetId="3" hidden="1">{"standalone1",#N/A,FALSE,"DCFBase";"standalone2",#N/A,FALSE,"DCFBase"}</definedName>
    <definedName name="aaa_2_2" hidden="1">{"standalone1",#N/A,FALSE,"DCFBase";"standalone2",#N/A,FALSE,"DCFBase"}</definedName>
    <definedName name="aaa_2_3" localSheetId="3" hidden="1">{"standalone1",#N/A,FALSE,"DCFBase";"standalone2",#N/A,FALSE,"DCFBase"}</definedName>
    <definedName name="aaa_2_3" hidden="1">{"standalone1",#N/A,FALSE,"DCFBase";"standalone2",#N/A,FALSE,"DCFBase"}</definedName>
    <definedName name="aaa_2_4" localSheetId="3" hidden="1">{"standalone1",#N/A,FALSE,"DCFBase";"standalone2",#N/A,FALSE,"DCFBase"}</definedName>
    <definedName name="aaa_2_4" hidden="1">{"standalone1",#N/A,FALSE,"DCFBase";"standalone2",#N/A,FALSE,"DCFBase"}</definedName>
    <definedName name="aaa_2_5" localSheetId="3" hidden="1">{"standalone1",#N/A,FALSE,"DCFBase";"standalone2",#N/A,FALSE,"DCFBase"}</definedName>
    <definedName name="aaa_2_5" hidden="1">{"standalone1",#N/A,FALSE,"DCFBase";"standalone2",#N/A,FALSE,"DCFBase"}</definedName>
    <definedName name="aaa_3" localSheetId="3" hidden="1">{"standalone1",#N/A,FALSE,"DCFBase";"standalone2",#N/A,FALSE,"DCFBase"}</definedName>
    <definedName name="aaa_3" hidden="1">{"standalone1",#N/A,FALSE,"DCFBase";"standalone2",#N/A,FALSE,"DCFBase"}</definedName>
    <definedName name="aaa_3_1" localSheetId="3" hidden="1">{"standalone1",#N/A,FALSE,"DCFBase";"standalone2",#N/A,FALSE,"DCFBase"}</definedName>
    <definedName name="aaa_3_1" hidden="1">{"standalone1",#N/A,FALSE,"DCFBase";"standalone2",#N/A,FALSE,"DCFBase"}</definedName>
    <definedName name="aaa_3_2" localSheetId="3" hidden="1">{"standalone1",#N/A,FALSE,"DCFBase";"standalone2",#N/A,FALSE,"DCFBase"}</definedName>
    <definedName name="aaa_3_2" hidden="1">{"standalone1",#N/A,FALSE,"DCFBase";"standalone2",#N/A,FALSE,"DCFBase"}</definedName>
    <definedName name="aaa_3_3" localSheetId="3" hidden="1">{"standalone1",#N/A,FALSE,"DCFBase";"standalone2",#N/A,FALSE,"DCFBase"}</definedName>
    <definedName name="aaa_3_3" hidden="1">{"standalone1",#N/A,FALSE,"DCFBase";"standalone2",#N/A,FALSE,"DCFBase"}</definedName>
    <definedName name="aaa_3_4" localSheetId="3" hidden="1">{"standalone1",#N/A,FALSE,"DCFBase";"standalone2",#N/A,FALSE,"DCFBase"}</definedName>
    <definedName name="aaa_3_4" hidden="1">{"standalone1",#N/A,FALSE,"DCFBase";"standalone2",#N/A,FALSE,"DCFBase"}</definedName>
    <definedName name="aaa_3_5" localSheetId="3" hidden="1">{"standalone1",#N/A,FALSE,"DCFBase";"standalone2",#N/A,FALSE,"DCFBase"}</definedName>
    <definedName name="aaa_3_5" hidden="1">{"standalone1",#N/A,FALSE,"DCFBase";"standalone2",#N/A,FALSE,"DCFBase"}</definedName>
    <definedName name="aaa_4" localSheetId="3" hidden="1">{"standalone1",#N/A,FALSE,"DCFBase";"standalone2",#N/A,FALSE,"DCFBase"}</definedName>
    <definedName name="aaa_4" hidden="1">{"standalone1",#N/A,FALSE,"DCFBase";"standalone2",#N/A,FALSE,"DCFBase"}</definedName>
    <definedName name="aaa_4_1" localSheetId="3" hidden="1">{"standalone1",#N/A,FALSE,"DCFBase";"standalone2",#N/A,FALSE,"DCFBase"}</definedName>
    <definedName name="aaa_4_1" hidden="1">{"standalone1",#N/A,FALSE,"DCFBase";"standalone2",#N/A,FALSE,"DCFBase"}</definedName>
    <definedName name="aaa_4_2" localSheetId="3" hidden="1">{"standalone1",#N/A,FALSE,"DCFBase";"standalone2",#N/A,FALSE,"DCFBase"}</definedName>
    <definedName name="aaa_4_2" hidden="1">{"standalone1",#N/A,FALSE,"DCFBase";"standalone2",#N/A,FALSE,"DCFBase"}</definedName>
    <definedName name="aaa_4_3" localSheetId="3" hidden="1">{"standalone1",#N/A,FALSE,"DCFBase";"standalone2",#N/A,FALSE,"DCFBase"}</definedName>
    <definedName name="aaa_4_3" hidden="1">{"standalone1",#N/A,FALSE,"DCFBase";"standalone2",#N/A,FALSE,"DCFBase"}</definedName>
    <definedName name="aaa_4_4" localSheetId="3" hidden="1">{"standalone1",#N/A,FALSE,"DCFBase";"standalone2",#N/A,FALSE,"DCFBase"}</definedName>
    <definedName name="aaa_4_4" hidden="1">{"standalone1",#N/A,FALSE,"DCFBase";"standalone2",#N/A,FALSE,"DCFBase"}</definedName>
    <definedName name="aaa_4_5" localSheetId="3" hidden="1">{"standalone1",#N/A,FALSE,"DCFBase";"standalone2",#N/A,FALSE,"DCFBase"}</definedName>
    <definedName name="aaa_4_5" hidden="1">{"standalone1",#N/A,FALSE,"DCFBase";"standalone2",#N/A,FALSE,"DCFBase"}</definedName>
    <definedName name="aaa_5" localSheetId="3" hidden="1">{"standalone1",#N/A,FALSE,"DCFBase";"standalone2",#N/A,FALSE,"DCFBase"}</definedName>
    <definedName name="aaa_5" hidden="1">{"standalone1",#N/A,FALSE,"DCFBase";"standalone2",#N/A,FALSE,"DCFBase"}</definedName>
    <definedName name="aaa_5_1" localSheetId="3" hidden="1">{"standalone1",#N/A,FALSE,"DCFBase";"standalone2",#N/A,FALSE,"DCFBase"}</definedName>
    <definedName name="aaa_5_1" hidden="1">{"standalone1",#N/A,FALSE,"DCFBase";"standalone2",#N/A,FALSE,"DCFBase"}</definedName>
    <definedName name="aaa_5_2" localSheetId="3" hidden="1">{"standalone1",#N/A,FALSE,"DCFBase";"standalone2",#N/A,FALSE,"DCFBase"}</definedName>
    <definedName name="aaa_5_2" hidden="1">{"standalone1",#N/A,FALSE,"DCFBase";"standalone2",#N/A,FALSE,"DCFBase"}</definedName>
    <definedName name="aaa_5_3" localSheetId="3" hidden="1">{"standalone1",#N/A,FALSE,"DCFBase";"standalone2",#N/A,FALSE,"DCFBase"}</definedName>
    <definedName name="aaa_5_3" hidden="1">{"standalone1",#N/A,FALSE,"DCFBase";"standalone2",#N/A,FALSE,"DCFBase"}</definedName>
    <definedName name="aaa_5_4" localSheetId="3" hidden="1">{"standalone1",#N/A,FALSE,"DCFBase";"standalone2",#N/A,FALSE,"DCFBase"}</definedName>
    <definedName name="aaa_5_4" hidden="1">{"standalone1",#N/A,FALSE,"DCFBase";"standalone2",#N/A,FALSE,"DCFBase"}</definedName>
    <definedName name="aaa_5_5" localSheetId="3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 localSheetId="4">#REF!</definedName>
    <definedName name="aaaa">#N/A</definedName>
    <definedName name="aaaa_1" localSheetId="3" hidden="1">{#N/A,#N/A,FALSE,"REPORT"}</definedName>
    <definedName name="aaaa_1" hidden="1">{#N/A,#N/A,FALSE,"REPORT"}</definedName>
    <definedName name="aaaa_2" localSheetId="3" hidden="1">{#N/A,#N/A,FALSE,"REPORT"}</definedName>
    <definedName name="aaaa_2" hidden="1">{#N/A,#N/A,FALSE,"REPORT"}</definedName>
    <definedName name="aaaa_3" localSheetId="3" hidden="1">{#N/A,#N/A,FALSE,"REPORT"}</definedName>
    <definedName name="aaaa_3" hidden="1">{#N/A,#N/A,FALSE,"REPORT"}</definedName>
    <definedName name="aaaa_4" localSheetId="3" hidden="1">{#N/A,#N/A,FALSE,"REPORT"}</definedName>
    <definedName name="aaaa_4" hidden="1">{#N/A,#N/A,FALSE,"REPORT"}</definedName>
    <definedName name="AAAAA" hidden="1">#REF!</definedName>
    <definedName name="aaaaa_1" localSheetId="4" hidden="1">{"rtn",#N/A,FALSE,"RTN";"tables",#N/A,FALSE,"RTN";"cf",#N/A,FALSE,"CF";"stats",#N/A,FALSE,"Stats";"prop",#N/A,FALSE,"Prop"}</definedName>
    <definedName name="aaaaa_1" localSheetId="3" hidden="1">{"rtn",#N/A,FALSE,"RTN";"tables",#N/A,FALSE,"RTN";"cf",#N/A,FALSE,"CF";"stats",#N/A,FALSE,"Stats";"prop",#N/A,FALSE,"Prop"}</definedName>
    <definedName name="aaaaa_1" hidden="1">{"rtn",#N/A,FALSE,"RTN";"tables",#N/A,FALSE,"RTN";"cf",#N/A,FALSE,"CF";"stats",#N/A,FALSE,"Stats";"prop",#N/A,FALSE,"Prop"}</definedName>
    <definedName name="aaaaa_2" localSheetId="3" hidden="1">{#N/A,#N/A,FALSE,"REPORT"}</definedName>
    <definedName name="aaaaa_2" hidden="1">{#N/A,#N/A,FALSE,"REPORT"}</definedName>
    <definedName name="aaaaa_3" localSheetId="3" hidden="1">{#N/A,#N/A,FALSE,"REPORT"}</definedName>
    <definedName name="aaaaa_3" hidden="1">{#N/A,#N/A,FALSE,"REPORT"}</definedName>
    <definedName name="aaaaa_4" localSheetId="3" hidden="1">{#N/A,#N/A,FALSE,"REPORT"}</definedName>
    <definedName name="aaaaa_4" hidden="1">{#N/A,#N/A,FALSE,"REPORT"}</definedName>
    <definedName name="aaaaaa" hidden="1">#REF!</definedName>
    <definedName name="aaaaaa_1" localSheetId="4" hidden="1">{"Outflow 1",#N/A,FALSE,"Outflows-Inflows";"Outflow 2",#N/A,FALSE,"Outflows-Inflows";"Inflow 1",#N/A,FALSE,"Outflows-Inflows";"Inflow 2",#N/A,FALSE,"Outflows-Inflows"}</definedName>
    <definedName name="aaaaaa_1" localSheetId="3" hidden="1">{"Outflow 1",#N/A,FALSE,"Outflows-Inflows";"Outflow 2",#N/A,FALSE,"Outflows-Inflows";"Inflow 1",#N/A,FALSE,"Outflows-Inflows";"Inflow 2",#N/A,FALSE,"Outflows-Inflows"}</definedName>
    <definedName name="aaaaaa_1" hidden="1">{"Outflow 1",#N/A,FALSE,"Outflows-Inflows";"Outflow 2",#N/A,FALSE,"Outflows-Inflows";"Inflow 1",#N/A,FALSE,"Outflows-Inflows";"Inflow 2",#N/A,FALSE,"Outflows-Inflows"}</definedName>
    <definedName name="aaaaaa_2" localSheetId="3" hidden="1">{#N/A,#N/A,FALSE,"REPORT"}</definedName>
    <definedName name="aaaaaa_2" hidden="1">{#N/A,#N/A,FALSE,"REPORT"}</definedName>
    <definedName name="aaaaaa_3" localSheetId="3" hidden="1">{#N/A,#N/A,FALSE,"REPORT"}</definedName>
    <definedName name="aaaaaa_3" hidden="1">{#N/A,#N/A,FALSE,"REPORT"}</definedName>
    <definedName name="aaaaaa_4" localSheetId="3" hidden="1">{#N/A,#N/A,FALSE,"REPORT"}</definedName>
    <definedName name="aaaaaa_4" hidden="1">{#N/A,#N/A,FALSE,"REPORT"}</definedName>
    <definedName name="aaaaaaa" localSheetId="4" hidden="1">{"Outflow 1",#N/A,FALSE,"Outflows-Inflows";"Outflow 2",#N/A,FALSE,"Outflows-Inflows";"Inflow 1",#N/A,FALSE,"Outflows-Inflows";"Inflow 2",#N/A,FALSE,"Outflows-Inflows"}</definedName>
    <definedName name="aaaaaaa" localSheetId="3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_1" localSheetId="4" hidden="1">{"Outflow 1",#N/A,FALSE,"Outflows-Inflows";"Outflow 2",#N/A,FALSE,"Outflows-Inflows";"Inflow 1",#N/A,FALSE,"Outflows-Inflows";"Inflow 2",#N/A,FALSE,"Outflows-Inflows"}</definedName>
    <definedName name="aaaaaaa_1" localSheetId="3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localSheetId="3" hidden="1">{#N/A,#N/A,FALSE,"REPORT"}</definedName>
    <definedName name="aaaaaaa_2" hidden="1">{#N/A,#N/A,FALSE,"REPORT"}</definedName>
    <definedName name="aaaaaaa_3" localSheetId="3" hidden="1">{#N/A,#N/A,FALSE,"REPORT"}</definedName>
    <definedName name="aaaaaaa_3" hidden="1">{#N/A,#N/A,FALSE,"REPORT"}</definedName>
    <definedName name="aaaaaaa_4" localSheetId="3" hidden="1">{#N/A,#N/A,FALSE,"REPORT"}</definedName>
    <definedName name="aaaaaaa_4" hidden="1">{#N/A,#N/A,FALSE,"REPORT"}</definedName>
    <definedName name="aaaaaaaaa" hidden="1">#REF!</definedName>
    <definedName name="aaaaaaaaaaa" localSheetId="3" hidden="1">{#N/A,#N/A,FALSE,"REPORT"}</definedName>
    <definedName name="aaaaaaaaaaa" hidden="1">{#N/A,#N/A,FALSE,"REPORT"}</definedName>
    <definedName name="aaaaaaaaaaa_1" localSheetId="3" hidden="1">{#N/A,#N/A,FALSE,"REPORT"}</definedName>
    <definedName name="aaaaaaaaaaa_1" hidden="1">{#N/A,#N/A,FALSE,"REPORT"}</definedName>
    <definedName name="aaaaaaaaaaa_2" localSheetId="3" hidden="1">{#N/A,#N/A,FALSE,"REPORT"}</definedName>
    <definedName name="aaaaaaaaaaa_2" hidden="1">{#N/A,#N/A,FALSE,"REPORT"}</definedName>
    <definedName name="aaaaaaaaaaa_3" localSheetId="3" hidden="1">{#N/A,#N/A,FALSE,"REPORT"}</definedName>
    <definedName name="aaaaaaaaaaa_3" hidden="1">{#N/A,#N/A,FALSE,"REPORT"}</definedName>
    <definedName name="aaaaaaaaaaa_4" localSheetId="3" hidden="1">{#N/A,#N/A,FALSE,"REPORT"}</definedName>
    <definedName name="aaaaaaaaaaa_4" hidden="1">{#N/A,#N/A,FALSE,"REPORT"}</definedName>
    <definedName name="aaaaaaaaaaaa" localSheetId="3" hidden="1">{"Page1",#N/A,FALSE,"CompCo";"Page2",#N/A,FALSE,"CompCo"}</definedName>
    <definedName name="aaaaaaaaaaaa" hidden="1">{"Page1",#N/A,FALSE,"CompCo";"Page2",#N/A,FALSE,"CompCo"}</definedName>
    <definedName name="aaaaaaaaaaaaa" localSheetId="3" hidden="1">{"Page1",#N/A,FALSE,"CompCo";"Page2",#N/A,FALSE,"CompCo"}</definedName>
    <definedName name="aaaaaaaaaaaaa" hidden="1">{"Page1",#N/A,FALSE,"CompCo";"Page2",#N/A,FALSE,"CompCo"}</definedName>
    <definedName name="aaaaaaaaaaaaaa" localSheetId="4" hidden="1">{"rtn",#N/A,FALSE,"RTN";"tables",#N/A,FALSE,"RTN";"cf",#N/A,FALSE,"CF";"stats",#N/A,FALSE,"Stats";"prop",#N/A,FALSE,"Prop"}</definedName>
    <definedName name="aaaaaaaaaaaaaa" localSheetId="3" hidden="1">{"rtn",#N/A,FALSE,"RTN";"tables",#N/A,FALSE,"RTN";"cf",#N/A,FALSE,"CF";"stats",#N/A,FALSE,"Stats";"prop",#N/A,FALSE,"Prop"}</definedName>
    <definedName name="aaaaaaaaaaaaaa" hidden="1">{"rtn",#N/A,FALSE,"RTN";"tables",#N/A,FALSE,"RTN";"cf",#N/A,FALSE,"CF";"stats",#N/A,FALSE,"Stats";"prop",#N/A,FALSE,"Prop"}</definedName>
    <definedName name="aaaaaaaaaaaaaa_1" localSheetId="4" hidden="1">{"rtn",#N/A,FALSE,"RTN";"tables",#N/A,FALSE,"RTN";"cf",#N/A,FALSE,"CF";"stats",#N/A,FALSE,"Stats";"prop",#N/A,FALSE,"Prop"}</definedName>
    <definedName name="aaaaaaaaaaaaaa_1" localSheetId="3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localSheetId="3" hidden="1">{#N/A,#N/A,FALSE,"Pharm";#N/A,#N/A,FALSE,"WWCM"}</definedName>
    <definedName name="aaaaaaaaaaaaaaa" hidden="1">{#N/A,#N/A,FALSE,"Pharm";#N/A,#N/A,FALSE,"WWCM"}</definedName>
    <definedName name="aaaaaaaaaaaaaaa_1" localSheetId="3" hidden="1">{#N/A,#N/A,FALSE,"Pharm";#N/A,#N/A,FALSE,"WWCM"}</definedName>
    <definedName name="aaaaaaaaaaaaaaa_1" hidden="1">{#N/A,#N/A,FALSE,"Pharm";#N/A,#N/A,FALSE,"WWCM"}</definedName>
    <definedName name="aaaaaaaaaaaaaaa_2" localSheetId="3" hidden="1">{#N/A,#N/A,FALSE,"Pharm";#N/A,#N/A,FALSE,"WWCM"}</definedName>
    <definedName name="aaaaaaaaaaaaaaa_2" hidden="1">{#N/A,#N/A,FALSE,"Pharm";#N/A,#N/A,FALSE,"WWCM"}</definedName>
    <definedName name="aaaaaaaaaaaaaaa_3" localSheetId="3" hidden="1">{#N/A,#N/A,FALSE,"Pharm";#N/A,#N/A,FALSE,"WWCM"}</definedName>
    <definedName name="aaaaaaaaaaaaaaa_3" hidden="1">{#N/A,#N/A,FALSE,"Pharm";#N/A,#N/A,FALSE,"WWCM"}</definedName>
    <definedName name="aaaaaaaaaaaaaaa_4" localSheetId="3" hidden="1">{#N/A,#N/A,FALSE,"Pharm";#N/A,#N/A,FALSE,"WWCM"}</definedName>
    <definedName name="aaaaaaaaaaaaaaa_4" hidden="1">{#N/A,#N/A,FALSE,"Pharm";#N/A,#N/A,FALSE,"WWCM"}</definedName>
    <definedName name="aaaaaaaaaaaaaaaa" localSheetId="4" hidden="1">{"Outflow 1",#N/A,FALSE,"Outflows-Inflows";"Outflow 2",#N/A,FALSE,"Outflows-Inflows";"Inflow 1",#N/A,FALSE,"Outflows-Inflows";"Inflow 2",#N/A,FALSE,"Outflows-Inflows"}</definedName>
    <definedName name="aaaaaaaaaaaaaaaa" localSheetId="3" hidden="1">{"Outflow 1",#N/A,FALSE,"Outflows-Inflows";"Outflow 2",#N/A,FALSE,"Outflows-Inflows";"Inflow 1",#N/A,FALSE,"Outflows-Inflows";"Inflow 2",#N/A,FALSE,"Outflows-Inflows"}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localSheetId="4" hidden="1">{"Outflow 1",#N/A,FALSE,"Outflows-Inflows";"Outflow 2",#N/A,FALSE,"Outflows-Inflows";"Inflow 1",#N/A,FALSE,"Outflows-Inflows";"Inflow 2",#N/A,FALSE,"Outflows-Inflows"}</definedName>
    <definedName name="aaaaaaaaaaaaaaaa_1" localSheetId="3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localSheetId="3" hidden="1">{#N/A,"PURCHM",FALSE,"Business Analysis";#N/A,"SPADD",FALSE,"Business Analysis"}</definedName>
    <definedName name="aaaaaaaaaaaaaaaaa" hidden="1">{#N/A,"PURCHM",FALSE,"Business Analysis";#N/A,"SPADD",FALSE,"Business Analysis"}</definedName>
    <definedName name="aaaaaaaaaaaaaaaaaa" localSheetId="4" hidden="1">{"Outflow 1",#N/A,FALSE,"Outflows-Inflows";"Outflow 2",#N/A,FALSE,"Outflows-Inflows";"Inflow 1",#N/A,FALSE,"Outflows-Inflows";"Inflow 2",#N/A,FALSE,"Outflows-Inflows"}</definedName>
    <definedName name="aaaaaaaaaaaaaaaaaa" localSheetId="3" hidden="1">{"Outflow 1",#N/A,FALSE,"Outflows-Inflows";"Outflow 2",#N/A,FALSE,"Outflows-Inflows";"Inflow 1",#N/A,FALSE,"Outflows-Inflows";"Inflow 2",#N/A,FALSE,"Outflows-Inflows"}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localSheetId="4" hidden="1">{"Outflow 1",#N/A,FALSE,"Outflows-Inflows";"Outflow 2",#N/A,FALSE,"Outflows-Inflows";"Inflow 1",#N/A,FALSE,"Outflows-Inflows";"Inflow 2",#N/A,FALSE,"Outflows-Inflows"}</definedName>
    <definedName name="aaaaaaaaaaaaaaaaaa_1" localSheetId="3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localSheetId="4" hidden="1">{"Outflow 1",#N/A,FALSE,"Outflows-Inflows";"Outflow 2",#N/A,FALSE,"Outflows-Inflows";"Inflow 1",#N/A,FALSE,"Outflows-Inflows";"Inflow 2",#N/A,FALSE,"Outflows-Inflows"}</definedName>
    <definedName name="aaaaaaaaaaaaaaaaaaaaaaa" localSheetId="3" hidden="1">{"Outflow 1",#N/A,FALSE,"Outflows-Inflows";"Outflow 2",#N/A,FALSE,"Outflows-Inflows";"Inflow 1",#N/A,FALSE,"Outflows-Inflows";"Inflow 2",#N/A,FALSE,"Outflows-Inflows"}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localSheetId="4" hidden="1">{"Outflow 1",#N/A,FALSE,"Outflows-Inflows";"Outflow 2",#N/A,FALSE,"Outflows-Inflows";"Inflow 1",#N/A,FALSE,"Outflows-Inflows";"Inflow 2",#N/A,FALSE,"Outflows-Inflows"}</definedName>
    <definedName name="aaaaaaaaaaaaaaaaaaaaaaa_1" localSheetId="3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localSheetId="3" hidden="1">{"Front Page",#N/A,FALSE,"Front and Back"}</definedName>
    <definedName name="aaaaaaaaaaaaaaaaaaaaaaaaa" hidden="1">{"Front Page",#N/A,FALSE,"Front and Back"}</definedName>
    <definedName name="aaaaaaaaaaaaaaaaaaaaaaaaaa" localSheetId="3" hidden="1">{"detail",#N/A,FALSE,"mfg";"summary",#N/A,FALSE,"mfg"}</definedName>
    <definedName name="aaaaaaaaaaaaaaaaaaaaaaaaaa" hidden="1">{"detail",#N/A,FALSE,"mfg";"summary",#N/A,FALSE,"mfg"}</definedName>
    <definedName name="aaaaab" localSheetId="3" hidden="1">{#N/A,#N/A,FALSE,"Model";#N/A,#N/A,FALSE,"Division"}</definedName>
    <definedName name="aaaaab" hidden="1">{#N/A,#N/A,FALSE,"Model";#N/A,#N/A,FALSE,"Division"}</definedName>
    <definedName name="äääööö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localSheetId="3" hidden="1">{#N/A,#N/A,FALSE,"Pharm";#N/A,#N/A,FALSE,"WWCM"}</definedName>
    <definedName name="aaasb" hidden="1">{#N/A,#N/A,FALSE,"Pharm";#N/A,#N/A,FALSE,"WWCM"}</definedName>
    <definedName name="aaasb_1" localSheetId="3" hidden="1">{#N/A,#N/A,FALSE,"Pharm";#N/A,#N/A,FALSE,"WWCM"}</definedName>
    <definedName name="aaasb_1" hidden="1">{#N/A,#N/A,FALSE,"Pharm";#N/A,#N/A,FALSE,"WWCM"}</definedName>
    <definedName name="aaasb_2" localSheetId="3" hidden="1">{#N/A,#N/A,FALSE,"Pharm";#N/A,#N/A,FALSE,"WWCM"}</definedName>
    <definedName name="aaasb_2" hidden="1">{#N/A,#N/A,FALSE,"Pharm";#N/A,#N/A,FALSE,"WWCM"}</definedName>
    <definedName name="aaasb_3" localSheetId="3" hidden="1">{#N/A,#N/A,FALSE,"Pharm";#N/A,#N/A,FALSE,"WWCM"}</definedName>
    <definedName name="aaasb_3" hidden="1">{#N/A,#N/A,FALSE,"Pharm";#N/A,#N/A,FALSE,"WWCM"}</definedName>
    <definedName name="aaasb_4" localSheetId="3" hidden="1">{#N/A,#N/A,FALSE,"Pharm";#N/A,#N/A,FALSE,"WWCM"}</definedName>
    <definedName name="aaasb_4" hidden="1">{#N/A,#N/A,FALSE,"Pharm";#N/A,#N/A,FALSE,"WWCM"}</definedName>
    <definedName name="aaastb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localSheetId="3" hidden="1">{#N/A,#N/A,FALSE,"Pharm";#N/A,#N/A,FALSE,"WWCM"}</definedName>
    <definedName name="aab" hidden="1">{#N/A,#N/A,FALSE,"Pharm";#N/A,#N/A,FALSE,"WWCM"}</definedName>
    <definedName name="aab_1" localSheetId="3" hidden="1">{#N/A,#N/A,FALSE,"Pharm";#N/A,#N/A,FALSE,"WWCM"}</definedName>
    <definedName name="aab_1" hidden="1">{#N/A,#N/A,FALSE,"Pharm";#N/A,#N/A,FALSE,"WWCM"}</definedName>
    <definedName name="aab_2" localSheetId="3" hidden="1">{#N/A,#N/A,FALSE,"Pharm";#N/A,#N/A,FALSE,"WWCM"}</definedName>
    <definedName name="aab_2" hidden="1">{#N/A,#N/A,FALSE,"Pharm";#N/A,#N/A,FALSE,"WWCM"}</definedName>
    <definedName name="aab_3" localSheetId="3" hidden="1">{#N/A,#N/A,FALSE,"Pharm";#N/A,#N/A,FALSE,"WWCM"}</definedName>
    <definedName name="aab_3" hidden="1">{#N/A,#N/A,FALSE,"Pharm";#N/A,#N/A,FALSE,"WWCM"}</definedName>
    <definedName name="aab_4" localSheetId="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localSheetId="3" hidden="1">{#N/A,#N/A,FALSE,"Projections";#N/A,#N/A,FALSE,"Multiples Valuation";#N/A,#N/A,FALSE,"LBO";#N/A,#N/A,FALSE,"Multiples_Sensitivity";#N/A,#N/A,FALSE,"Summary"}</definedName>
    <definedName name="aabb" hidden="1">{#N/A,#N/A,FALSE,"Projections";#N/A,#N/A,FALSE,"Multiples Valuation";#N/A,#N/A,FALSE,"LBO";#N/A,#N/A,FALSE,"Multiples_Sensitivity";#N/A,#N/A,FALSE,"Summary"}</definedName>
    <definedName name="aaca" localSheetId="3" hidden="1">{#N/A,#N/A,FALSE,"Sheet8";#N/A,#N/A,FALSE,"Sheet7"}</definedName>
    <definedName name="aaca" hidden="1">{#N/A,#N/A,FALSE,"Sheet8";#N/A,#N/A,FALSE,"Sheet7"}</definedName>
    <definedName name="aaddd" localSheetId="3" hidden="1">{#N/A,#N/A,FALSE,"REPORT"}</definedName>
    <definedName name="aaddd" hidden="1">{#N/A,#N/A,FALSE,"REPORT"}</definedName>
    <definedName name="aaddd_1" localSheetId="3" hidden="1">{#N/A,#N/A,FALSE,"REPORT"}</definedName>
    <definedName name="aaddd_1" hidden="1">{#N/A,#N/A,FALSE,"REPORT"}</definedName>
    <definedName name="aaddd_2" localSheetId="3" hidden="1">{#N/A,#N/A,FALSE,"REPORT"}</definedName>
    <definedName name="aaddd_2" hidden="1">{#N/A,#N/A,FALSE,"REPORT"}</definedName>
    <definedName name="aaddd_3" localSheetId="3" hidden="1">{#N/A,#N/A,FALSE,"REPORT"}</definedName>
    <definedName name="aaddd_3" hidden="1">{#N/A,#N/A,FALSE,"REPORT"}</definedName>
    <definedName name="aaddd_4" localSheetId="3" hidden="1">{#N/A,#N/A,FALSE,"REPORT"}</definedName>
    <definedName name="aaddd_4" hidden="1">{#N/A,#N/A,FALSE,"REPORT"}</definedName>
    <definedName name="aappppppppppppppp" localSheetId="3" hidden="1">{"EUUTIGRP","COMPANIES",TRUE}</definedName>
    <definedName name="aappppppppppppppp" hidden="1">{"EUUTIGRP","COMPANIES",TRUE}</definedName>
    <definedName name="aas" localSheetId="3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s_1" localSheetId="3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localSheetId="3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localSheetId="3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localSheetId="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localSheetId="4" hidden="1">{"rtn",#N/A,FALSE,"RTN";"tables",#N/A,FALSE,"RTN";"cf",#N/A,FALSE,"CF";"stats",#N/A,FALSE,"Stats";"prop",#N/A,FALSE,"Prop"}</definedName>
    <definedName name="aasdfa" localSheetId="3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sdfa_1" localSheetId="4" hidden="1">{"rtn",#N/A,FALSE,"RTN";"tables",#N/A,FALSE,"RTN";"cf",#N/A,FALSE,"CF";"stats",#N/A,FALSE,"Stats";"prop",#N/A,FALSE,"Prop"}</definedName>
    <definedName name="aasdfa_1" localSheetId="3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localSheetId="4" hidden="1">{"rtn",#N/A,FALSE,"RTN";"tables",#N/A,FALSE,"RTN";"cf",#N/A,FALSE,"CF";"stats",#N/A,FALSE,"Stats";"prop",#N/A,FALSE,"Prop"}</definedName>
    <definedName name="aasdfab" localSheetId="3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localSheetId="4" hidden="1">{"rtn",#N/A,FALSE,"RTN";"tables",#N/A,FALSE,"RTN";"cf",#N/A,FALSE,"CF";"stats",#N/A,FALSE,"Stats";"prop",#N/A,FALSE,"Prop"}</definedName>
    <definedName name="aasdfab_1" localSheetId="3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localSheetId="3" hidden="1">{"detail",#N/A,FALSE,"mfg";"summary",#N/A,FALSE,"mfg"}</definedName>
    <definedName name="aass" hidden="1">{"detail",#N/A,FALSE,"mfg";"summary",#N/A,FALSE,"mfg"}</definedName>
    <definedName name="aassas" localSheetId="3" hidden="1">{"PR1","pr1",TRUE,"Sch PR-1"}</definedName>
    <definedName name="aassas" hidden="1">{"PR1","pr1",TRUE,"Sch PR-1"}</definedName>
    <definedName name="aaww" localSheetId="3" hidden="1">{"Polymers Details",#N/A,FALSE,"Current Yr";"Polymer Details",#N/A,FALSE,"Budget";"Polymer Details",#N/A,FALSE,"Prior Year"}</definedName>
    <definedName name="aaww" hidden="1">{"Polymers Details",#N/A,FALSE,"Current Yr";"Polymer Details",#N/A,FALSE,"Budget";"Polymer Details",#N/A,FALSE,"Prior Year"}</definedName>
    <definedName name="aax" localSheetId="3" hidden="1">{"detail",#N/A,FALSE,"mfg";"summary",#N/A,FALSE,"mfg"}</definedName>
    <definedName name="aax" hidden="1">{"detail",#N/A,FALSE,"mfg";"summary",#N/A,FALSE,"mfg"}</definedName>
    <definedName name="ab" localSheetId="4" hidden="1">{#N/A,#N/A,FALSE,"contents";#N/A,#N/A,FALSE,"bal. sheet";#N/A,#N/A,FALSE,"income";#N/A,#N/A,FALSE,"cashflow";#N/A,#N/A,FALSE,"equity";#N/A,#N/A,FALSE,"notes";#N/A,#N/A,FALSE,"supplemental"}</definedName>
    <definedName name="ab" localSheetId="3">{"'2ND_QUAR'!$A$1:$P$106"}</definedName>
    <definedName name="ab">{"'2ND_QUAR'!$A$1:$P$106"}</definedName>
    <definedName name="ab_1" localSheetId="4" hidden="1">{"rtn",#N/A,FALSE,"RTN";"tables",#N/A,FALSE,"RTN";"cf",#N/A,FALSE,"CF";"stats",#N/A,FALSE,"Stats";"prop",#N/A,FALSE,"Prop"}</definedName>
    <definedName name="ab_1" localSheetId="3" hidden="1">{"rtn",#N/A,FALSE,"RTN";"tables",#N/A,FALSE,"RTN";"cf",#N/A,FALSE,"CF";"stats",#N/A,FALSE,"Stats";"prop",#N/A,FALSE,"Prop"}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localSheetId="4" hidden="1">{#N/A,#N/A,FALSE,"Sheet1";#N/A,#N/A,FALSE,"Sheet2";#N/A,#N/A,FALSE,"Sheet3";#N/A,#N/A,FALSE,"Sheet4";#N/A,#N/A,FALSE,"Sheet5";#N/A,#N/A,FALSE,"Sheet6"}</definedName>
    <definedName name="abc" localSheetId="3" hidden="1">{"Budget V Actual YTD",#N/A,FALSE,"Budget v Actual"}</definedName>
    <definedName name="abc" hidden="1">{"Budget V Actual YTD",#N/A,FALSE,"Budget v Actual"}</definedName>
    <definedName name="abc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localSheetId="3" hidden="1">{#N/A,"PURCHM",FALSE,"Business Analysis";#N/A,"SPADD",FALSE,"Business Analysis"}</definedName>
    <definedName name="abc0mq" hidden="1">{#N/A,"PURCHM",FALSE,"Business Analysis";#N/A,"SPADD",FALSE,"Business Analysis"}</definedName>
    <definedName name="abc0nks" localSheetId="3" hidden="1">{"detail",#N/A,FALSE,"mfg";"summary",#N/A,FALSE,"mfg"}</definedName>
    <definedName name="abc0nks" hidden="1">{"detail",#N/A,FALSE,"mfg";"summary",#N/A,FALSE,"mfg"}</definedName>
    <definedName name="abc101a" localSheetId="3" hidden="1">{#N/A,"PURCHM",FALSE,"Business Analysis";#N/A,"SPADD",FALSE,"Business Analysis"}</definedName>
    <definedName name="abc101a" hidden="1">{#N/A,"PURCHM",FALSE,"Business Analysis";#N/A,"SPADD",FALSE,"Business Analysis"}</definedName>
    <definedName name="abc109a" localSheetId="3" hidden="1">{"detail",#N/A,FALSE,"mfg";"summary",#N/A,FALSE,"mfg"}</definedName>
    <definedName name="abc109a" hidden="1">{"detail",#N/A,FALSE,"mfg";"summary",#N/A,FALSE,"mfg"}</definedName>
    <definedName name="abc11a" localSheetId="3" hidden="1">{"detail",#N/A,FALSE,"mfg";"summary",#N/A,FALSE,"mfg"}</definedName>
    <definedName name="abc11a" hidden="1">{"detail",#N/A,FALSE,"mfg";"summary",#N/A,FALSE,"mfg"}</definedName>
    <definedName name="abc11ab" localSheetId="3" hidden="1">{#N/A,"PURCHM",FALSE,"Business Analysis";#N/A,"SPADD",FALSE,"Business Analysis"}</definedName>
    <definedName name="abc11ab" hidden="1">{#N/A,"PURCHM",FALSE,"Business Analysis";#N/A,"SPADD",FALSE,"Business Analysis"}</definedName>
    <definedName name="abc12a" localSheetId="3" hidden="1">{"detail",#N/A,FALSE,"mfg";"summary",#N/A,FALSE,"mfg"}</definedName>
    <definedName name="abc12a" hidden="1">{"detail",#N/A,FALSE,"mfg";"summary",#N/A,FALSE,"mfg"}</definedName>
    <definedName name="abc13a" localSheetId="3" hidden="1">{"detail",#N/A,FALSE,"mfg";"summary",#N/A,FALSE,"mfg"}</definedName>
    <definedName name="abc13a" hidden="1">{"detail",#N/A,FALSE,"mfg";"summary",#N/A,FALSE,"mfg"}</definedName>
    <definedName name="abc14a" localSheetId="3" hidden="1">{"detail",#N/A,FALSE,"mfg";"summary",#N/A,FALSE,"mfg"}</definedName>
    <definedName name="abc14a" hidden="1">{"detail",#N/A,FALSE,"mfg";"summary",#N/A,FALSE,"mfg"}</definedName>
    <definedName name="abc1b" localSheetId="3" hidden="1">{#N/A,"PURCHM",FALSE,"Business Analysis";#N/A,"SPADD",FALSE,"Business Analysis"}</definedName>
    <definedName name="abc1b" hidden="1">{#N/A,"PURCHM",FALSE,"Business Analysis";#N/A,"SPADD",FALSE,"Business Analysis"}</definedName>
    <definedName name="abc200a" localSheetId="3" hidden="1">{"detail",#N/A,FALSE,"mfg";"summary",#N/A,FALSE,"mfg"}</definedName>
    <definedName name="abc200a" hidden="1">{"detail",#N/A,FALSE,"mfg";"summary",#N/A,FALSE,"mfg"}</definedName>
    <definedName name="abc202a" localSheetId="3" hidden="1">{"detail",#N/A,FALSE,"mfg";"summary",#N/A,FALSE,"mfg"}</definedName>
    <definedName name="abc202a" hidden="1">{"detail",#N/A,FALSE,"mfg";"summary",#N/A,FALSE,"mfg"}</definedName>
    <definedName name="abc202b" localSheetId="3" hidden="1">{#N/A,"PURCHM",FALSE,"Business Analysis";#N/A,"SPADD",FALSE,"Business Analysis"}</definedName>
    <definedName name="abc202b" hidden="1">{#N/A,"PURCHM",FALSE,"Business Analysis";#N/A,"SPADD",FALSE,"Business Analysis"}</definedName>
    <definedName name="abc213a" localSheetId="3" hidden="1">{"detail",#N/A,FALSE,"mfg";"summary",#N/A,FALSE,"mfg"}</definedName>
    <definedName name="abc213a" hidden="1">{"detail",#N/A,FALSE,"mfg";"summary",#N/A,FALSE,"mfg"}</definedName>
    <definedName name="abc2a" localSheetId="3" hidden="1">{"detail",#N/A,FALSE,"mfg";"summary",#N/A,FALSE,"mfg"}</definedName>
    <definedName name="abc2a" hidden="1">{"detail",#N/A,FALSE,"mfg";"summary",#N/A,FALSE,"mfg"}</definedName>
    <definedName name="abc312b" localSheetId="3" hidden="1">{"detail",#N/A,FALSE,"mfg";"summary",#N/A,FALSE,"mfg"}</definedName>
    <definedName name="abc312b" hidden="1">{"detail",#N/A,FALSE,"mfg";"summary",#N/A,FALSE,"mfg"}</definedName>
    <definedName name="abc31a" localSheetId="3" hidden="1">{"detail",#N/A,FALSE,"mfg";"summary",#N/A,FALSE,"mfg"}</definedName>
    <definedName name="abc31a" hidden="1">{"detail",#N/A,FALSE,"mfg";"summary",#N/A,FALSE,"mfg"}</definedName>
    <definedName name="abc32b" localSheetId="3" hidden="1">{"detail",#N/A,FALSE,"mfg";"summary",#N/A,FALSE,"mfg"}</definedName>
    <definedName name="abc32b" hidden="1">{"detail",#N/A,FALSE,"mfg";"summary",#N/A,FALSE,"mfg"}</definedName>
    <definedName name="abc35b" localSheetId="3" hidden="1">{"detail",#N/A,FALSE,"mfg";"summary",#N/A,FALSE,"mfg"}</definedName>
    <definedName name="abc35b" hidden="1">{"detail",#N/A,FALSE,"mfg";"summary",#N/A,FALSE,"mfg"}</definedName>
    <definedName name="abc36b" localSheetId="3" hidden="1">{"detail",#N/A,FALSE,"mfg";"summary",#N/A,FALSE,"mfg"}</definedName>
    <definedName name="abc36b" hidden="1">{"detail",#N/A,FALSE,"mfg";"summary",#N/A,FALSE,"mfg"}</definedName>
    <definedName name="abc37b" localSheetId="3" hidden="1">{"detail",#N/A,FALSE,"mfg";"summary",#N/A,FALSE,"mfg"}</definedName>
    <definedName name="abc37b" hidden="1">{"detail",#N/A,FALSE,"mfg";"summary",#N/A,FALSE,"mfg"}</definedName>
    <definedName name="abc38b" localSheetId="3" hidden="1">{"detail",#N/A,FALSE,"mfg";"summary",#N/A,FALSE,"mfg"}</definedName>
    <definedName name="abc38b" hidden="1">{"detail",#N/A,FALSE,"mfg";"summary",#N/A,FALSE,"mfg"}</definedName>
    <definedName name="abc41b" localSheetId="3" hidden="1">{"detail",#N/A,FALSE,"mfg";"summary",#N/A,FALSE,"mfg"}</definedName>
    <definedName name="abc41b" hidden="1">{"detail",#N/A,FALSE,"mfg";"summary",#N/A,FALSE,"mfg"}</definedName>
    <definedName name="abc42b" localSheetId="3" hidden="1">{"detail",#N/A,FALSE,"mfg";"summary",#N/A,FALSE,"mfg"}</definedName>
    <definedName name="abc42b" hidden="1">{"detail",#N/A,FALSE,"mfg";"summary",#N/A,FALSE,"mfg"}</definedName>
    <definedName name="abc51b" localSheetId="3" hidden="1">{"detail",#N/A,FALSE,"mfg";"summary",#N/A,FALSE,"mfg"}</definedName>
    <definedName name="abc51b" hidden="1">{"detail",#N/A,FALSE,"mfg";"summary",#N/A,FALSE,"mfg"}</definedName>
    <definedName name="abc61b" localSheetId="3" hidden="1">{"detail",#N/A,FALSE,"mfg";"summary",#N/A,FALSE,"mfg"}</definedName>
    <definedName name="abc61b" hidden="1">{"detail",#N/A,FALSE,"mfg";"summary",#N/A,FALSE,"mfg"}</definedName>
    <definedName name="abc67v" localSheetId="3" hidden="1">{#N/A,"PURCHM",FALSE,"Business Analysis";#N/A,"SPADD",FALSE,"Business Analysis"}</definedName>
    <definedName name="abc67v" hidden="1">{#N/A,"PURCHM",FALSE,"Business Analysis";#N/A,"SPADD",FALSE,"Business Analysis"}</definedName>
    <definedName name="abc71b" localSheetId="3" hidden="1">{"detail",#N/A,FALSE,"mfg";"summary",#N/A,FALSE,"mfg"}</definedName>
    <definedName name="abc71b" hidden="1">{"detail",#N/A,FALSE,"mfg";"summary",#N/A,FALSE,"mfg"}</definedName>
    <definedName name="abc9bn" localSheetId="3" hidden="1">{"detail",#N/A,FALSE,"mfg";"summary",#N/A,FALSE,"mfg"}</definedName>
    <definedName name="abc9bn" hidden="1">{"detail",#N/A,FALSE,"mfg";"summary",#N/A,FALSE,"mfg"}</definedName>
    <definedName name="abc9er" localSheetId="3" hidden="1">{"detail",#N/A,FALSE,"mfg";"summary",#N/A,FALSE,"mfg"}</definedName>
    <definedName name="abc9er" hidden="1">{"detail",#N/A,FALSE,"mfg";"summary",#N/A,FALSE,"mfg"}</definedName>
    <definedName name="abc9kn" localSheetId="3" hidden="1">{"detail",#N/A,FALSE,"mfg";"summary",#N/A,FALSE,"mfg"}</definedName>
    <definedName name="abc9kn" hidden="1">{"detail",#N/A,FALSE,"mfg";"summary",#N/A,FALSE,"mfg"}</definedName>
    <definedName name="abca312" localSheetId="3" hidden="1">{"detail",#N/A,FALSE,"mfg";"summary",#N/A,FALSE,"mfg"}</definedName>
    <definedName name="abca312" hidden="1">{"detail",#N/A,FALSE,"mfg";"summary",#N/A,FALSE,"mfg"}</definedName>
    <definedName name="abca312b" localSheetId="3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localSheetId="3" hidden="1">{#N/A,"PURCHM",FALSE,"Business Analysis";#N/A,"SPADD",FALSE,"Business Analysis"}</definedName>
    <definedName name="abcd1" hidden="1">{#N/A,"PURCHM",FALSE,"Business Analysis";#N/A,"SPADD",FALSE,"Business Analysis"}</definedName>
    <definedName name="abcd10" localSheetId="3" hidden="1">{#N/A,"PURCHM",FALSE,"Business Analysis";#N/A,"SPADD",FALSE,"Business Analysis"}</definedName>
    <definedName name="abcd10" hidden="1">{#N/A,"PURCHM",FALSE,"Business Analysis";#N/A,"SPADD",FALSE,"Business Analysis"}</definedName>
    <definedName name="abcd101" localSheetId="3" hidden="1">{#N/A,"PURCHM",FALSE,"Business Analysis";#N/A,"SPADD",FALSE,"Business Analysis"}</definedName>
    <definedName name="abcd101" hidden="1">{#N/A,"PURCHM",FALSE,"Business Analysis";#N/A,"SPADD",FALSE,"Business Analysis"}</definedName>
    <definedName name="abcd10a" localSheetId="3" hidden="1">{#N/A,"PURCHM",FALSE,"Business Analysis";#N/A,"SPADD",FALSE,"Business Analysis"}</definedName>
    <definedName name="abcd10a" hidden="1">{#N/A,"PURCHM",FALSE,"Business Analysis";#N/A,"SPADD",FALSE,"Business Analysis"}</definedName>
    <definedName name="abcd11" localSheetId="3" hidden="1">{#N/A,"PURCHM",FALSE,"Business Analysis";#N/A,"SPADD",FALSE,"Business Analysis"}</definedName>
    <definedName name="abcd11" hidden="1">{#N/A,"PURCHM",FALSE,"Business Analysis";#N/A,"SPADD",FALSE,"Business Analysis"}</definedName>
    <definedName name="abcd12" localSheetId="3" hidden="1">{#N/A,"PURCHM",FALSE,"Business Analysis";#N/A,"SPADD",FALSE,"Business Analysis"}</definedName>
    <definedName name="abcd12" hidden="1">{#N/A,"PURCHM",FALSE,"Business Analysis";#N/A,"SPADD",FALSE,"Business Analysis"}</definedName>
    <definedName name="abcd12b" localSheetId="3" hidden="1">{#N/A,"PURCHM",FALSE,"Business Analysis";#N/A,"SPADD",FALSE,"Business Analysis"}</definedName>
    <definedName name="abcd12b" hidden="1">{#N/A,"PURCHM",FALSE,"Business Analysis";#N/A,"SPADD",FALSE,"Business Analysis"}</definedName>
    <definedName name="abcd2" localSheetId="3" hidden="1">{#N/A,"PURCHM",FALSE,"Business Analysis";#N/A,"SPADD",FALSE,"Business Analysis"}</definedName>
    <definedName name="abcd2" hidden="1">{#N/A,"PURCHM",FALSE,"Business Analysis";#N/A,"SPADD",FALSE,"Business Analysis"}</definedName>
    <definedName name="abcd200" localSheetId="3" hidden="1">{#N/A,"PURCHM",FALSE,"Business Analysis";#N/A,"SPADD",FALSE,"Business Analysis"}</definedName>
    <definedName name="abcd200" hidden="1">{#N/A,"PURCHM",FALSE,"Business Analysis";#N/A,"SPADD",FALSE,"Business Analysis"}</definedName>
    <definedName name="abcd200b" localSheetId="3" hidden="1">{#N/A,"PURCHM",FALSE,"Business Analysis";#N/A,"SPADD",FALSE,"Business Analysis"}</definedName>
    <definedName name="abcd200b" hidden="1">{#N/A,"PURCHM",FALSE,"Business Analysis";#N/A,"SPADD",FALSE,"Business Analysis"}</definedName>
    <definedName name="abcd202" localSheetId="3" hidden="1">{#N/A,"PURCHM",FALSE,"Business Analysis";#N/A,"SPADD",FALSE,"Business Analysis"}</definedName>
    <definedName name="abcd202" hidden="1">{#N/A,"PURCHM",FALSE,"Business Analysis";#N/A,"SPADD",FALSE,"Business Analysis"}</definedName>
    <definedName name="abcd21" localSheetId="3" hidden="1">{#N/A,"PURCHM",FALSE,"Business Analysis";#N/A,"SPADD",FALSE,"Business Analysis"}</definedName>
    <definedName name="abcd21" hidden="1">{#N/A,"PURCHM",FALSE,"Business Analysis";#N/A,"SPADD",FALSE,"Business Analysis"}</definedName>
    <definedName name="abcd212" localSheetId="3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localSheetId="3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localSheetId="3" hidden="1">{#N/A,"PURCHM",FALSE,"Business Analysis";#N/A,"SPADD",FALSE,"Business Analysis"}</definedName>
    <definedName name="abcd212b" hidden="1">{#N/A,"PURCHM",FALSE,"Business Analysis";#N/A,"SPADD",FALSE,"Business Analysis"}</definedName>
    <definedName name="abcd213" localSheetId="3" hidden="1">{#N/A,"PURCHM",FALSE,"Business Analysis";#N/A,"SPADD",FALSE,"Business Analysis"}</definedName>
    <definedName name="abcd213" hidden="1">{#N/A,"PURCHM",FALSE,"Business Analysis";#N/A,"SPADD",FALSE,"Business Analysis"}</definedName>
    <definedName name="abcd213b" localSheetId="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localSheetId="3" hidden="1">{#N/A,"PURCHM",FALSE,"Business Analysis";#N/A,"SPADD",FALSE,"Business Analysis"}</definedName>
    <definedName name="abcd21kb" hidden="1">{#N/A,"PURCHM",FALSE,"Business Analysis";#N/A,"SPADD",FALSE,"Business Analysis"}</definedName>
    <definedName name="abcd254" localSheetId="3" hidden="1">{#N/A,"PURCHM",FALSE,"Business Analysis";#N/A,"SPADD",FALSE,"Business Analysis"}</definedName>
    <definedName name="abcd254" hidden="1">{#N/A,"PURCHM",FALSE,"Business Analysis";#N/A,"SPADD",FALSE,"Business Analysis"}</definedName>
    <definedName name="abcd2ab" localSheetId="3" hidden="1">{#N/A,"PURCHM",FALSE,"Business Analysis";#N/A,"SPADD",FALSE,"Business Analysis"}</definedName>
    <definedName name="abcd2ab" hidden="1">{#N/A,"PURCHM",FALSE,"Business Analysis";#N/A,"SPADD",FALSE,"Business Analysis"}</definedName>
    <definedName name="abcd312" localSheetId="3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localSheetId="3" hidden="1">{#N/A,"PURCHM",FALSE,"Business Analysis";#N/A,"SPADD",FALSE,"Business Analysis"}</definedName>
    <definedName name="abcd312bd" hidden="1">{#N/A,"PURCHM",FALSE,"Business Analysis";#N/A,"SPADD",FALSE,"Business Analysis"}</definedName>
    <definedName name="abcd32" localSheetId="3" hidden="1">{#N/A,"PURCHM",FALSE,"Business Analysis";#N/A,"SPADD",FALSE,"Business Analysis"}</definedName>
    <definedName name="abcd32" hidden="1">{#N/A,"PURCHM",FALSE,"Business Analysis";#N/A,"SPADD",FALSE,"Business Analysis"}</definedName>
    <definedName name="abcd32b" localSheetId="3" hidden="1">{#N/A,"PURCHM",FALSE,"Business Analysis";#N/A,"SPADD",FALSE,"Business Analysis"}</definedName>
    <definedName name="abcd32b" hidden="1">{#N/A,"PURCHM",FALSE,"Business Analysis";#N/A,"SPADD",FALSE,"Business Analysis"}</definedName>
    <definedName name="abcd33" localSheetId="3" hidden="1">{"detail",#N/A,FALSE,"mfg";"summary",#N/A,FALSE,"mfg"}</definedName>
    <definedName name="abcd33" hidden="1">{"detail",#N/A,FALSE,"mfg";"summary",#N/A,FALSE,"mfg"}</definedName>
    <definedName name="abcd33b" localSheetId="3" hidden="1">{"detail",#N/A,FALSE,"mfg";"summary",#N/A,FALSE,"mfg"}</definedName>
    <definedName name="abcd33b" hidden="1">{"detail",#N/A,FALSE,"mfg";"summary",#N/A,FALSE,"mfg"}</definedName>
    <definedName name="abcd34" localSheetId="3" hidden="1">{#N/A,"PURCHM",FALSE,"Business Analysis";#N/A,"SPADD",FALSE,"Business Analysis"}</definedName>
    <definedName name="abcd34" hidden="1">{#N/A,"PURCHM",FALSE,"Business Analysis";#N/A,"SPADD",FALSE,"Business Analysis"}</definedName>
    <definedName name="abcd34b" localSheetId="3" hidden="1">{#N/A,"PURCHM",FALSE,"Business Analysis";#N/A,"SPADD",FALSE,"Business Analysis"}</definedName>
    <definedName name="abcd34b" hidden="1">{#N/A,"PURCHM",FALSE,"Business Analysis";#N/A,"SPADD",FALSE,"Business Analysis"}</definedName>
    <definedName name="abcd35" localSheetId="3" hidden="1">{#N/A,"PURCHM",FALSE,"Business Analysis";#N/A,"SPADD",FALSE,"Business Analysis"}</definedName>
    <definedName name="abcd35" hidden="1">{#N/A,"PURCHM",FALSE,"Business Analysis";#N/A,"SPADD",FALSE,"Business Analysis"}</definedName>
    <definedName name="abcd35b" localSheetId="3" hidden="1">{#N/A,"PURCHM",FALSE,"Business Analysis";#N/A,"SPADD",FALSE,"Business Analysis"}</definedName>
    <definedName name="abcd35b" hidden="1">{#N/A,"PURCHM",FALSE,"Business Analysis";#N/A,"SPADD",FALSE,"Business Analysis"}</definedName>
    <definedName name="abcd36" localSheetId="3" hidden="1">{"detail",#N/A,FALSE,"mfg";"summary",#N/A,FALSE,"mfg"}</definedName>
    <definedName name="abcd36" hidden="1">{"detail",#N/A,FALSE,"mfg";"summary",#N/A,FALSE,"mfg"}</definedName>
    <definedName name="abcd36b" localSheetId="3" hidden="1">{"detail",#N/A,FALSE,"mfg";"summary",#N/A,FALSE,"mfg"}</definedName>
    <definedName name="abcd36b" hidden="1">{"detail",#N/A,FALSE,"mfg";"summary",#N/A,FALSE,"mfg"}</definedName>
    <definedName name="abcd39" localSheetId="3" hidden="1">{#N/A,"PURCHM",FALSE,"Business Analysis";#N/A,"SPADD",FALSE,"Business Analysis"}</definedName>
    <definedName name="abcd39" hidden="1">{#N/A,"PURCHM",FALSE,"Business Analysis";#N/A,"SPADD",FALSE,"Business Analysis"}</definedName>
    <definedName name="abcd39bd" localSheetId="3" hidden="1">{#N/A,"PURCHM",FALSE,"Business Analysis";#N/A,"SPADD",FALSE,"Business Analysis"}</definedName>
    <definedName name="abcd39bd" hidden="1">{#N/A,"PURCHM",FALSE,"Business Analysis";#N/A,"SPADD",FALSE,"Business Analysis"}</definedName>
    <definedName name="ABCD41" localSheetId="3" hidden="1">{#N/A,"PURCHM",FALSE,"Business Analysis";#N/A,"SPADD",FALSE,"Business Analysis"}</definedName>
    <definedName name="ABCD41" hidden="1">{#N/A,"PURCHM",FALSE,"Business Analysis";#N/A,"SPADD",FALSE,"Business Analysis"}</definedName>
    <definedName name="abcd412" localSheetId="3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localSheetId="3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localSheetId="3" hidden="1">{#N/A,"PURCHM",FALSE,"Business Analysis";#N/A,"SPADD",FALSE,"Business Analysis"}</definedName>
    <definedName name="abcd41bd" hidden="1">{#N/A,"PURCHM",FALSE,"Business Analysis";#N/A,"SPADD",FALSE,"Business Analysis"}</definedName>
    <definedName name="abcd42" localSheetId="3" hidden="1">{#N/A,"PURCHM",FALSE,"Business Analysis";#N/A,"SPADD",FALSE,"Business Analysis"}</definedName>
    <definedName name="abcd42" hidden="1">{#N/A,"PURCHM",FALSE,"Business Analysis";#N/A,"SPADD",FALSE,"Business Analysis"}</definedName>
    <definedName name="abcd42bd" localSheetId="3" hidden="1">{#N/A,"PURCHM",FALSE,"Business Analysis";#N/A,"SPADD",FALSE,"Business Analysis"}</definedName>
    <definedName name="abcd42bd" hidden="1">{#N/A,"PURCHM",FALSE,"Business Analysis";#N/A,"SPADD",FALSE,"Business Analysis"}</definedName>
    <definedName name="abcd45" localSheetId="3" hidden="1">{#N/A,"PURCHM",FALSE,"Business Analysis";#N/A,"SPADD",FALSE,"Business Analysis"}</definedName>
    <definedName name="abcd45" hidden="1">{#N/A,"PURCHM",FALSE,"Business Analysis";#N/A,"SPADD",FALSE,"Business Analysis"}</definedName>
    <definedName name="abcd45bd" localSheetId="3" hidden="1">{#N/A,"PURCHM",FALSE,"Business Analysis";#N/A,"SPADD",FALSE,"Business Analysis"}</definedName>
    <definedName name="abcd45bd" hidden="1">{#N/A,"PURCHM",FALSE,"Business Analysis";#N/A,"SPADD",FALSE,"Business Analysis"}</definedName>
    <definedName name="abcd50" localSheetId="3" hidden="1">{#N/A,"PURCHM",FALSE,"Business Analysis";#N/A,"SPADD",FALSE,"Business Analysis"}</definedName>
    <definedName name="abcd50" hidden="1">{#N/A,"PURCHM",FALSE,"Business Analysis";#N/A,"SPADD",FALSE,"Business Analysis"}</definedName>
    <definedName name="abcd51" localSheetId="3" hidden="1">{#N/A,"PURCHM",FALSE,"Business Analysis";#N/A,"SPADD",FALSE,"Business Analysis"}</definedName>
    <definedName name="abcd51" hidden="1">{#N/A,"PURCHM",FALSE,"Business Analysis";#N/A,"SPADD",FALSE,"Business Analysis"}</definedName>
    <definedName name="abcd51bd" localSheetId="3" hidden="1">{#N/A,"PURCHM",FALSE,"Business Analysis";#N/A,"SPADD",FALSE,"Business Analysis"}</definedName>
    <definedName name="abcd51bd" hidden="1">{#N/A,"PURCHM",FALSE,"Business Analysis";#N/A,"SPADD",FALSE,"Business Analysis"}</definedName>
    <definedName name="abcd61" localSheetId="3" hidden="1">{#N/A,"PURCHM",FALSE,"Business Analysis";#N/A,"SPADD",FALSE,"Business Analysis"}</definedName>
    <definedName name="abcd61" hidden="1">{#N/A,"PURCHM",FALSE,"Business Analysis";#N/A,"SPADD",FALSE,"Business Analysis"}</definedName>
    <definedName name="abcd61bd" localSheetId="3" hidden="1">{#N/A,"PURCHM",FALSE,"Business Analysis";#N/A,"SPADD",FALSE,"Business Analysis"}</definedName>
    <definedName name="abcd61bd" hidden="1">{#N/A,"PURCHM",FALSE,"Business Analysis";#N/A,"SPADD",FALSE,"Business Analysis"}</definedName>
    <definedName name="abcd71" localSheetId="3" hidden="1">{#N/A,"PURCHM",FALSE,"Business Analysis";#N/A,"SPADD",FALSE,"Business Analysis"}</definedName>
    <definedName name="abcd71" hidden="1">{#N/A,"PURCHM",FALSE,"Business Analysis";#N/A,"SPADD",FALSE,"Business Analysis"}</definedName>
    <definedName name="abcd71bd" localSheetId="3" hidden="1">{#N/A,"PURCHM",FALSE,"Business Analysis";#N/A,"SPADD",FALSE,"Business Analysis"}</definedName>
    <definedName name="abcd71bd" hidden="1">{#N/A,"PURCHM",FALSE,"Business Analysis";#N/A,"SPADD",FALSE,"Business Analysis"}</definedName>
    <definedName name="abcd90" localSheetId="3" hidden="1">{#N/A,"PURCHM",FALSE,"Business Analysis";#N/A,"SPADD",FALSE,"Business Analysis"}</definedName>
    <definedName name="abcd90" hidden="1">{#N/A,"PURCHM",FALSE,"Business Analysis";#N/A,"SPADD",FALSE,"Business Analysis"}</definedName>
    <definedName name="abcd98b" localSheetId="3" hidden="1">{#N/A,"PURCHM",FALSE,"Business Analysis";#N/A,"SPADD",FALSE,"Business Analysis"}</definedName>
    <definedName name="abcd98b" hidden="1">{#N/A,"PURCHM",FALSE,"Business Analysis";#N/A,"SPADD",FALSE,"Business Analysis"}</definedName>
    <definedName name="abcda" localSheetId="3" hidden="1">{#N/A,"PURCHM",FALSE,"Business Analysis";#N/A,"SPADD",FALSE,"Business Analysis"}</definedName>
    <definedName name="abcda" hidden="1">{#N/A,"PURCHM",FALSE,"Business Analysis";#N/A,"SPADD",FALSE,"Business Analysis"}</definedName>
    <definedName name="abcda101" localSheetId="3" hidden="1">{#N/A,"PURCHM",FALSE,"Business Analysis";#N/A,"SPADD",FALSE,"Business Analysis"}</definedName>
    <definedName name="abcda101" hidden="1">{#N/A,"PURCHM",FALSE,"Business Analysis";#N/A,"SPADD",FALSE,"Business Analysis"}</definedName>
    <definedName name="abcde" localSheetId="4" hidden="1">Дог-[42]Име!$A$1</definedName>
    <definedName name="abcde" localSheetId="3" hidden="1">______feb05-#REF!</definedName>
    <definedName name="abcde" hidden="1">______feb05-#REF!</definedName>
    <definedName name="abcdmibh" localSheetId="3" hidden="1">{#N/A,"PURCHM",FALSE,"Business Analysis";#N/A,"SPADD",FALSE,"Business Analysis"}</definedName>
    <definedName name="abcdmibh" hidden="1">{#N/A,"PURCHM",FALSE,"Business Analysis";#N/A,"SPADD",FALSE,"Business Analysis"}</definedName>
    <definedName name="abcdv102" localSheetId="3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localSheetId="3" hidden="1">{#N/A,"PURCHM",FALSE,"Business Analysis";#N/A,"SPADD",FALSE,"Business Analysis"}</definedName>
    <definedName name="abcdv102d" hidden="1">{#N/A,"PURCHM",FALSE,"Business Analysis";#N/A,"SPADD",FALSE,"Business Analysis"}</definedName>
    <definedName name="abci9" localSheetId="3" hidden="1">{#N/A,"PURCHM",FALSE,"Business Analysis";#N/A,"SPADD",FALSE,"Business Analysis"}</definedName>
    <definedName name="abci9" hidden="1">{#N/A,"PURCHM",FALSE,"Business Analysis";#N/A,"SPADD",FALSE,"Business Analysis"}</definedName>
    <definedName name="abci92" localSheetId="3" hidden="1">{#N/A,"PURCHM",FALSE,"Business Analysis";#N/A,"SPADD",FALSE,"Business Analysis"}</definedName>
    <definedName name="abci92" hidden="1">{#N/A,"PURCHM",FALSE,"Business Analysis";#N/A,"SPADD",FALSE,"Business Analysis"}</definedName>
    <definedName name="abcj9i" localSheetId="3" hidden="1">{"detail",#N/A,FALSE,"mfg";"summary",#N/A,FALSE,"mfg"}</definedName>
    <definedName name="abcj9i" hidden="1">{"detail",#N/A,FALSE,"mfg";"summary",#N/A,FALSE,"mfg"}</definedName>
    <definedName name="abckg" localSheetId="3" hidden="1">{#N/A,"PURCHM",FALSE,"Business Analysis";#N/A,"SPADD",FALSE,"Business Analysis"}</definedName>
    <definedName name="abckg" hidden="1">{#N/A,"PURCHM",FALSE,"Business Analysis";#N/A,"SPADD",FALSE,"Business Analysis"}</definedName>
    <definedName name="abcklg" localSheetId="3" hidden="1">{"detail",#N/A,FALSE,"mfg";"summary",#N/A,FALSE,"mfg"}</definedName>
    <definedName name="abcklg" hidden="1">{"detail",#N/A,FALSE,"mfg";"summary",#N/A,FALSE,"mfg"}</definedName>
    <definedName name="abcl96\" localSheetId="3" hidden="1">{#N/A,"PURCHM",FALSE,"Business Analysis";#N/A,"SPADD",FALSE,"Business Analysis"}</definedName>
    <definedName name="abcl96\" hidden="1">{#N/A,"PURCHM",FALSE,"Business Analysis";#N/A,"SPADD",FALSE,"Business Analysis"}</definedName>
    <definedName name="abclkj" localSheetId="3" hidden="1">{"detail",#N/A,FALSE,"mfg";"summary",#N/A,FALSE,"mfg"}</definedName>
    <definedName name="abclkj" hidden="1">{"detail",#N/A,FALSE,"mfg";"summary",#N/A,FALSE,"mfg"}</definedName>
    <definedName name="abclxs" localSheetId="3" hidden="1">{"detail",#N/A,FALSE,"mfg";"summary",#N/A,FALSE,"mfg"}</definedName>
    <definedName name="abclxs" hidden="1">{"detail",#N/A,FALSE,"mfg";"summary",#N/A,FALSE,"mfg"}</definedName>
    <definedName name="abcoi" localSheetId="3" hidden="1">{"detail",#N/A,FALSE,"mfg";"summary",#N/A,FALSE,"mfg"}</definedName>
    <definedName name="abcoi" hidden="1">{"detail",#N/A,FALSE,"mfg";"summary",#N/A,FALSE,"mfg"}</definedName>
    <definedName name="abcois" localSheetId="3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localSheetId="3" hidden="1">{#N/A,"PURCHM",FALSE,"Business Analysis";#N/A,"SPADD",FALSE,"Business Analysis"}</definedName>
    <definedName name="abji" hidden="1">{#N/A,"PURCHM",FALSE,"Business Analysis";#N/A,"SPADD",FALSE,"Business Analysis"}</definedName>
    <definedName name="abki9" localSheetId="3" hidden="1">{#N/A,"PURCHM",FALSE,"Business Analysis";#N/A,"SPADD",FALSE,"Business Analysis"}</definedName>
    <definedName name="abki9" hidden="1">{#N/A,"PURCHM",FALSE,"Business Analysis";#N/A,"SPADD",FALSE,"Business Analysis"}</definedName>
    <definedName name="ablc" localSheetId="3" hidden="1">{#N/A,#N/A,FALSE,"ALM-ASISC"}</definedName>
    <definedName name="ablc" hidden="1">{#N/A,#N/A,FALSE,"ALM-ASISC"}</definedName>
    <definedName name="ablo5" localSheetId="3" hidden="1">{#N/A,"PURCHM",FALSE,"Business Analysis";#N/A,"SPADD",FALSE,"Business Analysis"}</definedName>
    <definedName name="ablo5" hidden="1">{#N/A,"PURCHM",FALSE,"Business Analysis";#N/A,"SPADD",FALSE,"Business Analysis"}</definedName>
    <definedName name="ABRACADABRA" hidden="1">#REF!</definedName>
    <definedName name="Abrisa" localSheetId="3" hidden="1">{"FY04_Assets",#N/A,FALSE,"Fin Stmt Budget";"FY04_Liabilities",#N/A,FALSE,"Fin Stmt Budget";"FY04_Inc_Stmt",#N/A,FALSE,"Fin Stmt Budget";"FY04_SOCF",#N/A,FALSE,"Fin Stmt Budget"}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localSheetId="3" hidden="1">{"Accretion",#N/A,FALSE,"Assum"}</definedName>
    <definedName name="acc" hidden="1">{"Accretion",#N/A,FALSE,"Assum"}</definedName>
    <definedName name="accc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 localSheetId="4" hidden="1">"FIGBUS_FIGBUS_List"</definedName>
    <definedName name="Access_Button">"X09MCGRAW_INPUT_List"</definedName>
    <definedName name="Access_Button1">"KALKULAC_Pyton_Lista"</definedName>
    <definedName name="AccessDatabase" localSheetId="4" hidden="1">"W:\WPFILES\GB759\EXCEL\FIGBUS.mdb"</definedName>
    <definedName name="AccessDatabase">"C:\My Documents\Jane\Leases\LeaseCalc.mdb"</definedName>
    <definedName name="Accnt" localSheetId="4">'[43]P&amp;L Breakdown'!$G:$G</definedName>
    <definedName name="Accnt">#REF!</definedName>
    <definedName name="accopany">#REF!</definedName>
    <definedName name="account" localSheetId="4">'[44]Trial Balance'!$B$3:$B$108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 localSheetId="4">[45]Workings!$D$9:$O$9</definedName>
    <definedName name="AccountingStandard">#REF!</definedName>
    <definedName name="AccountList">#REF!</definedName>
    <definedName name="AccountListing">#REF!</definedName>
    <definedName name="Accounts_List" localSheetId="4">'[46]Trial Balance'!$B$3:$B$117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localSheetId="3" hidden="1">{"detail",#N/A,FALSE,"mfg";"summary",#N/A,FALSE,"mfg"}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localSheetId="3" hidden="1">{#N/A,#N/A,FALSE,"CMN_FE"}</definedName>
    <definedName name="Acdfg" hidden="1">{#N/A,#N/A,FALSE,"CMN_FE"}</definedName>
    <definedName name="ACMAD">'[1]טורים 98'!$FC$1:$GH$150</definedName>
    <definedName name="acob" localSheetId="3" hidden="1">{"'Form'!$A$2:$J$81"}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 localSheetId="4">'[47]BS - Qtr'!#REF!</definedName>
    <definedName name="Act02BS">#REF!</definedName>
    <definedName name="Act02CF">#REF!</definedName>
    <definedName name="Act02CFtrend">#REF!</definedName>
    <definedName name="ACT18_YTD" localSheetId="4">'[43]P&amp;L Breakdown'!#REF!</definedName>
    <definedName name="ACT18_YTD">#REF!</definedName>
    <definedName name="actionpla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localSheetId="3" hidden="1">{"'Trend_Total'!$A$7:$V$10","'Trend_Total'!$A$1:$V$4"}</definedName>
    <definedName name="ada" hidden="1">{"'Trend_Total'!$A$7:$V$10","'Trend_Total'!$A$1:$V$4"}</definedName>
    <definedName name="adad" localSheetId="3">{"'NPCGUIDELINES'!$A$1:$J$41"}</definedName>
    <definedName name="adad">{"'NPCGUIDELINES'!$A$1:$J$41"}</definedName>
    <definedName name="adada" localSheetId="3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localSheetId="3" hidden="1">{#N/A,#N/A,FALSE,"KA CH  (2)"}</definedName>
    <definedName name="adasd" hidden="1">{#N/A,#N/A,FALSE,"KA CH  (2)"}</definedName>
    <definedName name="adasdasdasdasd" localSheetId="3" hidden="1">{"PR1","pr1",TRUE,"Sch PR-1"}</definedName>
    <definedName name="adasdasdasdasd" hidden="1">{"PR1","pr1",TRUE,"Sch PR-1"}</definedName>
    <definedName name="adasdlsp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 localSheetId="3">{"'NPCGUIDELINES'!$A$1:$J$41"}</definedName>
    <definedName name="adawe">{"'NPCGUIDELINES'!$A$1:$J$41"}</definedName>
    <definedName name="adb" localSheetId="3" hidden="1">{#N/A,#N/A,FALSE,"Inc";#N/A,#N/A,FALSE,"Prod";#N/A,#N/A,FALSE,"QInc";#N/A,#N/A,FALSE,"QProd"}</definedName>
    <definedName name="adb" hidden="1">{#N/A,#N/A,FALSE,"Inc";#N/A,#N/A,FALSE,"Prod";#N/A,#N/A,FALSE,"QInc";#N/A,#N/A,FALSE,"QProd"}</definedName>
    <definedName name="adc" localSheetId="3" hidden="1">{#N/A,"PURCHM",FALSE,"Business Analysis";#N/A,"SPADD",FALSE,"Business Analysis"}</definedName>
    <definedName name="adc" hidden="1">{#N/A,"PURCHM",FALSE,"Business Analysis";#N/A,"SPADD",FALSE,"Business Analysis"}</definedName>
    <definedName name="adcaldla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localSheetId="4" hidden="1">{#N/A,#N/A,FALSE,"Sheet8";#N/A,#N/A,FALSE,"Sheet7"}</definedName>
    <definedName name="adcd" localSheetId="3" hidden="1">{#N/A,#N/A,FALSE,"Sheet8";#N/A,#N/A,FALSE,"Sheet7"}</definedName>
    <definedName name="adcd" hidden="1">{#N/A,#N/A,FALSE,"Sheet8";#N/A,#N/A,FALSE,"Sheet7"}</definedName>
    <definedName name="ADCT_PQ_ni">#REF!</definedName>
    <definedName name="addg" localSheetId="3" hidden="1">{#N/A,#N/A,FALSE,"CBE";#N/A,#N/A,FALSE,"SWK"}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localSheetId="3" hidden="1">{"histincome",#N/A,FALSE,"hyfins";"closing balance",#N/A,FALSE,"hyfins"}</definedName>
    <definedName name="adfa" hidden="1">{"histincome",#N/A,FALSE,"hyfins";"closing balance",#N/A,FALSE,"hyfins"}</definedName>
    <definedName name="adfad" localSheetId="3" hidden="1">{#N/A,#N/A,FALSE,"ALM-ASISC"}</definedName>
    <definedName name="adfad" hidden="1">{#N/A,#N/A,FALSE,"ALM-ASISC"}</definedName>
    <definedName name="adfadfasfda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localSheetId="3" hidden="1">{#N/A,#N/A,TRUE,"Cover";#N/A,#N/A,TRUE,"Header (ld)";#N/A,#N/A,TRUE,"T&amp;O By Region";#N/A,#N/A,TRUE,"Region Charts ";#N/A,#N/A,TRUE,"T&amp;O London";#N/A,#N/A,TRUE,"AD Report";#N/A,#N/A,TRUE,"Var by OU"}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localSheetId="3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localSheetId="3" hidden="1">{"sales growth",#N/A,FALSE,"summary";"oper income",#N/A,FALSE,"summary";"oros rank",#N/A,FALSE,"summary";"net assets",#N/A,FALSE,"summary";"asset turnover",#N/A,FALSE,"summary";"orona",#N/A,FALSE,"summary"}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localSheetId="3" hidden="1">{#N/A,#N/A,FALSE,"REPORT"}</definedName>
    <definedName name="adfgasdysty" hidden="1">{#N/A,#N/A,FALSE,"REPORT"}</definedName>
    <definedName name="adfgasdysty_1" localSheetId="3" hidden="1">{#N/A,#N/A,FALSE,"REPORT"}</definedName>
    <definedName name="adfgasdysty_1" hidden="1">{#N/A,#N/A,FALSE,"REPORT"}</definedName>
    <definedName name="adfgasdysty_2" localSheetId="3" hidden="1">{#N/A,#N/A,FALSE,"REPORT"}</definedName>
    <definedName name="adfgasdysty_2" hidden="1">{#N/A,#N/A,FALSE,"REPORT"}</definedName>
    <definedName name="adfgasdysty_3" localSheetId="3" hidden="1">{#N/A,#N/A,FALSE,"REPORT"}</definedName>
    <definedName name="adfgasdysty_3" hidden="1">{#N/A,#N/A,FALSE,"REPORT"}</definedName>
    <definedName name="adfgasdysty_4" localSheetId="3" hidden="1">{#N/A,#N/A,FALSE,"REPORT"}</definedName>
    <definedName name="adfgasdysty_4" hidden="1">{#N/A,#N/A,FALSE,"REPORT"}</definedName>
    <definedName name="adfj" localSheetId="3" hidden="1">{"bs",#N/A,FALSE,"SCF"}</definedName>
    <definedName name="adfj" hidden="1">{"bs",#N/A,FALSE,"SCF"}</definedName>
    <definedName name="adfs" localSheetId="3" hidden="1">{#N/A,#N/A,FALSE,"PMTABB";#N/A,#N/A,FALSE,"PMTABB"}</definedName>
    <definedName name="adfs" hidden="1">{#N/A,#N/A,FALSE,"PMTABB";#N/A,#N/A,FALSE,"PMTABB"}</definedName>
    <definedName name="adfsfadfasf" localSheetId="4" hidden="1">{"Outflow 1",#N/A,FALSE,"Outflows-Inflows";"Outflow 2",#N/A,FALSE,"Outflows-Inflows";"Inflow 1",#N/A,FALSE,"Outflows-Inflows";"Inflow 2",#N/A,FALSE,"Outflows-Inflows"}</definedName>
    <definedName name="adfsfadfasf" localSheetId="3" hidden="1">{"Outflow 1",#N/A,FALSE,"Outflows-Inflows";"Outflow 2",#N/A,FALSE,"Outflows-Inflows";"Inflow 1",#N/A,FALSE,"Outflows-Inflows";"Inflow 2",#N/A,FALSE,"Outflows-Inflows"}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localSheetId="4" hidden="1">{"Outflow 1",#N/A,FALSE,"Outflows-Inflows";"Outflow 2",#N/A,FALSE,"Outflows-Inflows";"Inflow 1",#N/A,FALSE,"Outflows-Inflows";"Inflow 2",#N/A,FALSE,"Outflows-Inflows"}</definedName>
    <definedName name="adfsfadfasf_1" localSheetId="3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localSheetId="3" hidden="1">{#N/A,#N/A,FALSE,"REPORT"}</definedName>
    <definedName name="adfsfjfjky" hidden="1">{#N/A,#N/A,FALSE,"REPORT"}</definedName>
    <definedName name="adfsfjfjky_1" localSheetId="3" hidden="1">{#N/A,#N/A,FALSE,"REPORT"}</definedName>
    <definedName name="adfsfjfjky_1" hidden="1">{#N/A,#N/A,FALSE,"REPORT"}</definedName>
    <definedName name="adfsfjfjky_2" localSheetId="3" hidden="1">{#N/A,#N/A,FALSE,"REPORT"}</definedName>
    <definedName name="adfsfjfjky_2" hidden="1">{#N/A,#N/A,FALSE,"REPORT"}</definedName>
    <definedName name="adfsfjfjky_3" localSheetId="3" hidden="1">{#N/A,#N/A,FALSE,"REPORT"}</definedName>
    <definedName name="adfsfjfjky_3" hidden="1">{#N/A,#N/A,FALSE,"REPORT"}</definedName>
    <definedName name="adfsfjfjky_4" localSheetId="3" hidden="1">{#N/A,#N/A,FALSE,"REPORT"}</definedName>
    <definedName name="adfsfjfjky_4" hidden="1">{#N/A,#N/A,FALSE,"REPORT"}</definedName>
    <definedName name="ADGAGS" localSheetId="3" hidden="1">{#N/A,#N/A,FALSE,"Aging Summary";#N/A,#N/A,FALSE,"Ratio Analysis";#N/A,#N/A,FALSE,"Test 120 Day Accts";#N/A,#N/A,FALSE,"Tickmarks"}</definedName>
    <definedName name="ADGAGS" hidden="1">{#N/A,#N/A,FALSE,"Aging Summary";#N/A,#N/A,FALSE,"Ratio Analysis";#N/A,#N/A,FALSE,"Test 120 Day Accts";#N/A,#N/A,FALSE,"Tickmarks"}</definedName>
    <definedName name="adgfgd" localSheetId="3" hidden="1">{"detail",#N/A,FALSE,"mfg";"summary",#N/A,FALSE,"mfg"}</definedName>
    <definedName name="adgfgd" hidden="1">{"detail",#N/A,FALSE,"mfg";"summary",#N/A,FALSE,"mfg"}</definedName>
    <definedName name="Adjastment_Index" localSheetId="4">'[46]Adjustments Table'!$C$2:$L$2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localSheetId="3" hidden="1">{#N/A,#N/A,FALSE,"Monthly"}</definedName>
    <definedName name="adriana" hidden="1">{#N/A,#N/A,FALSE,"Monthly"}</definedName>
    <definedName name="ads" localSheetId="3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ds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localSheetId="4" hidden="1">{#N/A,#N/A,FALSE,"Job Sched"}</definedName>
    <definedName name="adsf" localSheetId="3" hidden="1">{#N/A,#N/A,FALSE,"Job Sched"}</definedName>
    <definedName name="adsf" hidden="1">{#N/A,#N/A,FALSE,"Job Sched"}</definedName>
    <definedName name="adsfadf" localSheetId="3" hidden="1">{"'Staffing'!$A$1:$D$62"}</definedName>
    <definedName name="adsfadf" hidden="1">{"'Staffing'!$A$1:$D$62"}</definedName>
    <definedName name="adsfg" localSheetId="4" hidden="1">{"client cfbs",#N/A,FALSE,"Client"}</definedName>
    <definedName name="adsfg" localSheetId="3" hidden="1">{"client cfbs",#N/A,FALSE,"Client"}</definedName>
    <definedName name="adsfg" hidden="1">{"client cfbs",#N/A,FALSE,"Client"}</definedName>
    <definedName name="adsfgds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localSheetId="4" hidden="1">{"client cfbs",#N/A,FALSE,"Client"}</definedName>
    <definedName name="adsfh" localSheetId="3" hidden="1">{"client cfbs",#N/A,FALSE,"Client"}</definedName>
    <definedName name="adsfh" hidden="1">{"client cfbs",#N/A,FALSE,"Client"}</definedName>
    <definedName name="ADSFSDF" localSheetId="3" hidden="1">{#N/A,#N/A,FALSE,"Aging Summary";#N/A,#N/A,FALSE,"Ratio Analysis";#N/A,#N/A,FALSE,"Test 120 Day Accts";#N/A,#N/A,FALSE,"Tickmarks"}</definedName>
    <definedName name="ADSFSDF" hidden="1">{#N/A,#N/A,FALSE,"Aging Summary";#N/A,#N/A,FALSE,"Ratio Analysis";#N/A,#N/A,FALSE,"Test 120 Day Accts";#N/A,#N/A,FALSE,"Tickmarks"}</definedName>
    <definedName name="ads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'[48]GL-PC'!#REF!</definedName>
    <definedName name="Advisory_Board_Directorship__fees">#REF!</definedName>
    <definedName name="adwsfklj" localSheetId="3" hidden="1">{"bs",#N/A,FALSE,"SCF"}</definedName>
    <definedName name="adwsfklj" hidden="1">{"bs",#N/A,FALSE,"SCF"}</definedName>
    <definedName name="ae" hidden="1">#REF!</definedName>
    <definedName name="aeae" localSheetId="3" hidden="1">{#N/A,#N/A,FALSE,"Trading-Mult ";#N/A,#N/A,FALSE,"Trading-Cap";#N/A,#N/A,FALSE,"Trading-Inc";#N/A,#N/A,FALSE,"Cash Flow";#N/A,#N/A,FALSE,"M&amp;A info"}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localSheetId="3" hidden="1">{#N/A,#N/A,FALSE,"Umsatz 99";#N/A,#N/A,FALSE,"ER 99 "}</definedName>
    <definedName name="aeleven" hidden="1">{#N/A,#N/A,FALSE,"Umsatz 99";#N/A,#N/A,FALSE,"ER 99 "}</definedName>
    <definedName name="aeleven_1" localSheetId="3" hidden="1">{#N/A,#N/A,FALSE,"Umsatz 99";#N/A,#N/A,FALSE,"ER 99 "}</definedName>
    <definedName name="aeleven_1" hidden="1">{#N/A,#N/A,FALSE,"Umsatz 99";#N/A,#N/A,FALSE,"ER 99 "}</definedName>
    <definedName name="aeleven_1_1" localSheetId="3" hidden="1">{#N/A,#N/A,FALSE,"Umsatz 99";#N/A,#N/A,FALSE,"ER 99 "}</definedName>
    <definedName name="aeleven_1_1" hidden="1">{#N/A,#N/A,FALSE,"Umsatz 99";#N/A,#N/A,FALSE,"ER 99 "}</definedName>
    <definedName name="aeleven_1_2" localSheetId="3" hidden="1">{#N/A,#N/A,FALSE,"Umsatz 99";#N/A,#N/A,FALSE,"ER 99 "}</definedName>
    <definedName name="aeleven_1_2" hidden="1">{#N/A,#N/A,FALSE,"Umsatz 99";#N/A,#N/A,FALSE,"ER 99 "}</definedName>
    <definedName name="aeleven_1_3" localSheetId="3" hidden="1">{#N/A,#N/A,FALSE,"Umsatz 99";#N/A,#N/A,FALSE,"ER 99 "}</definedName>
    <definedName name="aeleven_1_3" hidden="1">{#N/A,#N/A,FALSE,"Umsatz 99";#N/A,#N/A,FALSE,"ER 99 "}</definedName>
    <definedName name="aeleven_1_4" localSheetId="3" hidden="1">{#N/A,#N/A,FALSE,"Umsatz 99";#N/A,#N/A,FALSE,"ER 99 "}</definedName>
    <definedName name="aeleven_1_4" hidden="1">{#N/A,#N/A,FALSE,"Umsatz 99";#N/A,#N/A,FALSE,"ER 99 "}</definedName>
    <definedName name="aeleven_1_5" localSheetId="3" hidden="1">{#N/A,#N/A,FALSE,"Umsatz 99";#N/A,#N/A,FALSE,"ER 99 "}</definedName>
    <definedName name="aeleven_1_5" hidden="1">{#N/A,#N/A,FALSE,"Umsatz 99";#N/A,#N/A,FALSE,"ER 99 "}</definedName>
    <definedName name="aeleven_2" localSheetId="3" hidden="1">{#N/A,#N/A,FALSE,"Umsatz 99";#N/A,#N/A,FALSE,"ER 99 "}</definedName>
    <definedName name="aeleven_2" hidden="1">{#N/A,#N/A,FALSE,"Umsatz 99";#N/A,#N/A,FALSE,"ER 99 "}</definedName>
    <definedName name="aeleven_2_1" localSheetId="3" hidden="1">{#N/A,#N/A,FALSE,"Umsatz 99";#N/A,#N/A,FALSE,"ER 99 "}</definedName>
    <definedName name="aeleven_2_1" hidden="1">{#N/A,#N/A,FALSE,"Umsatz 99";#N/A,#N/A,FALSE,"ER 99 "}</definedName>
    <definedName name="aeleven_2_2" localSheetId="3" hidden="1">{#N/A,#N/A,FALSE,"Umsatz 99";#N/A,#N/A,FALSE,"ER 99 "}</definedName>
    <definedName name="aeleven_2_2" hidden="1">{#N/A,#N/A,FALSE,"Umsatz 99";#N/A,#N/A,FALSE,"ER 99 "}</definedName>
    <definedName name="aeleven_2_3" localSheetId="3" hidden="1">{#N/A,#N/A,FALSE,"Umsatz 99";#N/A,#N/A,FALSE,"ER 99 "}</definedName>
    <definedName name="aeleven_2_3" hidden="1">{#N/A,#N/A,FALSE,"Umsatz 99";#N/A,#N/A,FALSE,"ER 99 "}</definedName>
    <definedName name="aeleven_2_4" localSheetId="3" hidden="1">{#N/A,#N/A,FALSE,"Umsatz 99";#N/A,#N/A,FALSE,"ER 99 "}</definedName>
    <definedName name="aeleven_2_4" hidden="1">{#N/A,#N/A,FALSE,"Umsatz 99";#N/A,#N/A,FALSE,"ER 99 "}</definedName>
    <definedName name="aeleven_2_5" localSheetId="3" hidden="1">{#N/A,#N/A,FALSE,"Umsatz 99";#N/A,#N/A,FALSE,"ER 99 "}</definedName>
    <definedName name="aeleven_2_5" hidden="1">{#N/A,#N/A,FALSE,"Umsatz 99";#N/A,#N/A,FALSE,"ER 99 "}</definedName>
    <definedName name="aeleven_3" localSheetId="3" hidden="1">{#N/A,#N/A,FALSE,"Umsatz 99";#N/A,#N/A,FALSE,"ER 99 "}</definedName>
    <definedName name="aeleven_3" hidden="1">{#N/A,#N/A,FALSE,"Umsatz 99";#N/A,#N/A,FALSE,"ER 99 "}</definedName>
    <definedName name="aeleven_3_1" localSheetId="3" hidden="1">{#N/A,#N/A,FALSE,"Umsatz 99";#N/A,#N/A,FALSE,"ER 99 "}</definedName>
    <definedName name="aeleven_3_1" hidden="1">{#N/A,#N/A,FALSE,"Umsatz 99";#N/A,#N/A,FALSE,"ER 99 "}</definedName>
    <definedName name="aeleven_3_2" localSheetId="3" hidden="1">{#N/A,#N/A,FALSE,"Umsatz 99";#N/A,#N/A,FALSE,"ER 99 "}</definedName>
    <definedName name="aeleven_3_2" hidden="1">{#N/A,#N/A,FALSE,"Umsatz 99";#N/A,#N/A,FALSE,"ER 99 "}</definedName>
    <definedName name="aeleven_3_3" localSheetId="3" hidden="1">{#N/A,#N/A,FALSE,"Umsatz 99";#N/A,#N/A,FALSE,"ER 99 "}</definedName>
    <definedName name="aeleven_3_3" hidden="1">{#N/A,#N/A,FALSE,"Umsatz 99";#N/A,#N/A,FALSE,"ER 99 "}</definedName>
    <definedName name="aeleven_3_4" localSheetId="3" hidden="1">{#N/A,#N/A,FALSE,"Umsatz 99";#N/A,#N/A,FALSE,"ER 99 "}</definedName>
    <definedName name="aeleven_3_4" hidden="1">{#N/A,#N/A,FALSE,"Umsatz 99";#N/A,#N/A,FALSE,"ER 99 "}</definedName>
    <definedName name="aeleven_3_5" localSheetId="3" hidden="1">{#N/A,#N/A,FALSE,"Umsatz 99";#N/A,#N/A,FALSE,"ER 99 "}</definedName>
    <definedName name="aeleven_3_5" hidden="1">{#N/A,#N/A,FALSE,"Umsatz 99";#N/A,#N/A,FALSE,"ER 99 "}</definedName>
    <definedName name="aeleven_4" localSheetId="3" hidden="1">{#N/A,#N/A,FALSE,"Umsatz 99";#N/A,#N/A,FALSE,"ER 99 "}</definedName>
    <definedName name="aeleven_4" hidden="1">{#N/A,#N/A,FALSE,"Umsatz 99";#N/A,#N/A,FALSE,"ER 99 "}</definedName>
    <definedName name="aeleven_4_1" localSheetId="3" hidden="1">{#N/A,#N/A,FALSE,"Umsatz 99";#N/A,#N/A,FALSE,"ER 99 "}</definedName>
    <definedName name="aeleven_4_1" hidden="1">{#N/A,#N/A,FALSE,"Umsatz 99";#N/A,#N/A,FALSE,"ER 99 "}</definedName>
    <definedName name="aeleven_4_2" localSheetId="3" hidden="1">{#N/A,#N/A,FALSE,"Umsatz 99";#N/A,#N/A,FALSE,"ER 99 "}</definedName>
    <definedName name="aeleven_4_2" hidden="1">{#N/A,#N/A,FALSE,"Umsatz 99";#N/A,#N/A,FALSE,"ER 99 "}</definedName>
    <definedName name="aeleven_4_3" localSheetId="3" hidden="1">{#N/A,#N/A,FALSE,"Umsatz 99";#N/A,#N/A,FALSE,"ER 99 "}</definedName>
    <definedName name="aeleven_4_3" hidden="1">{#N/A,#N/A,FALSE,"Umsatz 99";#N/A,#N/A,FALSE,"ER 99 "}</definedName>
    <definedName name="aeleven_4_4" localSheetId="3" hidden="1">{#N/A,#N/A,FALSE,"Umsatz 99";#N/A,#N/A,FALSE,"ER 99 "}</definedName>
    <definedName name="aeleven_4_4" hidden="1">{#N/A,#N/A,FALSE,"Umsatz 99";#N/A,#N/A,FALSE,"ER 99 "}</definedName>
    <definedName name="aeleven_4_5" localSheetId="3" hidden="1">{#N/A,#N/A,FALSE,"Umsatz 99";#N/A,#N/A,FALSE,"ER 99 "}</definedName>
    <definedName name="aeleven_4_5" hidden="1">{#N/A,#N/A,FALSE,"Umsatz 99";#N/A,#N/A,FALSE,"ER 99 "}</definedName>
    <definedName name="aeleven_5" localSheetId="3" hidden="1">{#N/A,#N/A,FALSE,"Umsatz 99";#N/A,#N/A,FALSE,"ER 99 "}</definedName>
    <definedName name="aeleven_5" hidden="1">{#N/A,#N/A,FALSE,"Umsatz 99";#N/A,#N/A,FALSE,"ER 99 "}</definedName>
    <definedName name="aeleven_5_1" localSheetId="3" hidden="1">{#N/A,#N/A,FALSE,"Umsatz 99";#N/A,#N/A,FALSE,"ER 99 "}</definedName>
    <definedName name="aeleven_5_1" hidden="1">{#N/A,#N/A,FALSE,"Umsatz 99";#N/A,#N/A,FALSE,"ER 99 "}</definedName>
    <definedName name="aeleven_5_2" localSheetId="3" hidden="1">{#N/A,#N/A,FALSE,"Umsatz 99";#N/A,#N/A,FALSE,"ER 99 "}</definedName>
    <definedName name="aeleven_5_2" hidden="1">{#N/A,#N/A,FALSE,"Umsatz 99";#N/A,#N/A,FALSE,"ER 99 "}</definedName>
    <definedName name="aeleven_5_3" localSheetId="3" hidden="1">{#N/A,#N/A,FALSE,"Umsatz 99";#N/A,#N/A,FALSE,"ER 99 "}</definedName>
    <definedName name="aeleven_5_3" hidden="1">{#N/A,#N/A,FALSE,"Umsatz 99";#N/A,#N/A,FALSE,"ER 99 "}</definedName>
    <definedName name="aeleven_5_4" localSheetId="3" hidden="1">{#N/A,#N/A,FALSE,"Umsatz 99";#N/A,#N/A,FALSE,"ER 99 "}</definedName>
    <definedName name="aeleven_5_4" hidden="1">{#N/A,#N/A,FALSE,"Umsatz 99";#N/A,#N/A,FALSE,"ER 99 "}</definedName>
    <definedName name="aeleven_5_5" localSheetId="3" hidden="1">{#N/A,#N/A,FALSE,"Umsatz 99";#N/A,#N/A,FALSE,"ER 99 "}</definedName>
    <definedName name="aeleven_5_5" hidden="1">{#N/A,#N/A,FALSE,"Umsatz 99";#N/A,#N/A,FALSE,"ER 99 "}</definedName>
    <definedName name="aer" localSheetId="3" hidden="1">{#N/A,#N/A,FALSE,"EW"}</definedName>
    <definedName name="aer" hidden="1">{#N/A,#N/A,FALSE,"EW"}</definedName>
    <definedName name="aererer" localSheetId="3">{0}</definedName>
    <definedName name="aererer">{0}</definedName>
    <definedName name="AERGTE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localSheetId="3" hidden="1">{#N/A,"PURCHM",FALSE,"Business Analysis";#N/A,"SPADD",FALSE,"Business Analysis"}</definedName>
    <definedName name="aew" hidden="1">{#N/A,"PURCHM",FALSE,"Business Analysis";#N/A,"SPADD",FALSE,"Business Analysis"}</definedName>
    <definedName name="aewe" localSheetId="3" hidden="1">{"Def Tax Long",#N/A,TRUE,"Financials";"Def Tax Short",#N/A,TRUE,"Financials";"Cons Tax Sched",#N/A,TRUE,"Financials"}</definedName>
    <definedName name="aewe" hidden="1">{"Def Tax Long",#N/A,TRUE,"Financials";"Def Tax Short",#N/A,TRUE,"Financials";"Cons Tax Sched",#N/A,TRUE,"Financials"}</definedName>
    <definedName name="aewfr" localSheetId="3" hidden="1">{"histincome",#N/A,FALSE,"hyfins";"closing balance",#N/A,FALSE,"hyfins"}</definedName>
    <definedName name="aewfr" hidden="1">{"histincome",#N/A,FALSE,"hyfins";"closing balance",#N/A,FALSE,"hyfins"}</definedName>
    <definedName name="aewfwe" localSheetId="3" hidden="1">{#N/A,#N/A,FALSE,"Brad_DCFM";#N/A,#N/A,FALSE,"Nick_DCFM";#N/A,#N/A,FALSE,"Mobile_DCFM"}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localSheetId="3" hidden="1">{#N/A,#N/A,FALSE,"Aging Summary";#N/A,#N/A,FALSE,"Ratio Analysis";#N/A,#N/A,FALSE,"Test 120 Day Accts";#N/A,#N/A,FALSE,"Tickmarks"}</definedName>
    <definedName name="afasd" hidden="1">{#N/A,#N/A,FALSE,"Aging Summary";#N/A,#N/A,FALSE,"Ratio Analysis";#N/A,#N/A,FALSE,"Test 120 Day Accts";#N/A,#N/A,FALSE,"Tickmarks"}</definedName>
    <definedName name="afasdkasd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localSheetId="3" hidden="1">{"detail",#N/A,FALSE,"mfg";"summary",#N/A,FALSE,"mfg"}</definedName>
    <definedName name="afc" hidden="1">{"detail",#N/A,FALSE,"mfg";"summary",#N/A,FALSE,"mfg"}</definedName>
    <definedName name="af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localSheetId="3" hidden="1">{#N/A,#N/A,FALSE,"REPORT"}</definedName>
    <definedName name="AFDADSFDAS" hidden="1">{#N/A,#N/A,FALSE,"REPORT"}</definedName>
    <definedName name="AFDADSFDAS_1" localSheetId="3" hidden="1">{#N/A,#N/A,FALSE,"REPORT"}</definedName>
    <definedName name="AFDADSFDAS_1" hidden="1">{#N/A,#N/A,FALSE,"REPORT"}</definedName>
    <definedName name="AFDADSFDAS_2" localSheetId="3" hidden="1">{#N/A,#N/A,FALSE,"REPORT"}</definedName>
    <definedName name="AFDADSFDAS_2" hidden="1">{#N/A,#N/A,FALSE,"REPORT"}</definedName>
    <definedName name="AFDADSFDAS_3" localSheetId="3" hidden="1">{#N/A,#N/A,FALSE,"REPORT"}</definedName>
    <definedName name="AFDADSFDAS_3" hidden="1">{#N/A,#N/A,FALSE,"REPORT"}</definedName>
    <definedName name="AFDADSFDAS_4" localSheetId="3" hidden="1">{#N/A,#N/A,FALSE,"REPORT"}</definedName>
    <definedName name="AFDADSFDAS_4" hidden="1">{#N/A,#N/A,FALSE,"REPORT"}</definedName>
    <definedName name="afdas" localSheetId="3" hidden="1">{"Rev and Exp",#N/A,TRUE,"Financials";"Working Capital",#N/A,TRUE,"Financials"}</definedName>
    <definedName name="afdas" hidden="1">{"Rev and Exp",#N/A,TRUE,"Financials";"Working Capital",#N/A,TRUE,"Financials"}</definedName>
    <definedName name="afds" localSheetId="3" hidden="1">{"YTD",#N/A,FALSE,"SUM"}</definedName>
    <definedName name="afds" hidden="1">{"YTD",#N/A,FALSE,"SUM"}</definedName>
    <definedName name="AFDSOJFAOS" localSheetId="3" hidden="1">{#N/A,#N/A,FALSE,"ALM-ASISC"}</definedName>
    <definedName name="AFDSOJFAOS" hidden="1">{#N/A,#N/A,FALSE,"ALM-ASISC"}</definedName>
    <definedName name="AFEE">#REF!</definedName>
    <definedName name="AFR" localSheetId="4" hidden="1">{#N/A,#N/A,FALSE,"שכר מרכז"}</definedName>
    <definedName name="AFR" localSheetId="3" hidden="1">{#N/A,#N/A,FALSE,"שכר מרכז"}</definedName>
    <definedName name="AFR" hidden="1">{#N/A,#N/A,FALSE,"שכר מרכז"}</definedName>
    <definedName name="Africa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localSheetId="3" hidden="1">{#N/A,#N/A,FALSE,"CNS";#N/A,#N/A,FALSE,"Serz";#N/A,#N/A,FALSE,"Ace"}</definedName>
    <definedName name="africa_1" hidden="1">{#N/A,#N/A,FALSE,"CNS";#N/A,#N/A,FALSE,"Serz";#N/A,#N/A,FALSE,"Ace"}</definedName>
    <definedName name="africa_2" localSheetId="3" hidden="1">{#N/A,#N/A,FALSE,"CNS";#N/A,#N/A,FALSE,"Serz";#N/A,#N/A,FALSE,"Ace"}</definedName>
    <definedName name="africa_2" hidden="1">{#N/A,#N/A,FALSE,"CNS";#N/A,#N/A,FALSE,"Serz";#N/A,#N/A,FALSE,"Ace"}</definedName>
    <definedName name="africa_3" localSheetId="3" hidden="1">{#N/A,#N/A,FALSE,"CNS";#N/A,#N/A,FALSE,"Serz";#N/A,#N/A,FALSE,"Ace"}</definedName>
    <definedName name="africa_3" hidden="1">{#N/A,#N/A,FALSE,"CNS";#N/A,#N/A,FALSE,"Serz";#N/A,#N/A,FALSE,"Ace"}</definedName>
    <definedName name="africa_4" localSheetId="3" hidden="1">{#N/A,#N/A,FALSE,"CNS";#N/A,#N/A,FALSE,"Serz";#N/A,#N/A,FALSE,"Ace"}</definedName>
    <definedName name="africa_4" hidden="1">{#N/A,#N/A,FALSE,"CNS";#N/A,#N/A,FALSE,"Serz";#N/A,#N/A,FALSE,"Ace"}</definedName>
    <definedName name="AFSDF" localSheetId="3" hidden="1">{#N/A,#N/A,FALSE,"PMTABB";#N/A,#N/A,FALSE,"PMTABB"}</definedName>
    <definedName name="AFSDF" hidden="1">{#N/A,#N/A,FALSE,"PMTABB";#N/A,#N/A,FALSE,"PMTABB"}</definedName>
    <definedName name="AFSDFSDFDG" localSheetId="3" hidden="1">{#N/A,#N/A,FALSE,"Aging Summary";#N/A,#N/A,FALSE,"Ratio Analysis";#N/A,#N/A,FALSE,"Test 120 Day Accts";#N/A,#N/A,FALSE,"Tickmarks"}</definedName>
    <definedName name="AFSDFSDFDG" hidden="1">{#N/A,#N/A,FALSE,"Aging Summary";#N/A,#N/A,FALSE,"Ratio Analysis";#N/A,#N/A,FALSE,"Test 120 Day Accts";#N/A,#N/A,FALSE,"Tickmarks"}</definedName>
    <definedName name="afsdrt" localSheetId="3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localSheetId="3" hidden="1">{#N/A,#N/A,FALSE,"EW"}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localSheetId="3" hidden="1">{#N/A,#N/A,FALSE,"REPORT"}</definedName>
    <definedName name="agafdhsdh" hidden="1">{#N/A,#N/A,FALSE,"REPORT"}</definedName>
    <definedName name="agafdhsdh_1" localSheetId="3" hidden="1">{#N/A,#N/A,FALSE,"REPORT"}</definedName>
    <definedName name="agafdhsdh_1" hidden="1">{#N/A,#N/A,FALSE,"REPORT"}</definedName>
    <definedName name="agafdhsdh_2" localSheetId="3" hidden="1">{#N/A,#N/A,FALSE,"REPORT"}</definedName>
    <definedName name="agafdhsdh_2" hidden="1">{#N/A,#N/A,FALSE,"REPORT"}</definedName>
    <definedName name="agafdhsdh_3" localSheetId="3" hidden="1">{#N/A,#N/A,FALSE,"REPORT"}</definedName>
    <definedName name="agafdhsdh_3" hidden="1">{#N/A,#N/A,FALSE,"REPORT"}</definedName>
    <definedName name="agafdhsdh_4" localSheetId="3" hidden="1">{#N/A,#N/A,FALSE,"REPORT"}</definedName>
    <definedName name="agafdhsdh_4" hidden="1">{#N/A,#N/A,FALSE,"REPORT"}</definedName>
    <definedName name="agagadsg" localSheetId="3" hidden="1">{#N/A,#N/A,FALSE,"Aging Summary";#N/A,#N/A,FALSE,"Ratio Analysis";#N/A,#N/A,FALSE,"Test 120 Day Accts";#N/A,#N/A,FALSE,"Tickmarks"}</definedName>
    <definedName name="agagadsg" hidden="1">{#N/A,#N/A,FALSE,"Aging Summary";#N/A,#N/A,FALSE,"Ratio Analysis";#N/A,#N/A,FALSE,"Test 120 Day Accts";#N/A,#N/A,FALSE,"Tickmarks"}</definedName>
    <definedName name="agcd22" localSheetId="3" hidden="1">{#N/A,"PURCHM",FALSE,"Business Analysis";#N/A,"SPADD",FALSE,"Business Analysis"}</definedName>
    <definedName name="agcd22" hidden="1">{#N/A,"PURCHM",FALSE,"Business Analysis";#N/A,"SPADD",FALSE,"Business Analysis"}</definedName>
    <definedName name="agcd22bd" localSheetId="3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 localSheetId="3">{"'1098trans'!$A$10:$F$64","'1098trans'!$A$65:$A$66","'1098trans'!$A$67:$D$69","'1098trans'!$A$64:$F$69"}</definedName>
    <definedName name="aghe">{"'1098trans'!$A$10:$F$64","'1098trans'!$A$65:$A$66","'1098trans'!$A$67:$D$69","'1098trans'!$A$64:$F$69"}</definedName>
    <definedName name="aghe1" localSheetId="3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localSheetId="3" hidden="1">{#N/A,#N/A,FALSE,"Aging Summary";#N/A,#N/A,FALSE,"Ratio Analysis";#N/A,#N/A,FALSE,"Test 120 Day Accts";#N/A,#N/A,FALSE,"Tickmarks"}</definedName>
    <definedName name="agng" hidden="1">{#N/A,#N/A,FALSE,"Aging Summary";#N/A,#N/A,FALSE,"Ratio Analysis";#N/A,#N/A,FALSE,"Test 120 Day Accts";#N/A,#N/A,FALSE,"Tickmarks"}</definedName>
    <definedName name="agng_1" localSheetId="3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localSheetId="3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localSheetId="3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localSheetId="3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localSheetId="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localSheetId="3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localSheetId="3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localSheetId="3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localSheetId="3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localSheetId="3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localSheetId="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localSheetId="3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localSheetId="3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localSheetId="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localSheetId="3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localSheetId="3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localSheetId="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localSheetId="3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localSheetId="3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localSheetId="3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localSheetId="3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localSheetId="3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localSheetId="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localSheetId="3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localSheetId="3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localSheetId="3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localSheetId="3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localSheetId="3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localSheetId="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localSheetId="3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localSheetId="3" hidden="1">{#N/A,#N/A,FALSE,"Pharm";#N/A,#N/A,FALSE,"WWCM"}</definedName>
    <definedName name="agsgaghgfj" hidden="1">{#N/A,#N/A,FALSE,"Pharm";#N/A,#N/A,FALSE,"WWCM"}</definedName>
    <definedName name="agsgaghgfj_1" localSheetId="3" hidden="1">{#N/A,#N/A,FALSE,"Pharm";#N/A,#N/A,FALSE,"WWCM"}</definedName>
    <definedName name="agsgaghgfj_1" hidden="1">{#N/A,#N/A,FALSE,"Pharm";#N/A,#N/A,FALSE,"WWCM"}</definedName>
    <definedName name="agsgaghgfj_2" localSheetId="3" hidden="1">{#N/A,#N/A,FALSE,"Pharm";#N/A,#N/A,FALSE,"WWCM"}</definedName>
    <definedName name="agsgaghgfj_2" hidden="1">{#N/A,#N/A,FALSE,"Pharm";#N/A,#N/A,FALSE,"WWCM"}</definedName>
    <definedName name="agsgaghgfj_3" localSheetId="3" hidden="1">{#N/A,#N/A,FALSE,"Pharm";#N/A,#N/A,FALSE,"WWCM"}</definedName>
    <definedName name="agsgaghgfj_3" hidden="1">{#N/A,#N/A,FALSE,"Pharm";#N/A,#N/A,FALSE,"WWCM"}</definedName>
    <definedName name="agsgaghgfj_4" localSheetId="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localSheetId="3" hidden="1">{"'Server Configuration'!$A$1:$DB$281"}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 localSheetId="3">{"'1098trans'!$A$10:$F$64","'1098trans'!$A$65:$A$66","'1098trans'!$A$67:$D$69","'1098trans'!$A$64:$F$69"}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localSheetId="3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localSheetId="3" hidden="1">{#N/A,#N/A,FALSE,"ALM-ASISC"}</definedName>
    <definedName name="akdkd" hidden="1">{#N/A,#N/A,FALSE,"ALM-ASISC"}</definedName>
    <definedName name="akl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localSheetId="3" hidden="1">{#N/A,#N/A,FALSE,"REPORT"}</definedName>
    <definedName name="alex" hidden="1">{#N/A,#N/A,FALSE,"REPORT"}</definedName>
    <definedName name="alex_1" localSheetId="3" hidden="1">{#N/A,#N/A,FALSE,"REPORT"}</definedName>
    <definedName name="alex_1" hidden="1">{#N/A,#N/A,FALSE,"REPORT"}</definedName>
    <definedName name="alex_2" localSheetId="3" hidden="1">{#N/A,#N/A,FALSE,"REPORT"}</definedName>
    <definedName name="alex_2" hidden="1">{#N/A,#N/A,FALSE,"REPORT"}</definedName>
    <definedName name="alex_3" localSheetId="3" hidden="1">{#N/A,#N/A,FALSE,"REPORT"}</definedName>
    <definedName name="alex_3" hidden="1">{#N/A,#N/A,FALSE,"REPORT"}</definedName>
    <definedName name="alex_4" localSheetId="3" hidden="1">{#N/A,#N/A,FALSE,"REPORT"}</definedName>
    <definedName name="alex_4" hidden="1">{#N/A,#N/A,FALSE,"REPORT"}</definedName>
    <definedName name="alexan" localSheetId="3" hidden="1">{#N/A,#N/A,FALSE,"REPORT"}</definedName>
    <definedName name="alexan" hidden="1">{#N/A,#N/A,FALSE,"REPORT"}</definedName>
    <definedName name="alexan_1" localSheetId="3" hidden="1">{#N/A,#N/A,FALSE,"REPORT"}</definedName>
    <definedName name="alexan_1" hidden="1">{#N/A,#N/A,FALSE,"REPORT"}</definedName>
    <definedName name="alexan_2" localSheetId="3" hidden="1">{#N/A,#N/A,FALSE,"REPORT"}</definedName>
    <definedName name="alexan_2" hidden="1">{#N/A,#N/A,FALSE,"REPORT"}</definedName>
    <definedName name="alexan_3" localSheetId="3" hidden="1">{#N/A,#N/A,FALSE,"REPORT"}</definedName>
    <definedName name="alexan_3" hidden="1">{#N/A,#N/A,FALSE,"REPORT"}</definedName>
    <definedName name="alexan_4" localSheetId="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localSheetId="3" hidden="1">{#N/A,#N/A,FALSE,"Produkte Erw.";#N/A,#N/A,FALSE,"Produkte Plan";#N/A,#N/A,FALSE,"Leistungen Erw.";#N/A,#N/A,FALSE,"Leistungen Plan";#N/A,#N/A,FALSE,"KA Allg.Kosten (2)";#N/A,#N/A,FALSE,"KA All.Kosten"}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localSheetId="3" hidden="1">{"summary",#N/A,FALSE,"2000 vs 1999";"detail",#N/A,FALSE,"2000 vs 1999"}</definedName>
    <definedName name="allo" hidden="1">{"summary",#N/A,FALSE,"2000 vs 1999";"detail",#N/A,FALSE,"2000 vs 1999"}</definedName>
    <definedName name="ALLOC">#REF!</definedName>
    <definedName name="ALLOCATION">#REF!</definedName>
    <definedName name="Allowance" localSheetId="3" hidden="1">{"'Trend_Total'!$A$7:$V$10","'Trend_Total'!$A$1:$V$4"}</definedName>
    <definedName name="Allowance" hidden="1">{"'Trend_Total'!$A$7:$V$10","'Trend_Total'!$A$1:$V$4"}</definedName>
    <definedName name="AllTables" localSheetId="3">{1}</definedName>
    <definedName name="AllTables">{1}</definedName>
    <definedName name="alpha">#REF!</definedName>
    <definedName name="Altamont_workarea">#REF!</definedName>
    <definedName name="alyson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lyson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localSheetId="3" hidden="1">{"Balance Sheet",#N/A,FALSE,"Balsheet";"Assets Schedule",#N/A,FALSE,"Balsheet";"Abstract",#N/A,FALSE,"Balsheet"}</definedName>
    <definedName name="amit" hidden="1">{"Balance Sheet",#N/A,FALSE,"Balsheet";"Assets Schedule",#N/A,FALSE,"Balsheet";"Abstract",#N/A,FALSE,"Balsheet"}</definedName>
    <definedName name="AMN">[49]אמן!#REF!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localSheetId="3" hidden="1">{"Performance Details",#N/A,FALSE,"Current Yr";"Performance Details",#N/A,FALSE,"Budget";"Performance Details",#N/A,FALSE,"Prior Year"}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localSheetId="3" hidden="1">{#N/A,#N/A,TRUE,"96ANALYS"}</definedName>
    <definedName name="analysis01_act" hidden="1">{#N/A,#N/A,TRUE,"96ANALYS"}</definedName>
    <definedName name="ANALYSIS12_act" localSheetId="3" hidden="1">{#N/A,#N/A,TRUE,"96ANALYS"}</definedName>
    <definedName name="ANALYSIS12_act" hidden="1">{#N/A,#N/A,TRUE,"96ANALYS"}</definedName>
    <definedName name="Analyst">#REF!</definedName>
    <definedName name="and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localSheetId="3" hidden="1">{#N/A,#N/A,FALSE,"REPORT"}</definedName>
    <definedName name="andy" hidden="1">{#N/A,#N/A,FALSE,"REPORT"}</definedName>
    <definedName name="andy_1" localSheetId="3" hidden="1">{#N/A,#N/A,FALSE,"REPORT"}</definedName>
    <definedName name="andy_1" hidden="1">{#N/A,#N/A,FALSE,"REPORT"}</definedName>
    <definedName name="andy_2" localSheetId="3" hidden="1">{#N/A,#N/A,FALSE,"REPORT"}</definedName>
    <definedName name="andy_2" hidden="1">{#N/A,#N/A,FALSE,"REPORT"}</definedName>
    <definedName name="andy_3" localSheetId="3" hidden="1">{#N/A,#N/A,FALSE,"REPORT"}</definedName>
    <definedName name="andy_3" hidden="1">{#N/A,#N/A,FALSE,"REPORT"}</definedName>
    <definedName name="andy_4" localSheetId="3" hidden="1">{#N/A,#N/A,FALSE,"REPORT"}</definedName>
    <definedName name="andy_4" hidden="1">{#N/A,#N/A,FALSE,"REPORT"}</definedName>
    <definedName name="ANI">#REF!</definedName>
    <definedName name="Anju" localSheetId="3" hidden="1">{"'IG3Q99'!$A$306:$I$356"}</definedName>
    <definedName name="Anju" hidden="1">{"'IG3Q99'!$A$306:$I$356"}</definedName>
    <definedName name="ann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 localSheetId="4">'[50]Rev Summery'!#REF!</definedName>
    <definedName name="annex1">#REF!</definedName>
    <definedName name="annex2" localSheetId="4">'[50]Rev Summery'!#REF!</definedName>
    <definedName name="annex2">#REF!</definedName>
    <definedName name="ANNEXA">#REF!</definedName>
    <definedName name="AnnoucementDate">#REF!</definedName>
    <definedName name="Annual_1" localSheetId="3" hidden="1">{"standalone1",#N/A,FALSE,"DCFBase";"standalone2",#N/A,FALSE,"DCFBase"}</definedName>
    <definedName name="Annual_1" hidden="1">{"standalone1",#N/A,FALSE,"DCFBase";"standalone2",#N/A,FALSE,"DCFBase"}</definedName>
    <definedName name="Annual_1_1" localSheetId="3" hidden="1">{"standalone1",#N/A,FALSE,"DCFBase";"standalone2",#N/A,FALSE,"DCFBase"}</definedName>
    <definedName name="Annual_1_1" hidden="1">{"standalone1",#N/A,FALSE,"DCFBase";"standalone2",#N/A,FALSE,"DCFBase"}</definedName>
    <definedName name="Annual_1_2" localSheetId="3" hidden="1">{"standalone1",#N/A,FALSE,"DCFBase";"standalone2",#N/A,FALSE,"DCFBase"}</definedName>
    <definedName name="Annual_1_2" hidden="1">{"standalone1",#N/A,FALSE,"DCFBase";"standalone2",#N/A,FALSE,"DCFBase"}</definedName>
    <definedName name="Annual_1_3" localSheetId="3" hidden="1">{"standalone1",#N/A,FALSE,"DCFBase";"standalone2",#N/A,FALSE,"DCFBase"}</definedName>
    <definedName name="Annual_1_3" hidden="1">{"standalone1",#N/A,FALSE,"DCFBase";"standalone2",#N/A,FALSE,"DCFBase"}</definedName>
    <definedName name="Annual_1_4" localSheetId="3" hidden="1">{"standalone1",#N/A,FALSE,"DCFBase";"standalone2",#N/A,FALSE,"DCFBase"}</definedName>
    <definedName name="Annual_1_4" hidden="1">{"standalone1",#N/A,FALSE,"DCFBase";"standalone2",#N/A,FALSE,"DCFBase"}</definedName>
    <definedName name="Annual_1_5" localSheetId="3" hidden="1">{"standalone1",#N/A,FALSE,"DCFBase";"standalone2",#N/A,FALSE,"DCFBase"}</definedName>
    <definedName name="Annual_1_5" hidden="1">{"standalone1",#N/A,FALSE,"DCFBase";"standalone2",#N/A,FALSE,"DCFBase"}</definedName>
    <definedName name="Annual_2" localSheetId="3" hidden="1">{"standalone1",#N/A,FALSE,"DCFBase";"standalone2",#N/A,FALSE,"DCFBase"}</definedName>
    <definedName name="Annual_2" hidden="1">{"standalone1",#N/A,FALSE,"DCFBase";"standalone2",#N/A,FALSE,"DCFBase"}</definedName>
    <definedName name="Annual_2_1" localSheetId="3" hidden="1">{"standalone1",#N/A,FALSE,"DCFBase";"standalone2",#N/A,FALSE,"DCFBase"}</definedName>
    <definedName name="Annual_2_1" hidden="1">{"standalone1",#N/A,FALSE,"DCFBase";"standalone2",#N/A,FALSE,"DCFBase"}</definedName>
    <definedName name="Annual_2_2" localSheetId="3" hidden="1">{"standalone1",#N/A,FALSE,"DCFBase";"standalone2",#N/A,FALSE,"DCFBase"}</definedName>
    <definedName name="Annual_2_2" hidden="1">{"standalone1",#N/A,FALSE,"DCFBase";"standalone2",#N/A,FALSE,"DCFBase"}</definedName>
    <definedName name="Annual_2_3" localSheetId="3" hidden="1">{"standalone1",#N/A,FALSE,"DCFBase";"standalone2",#N/A,FALSE,"DCFBase"}</definedName>
    <definedName name="Annual_2_3" hidden="1">{"standalone1",#N/A,FALSE,"DCFBase";"standalone2",#N/A,FALSE,"DCFBase"}</definedName>
    <definedName name="Annual_2_4" localSheetId="3" hidden="1">{"standalone1",#N/A,FALSE,"DCFBase";"standalone2",#N/A,FALSE,"DCFBase"}</definedName>
    <definedName name="Annual_2_4" hidden="1">{"standalone1",#N/A,FALSE,"DCFBase";"standalone2",#N/A,FALSE,"DCFBase"}</definedName>
    <definedName name="Annual_2_5" localSheetId="3" hidden="1">{"standalone1",#N/A,FALSE,"DCFBase";"standalone2",#N/A,FALSE,"DCFBase"}</definedName>
    <definedName name="Annual_2_5" hidden="1">{"standalone1",#N/A,FALSE,"DCFBase";"standalone2",#N/A,FALSE,"DCFBase"}</definedName>
    <definedName name="Annual_3" localSheetId="3" hidden="1">{"standalone1",#N/A,FALSE,"DCFBase";"standalone2",#N/A,FALSE,"DCFBase"}</definedName>
    <definedName name="Annual_3" hidden="1">{"standalone1",#N/A,FALSE,"DCFBase";"standalone2",#N/A,FALSE,"DCFBase"}</definedName>
    <definedName name="Annual_3_1" localSheetId="3" hidden="1">{"standalone1",#N/A,FALSE,"DCFBase";"standalone2",#N/A,FALSE,"DCFBase"}</definedName>
    <definedName name="Annual_3_1" hidden="1">{"standalone1",#N/A,FALSE,"DCFBase";"standalone2",#N/A,FALSE,"DCFBase"}</definedName>
    <definedName name="Annual_3_2" localSheetId="3" hidden="1">{"standalone1",#N/A,FALSE,"DCFBase";"standalone2",#N/A,FALSE,"DCFBase"}</definedName>
    <definedName name="Annual_3_2" hidden="1">{"standalone1",#N/A,FALSE,"DCFBase";"standalone2",#N/A,FALSE,"DCFBase"}</definedName>
    <definedName name="Annual_3_3" localSheetId="3" hidden="1">{"standalone1",#N/A,FALSE,"DCFBase";"standalone2",#N/A,FALSE,"DCFBase"}</definedName>
    <definedName name="Annual_3_3" hidden="1">{"standalone1",#N/A,FALSE,"DCFBase";"standalone2",#N/A,FALSE,"DCFBase"}</definedName>
    <definedName name="Annual_3_4" localSheetId="3" hidden="1">{"standalone1",#N/A,FALSE,"DCFBase";"standalone2",#N/A,FALSE,"DCFBase"}</definedName>
    <definedName name="Annual_3_4" hidden="1">{"standalone1",#N/A,FALSE,"DCFBase";"standalone2",#N/A,FALSE,"DCFBase"}</definedName>
    <definedName name="Annual_3_5" localSheetId="3" hidden="1">{"standalone1",#N/A,FALSE,"DCFBase";"standalone2",#N/A,FALSE,"DCFBase"}</definedName>
    <definedName name="Annual_3_5" hidden="1">{"standalone1",#N/A,FALSE,"DCFBase";"standalone2",#N/A,FALSE,"DCFBase"}</definedName>
    <definedName name="Annual_4" localSheetId="3" hidden="1">{"standalone1",#N/A,FALSE,"DCFBase";"standalone2",#N/A,FALSE,"DCFBase"}</definedName>
    <definedName name="Annual_4" hidden="1">{"standalone1",#N/A,FALSE,"DCFBase";"standalone2",#N/A,FALSE,"DCFBase"}</definedName>
    <definedName name="Annual_4_1" localSheetId="3" hidden="1">{"standalone1",#N/A,FALSE,"DCFBase";"standalone2",#N/A,FALSE,"DCFBase"}</definedName>
    <definedName name="Annual_4_1" hidden="1">{"standalone1",#N/A,FALSE,"DCFBase";"standalone2",#N/A,FALSE,"DCFBase"}</definedName>
    <definedName name="Annual_4_2" localSheetId="3" hidden="1">{"standalone1",#N/A,FALSE,"DCFBase";"standalone2",#N/A,FALSE,"DCFBase"}</definedName>
    <definedName name="Annual_4_2" hidden="1">{"standalone1",#N/A,FALSE,"DCFBase";"standalone2",#N/A,FALSE,"DCFBase"}</definedName>
    <definedName name="Annual_4_3" localSheetId="3" hidden="1">{"standalone1",#N/A,FALSE,"DCFBase";"standalone2",#N/A,FALSE,"DCFBase"}</definedName>
    <definedName name="Annual_4_3" hidden="1">{"standalone1",#N/A,FALSE,"DCFBase";"standalone2",#N/A,FALSE,"DCFBase"}</definedName>
    <definedName name="Annual_4_4" localSheetId="3" hidden="1">{"standalone1",#N/A,FALSE,"DCFBase";"standalone2",#N/A,FALSE,"DCFBase"}</definedName>
    <definedName name="Annual_4_4" hidden="1">{"standalone1",#N/A,FALSE,"DCFBase";"standalone2",#N/A,FALSE,"DCFBase"}</definedName>
    <definedName name="Annual_4_5" localSheetId="3" hidden="1">{"standalone1",#N/A,FALSE,"DCFBase";"standalone2",#N/A,FALSE,"DCFBase"}</definedName>
    <definedName name="Annual_4_5" hidden="1">{"standalone1",#N/A,FALSE,"DCFBase";"standalone2",#N/A,FALSE,"DCFBase"}</definedName>
    <definedName name="Annual_5" localSheetId="3" hidden="1">{"standalone1",#N/A,FALSE,"DCFBase";"standalone2",#N/A,FALSE,"DCFBase"}</definedName>
    <definedName name="Annual_5" hidden="1">{"standalone1",#N/A,FALSE,"DCFBase";"standalone2",#N/A,FALSE,"DCFBase"}</definedName>
    <definedName name="Annual_5_1" localSheetId="3" hidden="1">{"standalone1",#N/A,FALSE,"DCFBase";"standalone2",#N/A,FALSE,"DCFBase"}</definedName>
    <definedName name="Annual_5_1" hidden="1">{"standalone1",#N/A,FALSE,"DCFBase";"standalone2",#N/A,FALSE,"DCFBase"}</definedName>
    <definedName name="Annual_5_2" localSheetId="3" hidden="1">{"standalone1",#N/A,FALSE,"DCFBase";"standalone2",#N/A,FALSE,"DCFBase"}</definedName>
    <definedName name="Annual_5_2" hidden="1">{"standalone1",#N/A,FALSE,"DCFBase";"standalone2",#N/A,FALSE,"DCFBase"}</definedName>
    <definedName name="Annual_5_3" localSheetId="3" hidden="1">{"standalone1",#N/A,FALSE,"DCFBase";"standalone2",#N/A,FALSE,"DCFBase"}</definedName>
    <definedName name="Annual_5_3" hidden="1">{"standalone1",#N/A,FALSE,"DCFBase";"standalone2",#N/A,FALSE,"DCFBase"}</definedName>
    <definedName name="Annual_5_4" localSheetId="3" hidden="1">{"standalone1",#N/A,FALSE,"DCFBase";"standalone2",#N/A,FALSE,"DCFBase"}</definedName>
    <definedName name="Annual_5_4" hidden="1">{"standalone1",#N/A,FALSE,"DCFBase";"standalone2",#N/A,FALSE,"DCFBase"}</definedName>
    <definedName name="Annual_5_5" localSheetId="3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 localSheetId="4" hidden="1">1</definedName>
    <definedName name="anscount">2</definedName>
    <definedName name="anything" localSheetId="3" hidden="1">{#N/A,#N/A,FALSE,"Output";#N/A,#N/A,FALSE,"Cover Sheet";#N/A,#N/A,FALSE,"Current Mkt. Projections"}</definedName>
    <definedName name="anything" hidden="1">{#N/A,#N/A,FALSE,"Output";#N/A,#N/A,FALSE,"Cover Sheet";#N/A,#N/A,FALSE,"Current Mkt. Projections"}</definedName>
    <definedName name="ao" hidden="1">#REF!</definedName>
    <definedName name="äöäö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localSheetId="3" hidden="1">{"","","'Curves'!$E$55","'Curves'!$F$55","","","","","",""}</definedName>
    <definedName name="AOC" hidden="1">{"","","'Curves'!$E$55","'Curves'!$F$55","","","","","",""}</definedName>
    <definedName name="aomnc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 localSheetId="3">{"'1098trans'!$A$10:$F$64","'1098trans'!$A$65:$A$66","'1098trans'!$A$67:$D$69","'1098trans'!$A$64:$F$69"}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 localSheetId="4">'[43]P&amp;L Breakdown'!#REF!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 localSheetId="4">'[43]P&amp;L Breakdown'!$L:$L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localSheetId="3" hidden="1">{#N/A,#N/A,FALSE,"Status of Projects";#N/A,#N/A,FALSE,"CEA-TEC";#N/A,#N/A,FALSE,"U-Constr.";#N/A,#N/A,FALSE,"summary";#N/A,#N/A,FALSE,"PPP-3 yrs"}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localSheetId="4" hidden="1">[51]TC!$H$7:$H$15</definedName>
    <definedName name="ARAnew" hidden="1">#REF!</definedName>
    <definedName name="Product_Training">'[48]GL-PC'!#REF!</definedName>
    <definedName name="Product_Training_Subscription Revenue">'[48]GL-PC'!#REF!</definedName>
    <definedName name="ProductO_Royalty">#REF!</definedName>
    <definedName name="are" localSheetId="3" hidden="1">{#N/A,#N/A,FALSE,"Sheet1"}</definedName>
    <definedName name="are" hidden="1">{#N/A,#N/A,FALSE,"Sheet1"}</definedName>
    <definedName name="ares" localSheetId="3">{"DCF","UPSIDE CASE",FALSE,"Sheet1";"DCF","BASE CASE",FALSE,"Sheet1";"DCF","DOWNSIDE CASE",FALSE,"Sheet1"}</definedName>
    <definedName name="ares">{"DCF","UPSIDE CASE",FALSE,"Sheet1";"DCF","BASE CASE",FALSE,"Sheet1";"DCF","DOWNSIDE CASE",FALSE,"Sheet1"}</definedName>
    <definedName name="argqe" localSheetId="3" hidden="1">{#N/A,#N/A,FALSE,"puboff";#N/A,#N/A,FALSE,"financials";#N/A,#N/A,FALSE,"valuation";#N/A,#N/A,FALSE,"split"}</definedName>
    <definedName name="argqe" hidden="1">{#N/A,#N/A,FALSE,"puboff";#N/A,#N/A,FALSE,"financials";#N/A,#N/A,FALSE,"valuation";#N/A,#N/A,FALSE,"split"}</definedName>
    <definedName name="ARM" localSheetId="3" hidden="1">{#N/A,#N/A,FALSE,"Trading-Mult ";#N/A,#N/A,FALSE,"Trading-Cap";#N/A,#N/A,FALSE,"Trading-Inc";#N/A,#N/A,FALSE,"Cash Flow";#N/A,#N/A,FALSE,"M&amp;A info"}</definedName>
    <definedName name="ARM" hidden="1">{#N/A,#N/A,FALSE,"Trading-Mult ";#N/A,#N/A,FALSE,"Trading-Cap";#N/A,#N/A,FALSE,"Trading-Inc";#N/A,#N/A,FALSE,"Cash Flow";#N/A,#N/A,FALSE,"M&amp;A info"}</definedName>
    <definedName name="ArmaPPA" localSheetId="4" hidden="1">{#N/A,#N/A,FALSE,"Sheet8";#N/A,#N/A,FALSE,"Sheet7"}</definedName>
    <definedName name="ArmaPPA" localSheetId="3" hidden="1">{#N/A,#N/A,FALSE,"Sheet8";#N/A,#N/A,FALSE,"Sheet7"}</definedName>
    <definedName name="ArmaPPA" hidden="1">{#N/A,#N/A,FALSE,"Sheet8";#N/A,#N/A,FALSE,"Sheet7"}</definedName>
    <definedName name="ARN" localSheetId="3" hidden="1">{"GAAP Deprec",#N/A,TRUE,"Financials";"Tax Deprec",#N/A,TRUE,"Financials"}</definedName>
    <definedName name="ARN" hidden="1">{"GAAP Deprec",#N/A,TRUE,"Financials";"Tax Deprec",#N/A,TRUE,"Financials"}</definedName>
    <definedName name="ARP_Threshold">#REF!</definedName>
    <definedName name="ARPU" localSheetId="3" hidden="1">{"FCB_ALL",#N/A,FALSE,"FCB"}</definedName>
    <definedName name="ARPU" hidden="1">{"FCB_ALL",#N/A,FALSE,"FCB"}</definedName>
    <definedName name="arrCyDates" localSheetId="4" hidden="1">{38718,38749,38777,38808,38838,38869,38899,38930,38961,38991,39022,39052}</definedName>
    <definedName name="arrCyDates" localSheetId="3" hidden="1">{38718,38749,38777,38808,38838,38869,38899,38930,38961,38991,39022,39052}</definedName>
    <definedName name="arrCyDates" hidden="1">{38718,38749,38777,38808,38838,38869,38899,38930,38961,38991,39022,39052}</definedName>
    <definedName name="ARroll" localSheetId="4" hidden="1">{"print 1.6",#N/A,FALSE,"Sheet1";"print 2.6",#N/A,FALSE,"Sheet1";"print 3.6",#N/A,FALSE,"Sheet1";"print 4.6",#N/A,FALSE,"Sheet1";"print 5.6",#N/A,FALSE,"Sheet1";"print 6.6",#N/A,FALSE,"Sheet1"}</definedName>
    <definedName name="ARroll" localSheetId="3" hidden="1">{"print 1.6",#N/A,FALSE,"Sheet1";"print 2.6",#N/A,FALSE,"Sheet1";"print 3.6",#N/A,FALSE,"Sheet1";"print 4.6",#N/A,FALSE,"Sheet1";"print 5.6",#N/A,FALSE,"Sheet1";"print 6.6",#N/A,FALSE,"Sheet1"}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localSheetId="4" hidden="1">{"print 1.6",#N/A,FALSE,"Sheet1";"print 2.6",#N/A,FALSE,"Sheet1";"print 3.6",#N/A,FALSE,"Sheet1";"print 4.6",#N/A,FALSE,"Sheet1";"print 5.6",#N/A,FALSE,"Sheet1";"print 6.6",#N/A,FALSE,"Sheet1"}</definedName>
    <definedName name="ARroll_1" localSheetId="3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localSheetId="4" hidden="1">{38353,38384,38412,38443,38473,38504,38534,38565,38596,38626,38657,38687}</definedName>
    <definedName name="arrPyDates" localSheetId="3" hidden="1">{38353,38384,38412,38443,38473,38504,38534,38565,38596,38626,38657,38687}</definedName>
    <definedName name="arrPyDates" hidden="1">{38353,38384,38412,38443,38473,38504,38534,38565,38596,38626,38657,38687}</definedName>
    <definedName name="arsdf" localSheetId="3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4">'[52]COGS Q-1 2005'!#REF!</definedName>
    <definedName name="AS">#REF!</definedName>
    <definedName name="as\" localSheetId="3" hidden="1">{"'PS-SOTM'!$A$1","'PS-SOTM'!$A$2:$M$30","'PS-SOTM'!$A$31:$A$38"}</definedName>
    <definedName name="as\" hidden="1">{"'PS-SOTM'!$A$1","'PS-SOTM'!$A$2:$M$30","'PS-SOTM'!$A$31:$A$38"}</definedName>
    <definedName name="as_1" localSheetId="4" hidden="1">{"Outflow 1",#N/A,FALSE,"Outflows-Inflows";"Outflow 2",#N/A,FALSE,"Outflows-Inflows";"Inflow 1",#N/A,FALSE,"Outflows-Inflows";"Inflow 2",#N/A,FALSE,"Outflows-Inflows"}</definedName>
    <definedName name="as_1" localSheetId="3" hidden="1">{"Outflow 1",#N/A,FALSE,"Outflows-Inflows";"Outflow 2",#N/A,FALSE,"Outflows-Inflows";"Inflow 1",#N/A,FALSE,"Outflows-Inflows";"Inflow 2",#N/A,FALSE,"Outflows-Inflows"}</definedName>
    <definedName name="as_1" hidden="1">{"Outflow 1",#N/A,FALSE,"Outflows-Inflows";"Outflow 2",#N/A,FALSE,"Outflows-Inflows";"Inflow 1",#N/A,FALSE,"Outflows-Inflows";"Inflow 2",#N/A,FALSE,"Outflows-Inflows"}</definedName>
    <definedName name="AS_2" localSheetId="3" hidden="1">{#N/A,#N/A,FALSE,"Pharm";#N/A,#N/A,FALSE,"WWCM"}</definedName>
    <definedName name="AS_2" hidden="1">{#N/A,#N/A,FALSE,"Pharm";#N/A,#N/A,FALSE,"WWCM"}</definedName>
    <definedName name="AS_3" localSheetId="3" hidden="1">{#N/A,#N/A,FALSE,"Pharm";#N/A,#N/A,FALSE,"WWCM"}</definedName>
    <definedName name="AS_3" hidden="1">{#N/A,#N/A,FALSE,"Pharm";#N/A,#N/A,FALSE,"WWCM"}</definedName>
    <definedName name="AS_4" localSheetId="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 localSheetId="4" hidden="1">#REF!</definedName>
    <definedName name="asa" localSheetId="3">{"'NPCGUIDELINES'!$A$1:$J$41"}</definedName>
    <definedName name="asa">{"'NPCGUIDELINES'!$A$1:$J$41"}</definedName>
    <definedName name="asaawqw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localSheetId="3" hidden="1">{#N/A,#N/A,FALSE,"Pharm";#N/A,#N/A,FALSE,"WWCM"}</definedName>
    <definedName name="asas" hidden="1">{#N/A,#N/A,FALSE,"Pharm";#N/A,#N/A,FALSE,"WWCM"}</definedName>
    <definedName name="asas_1" localSheetId="3" hidden="1">{#N/A,#N/A,FALSE,"Pharm";#N/A,#N/A,FALSE,"WWCM"}</definedName>
    <definedName name="asas_1" hidden="1">{#N/A,#N/A,FALSE,"Pharm";#N/A,#N/A,FALSE,"WWCM"}</definedName>
    <definedName name="asas_2" localSheetId="3" hidden="1">{#N/A,#N/A,FALSE,"Pharm";#N/A,#N/A,FALSE,"WWCM"}</definedName>
    <definedName name="asas_2" hidden="1">{#N/A,#N/A,FALSE,"Pharm";#N/A,#N/A,FALSE,"WWCM"}</definedName>
    <definedName name="asas_3" localSheetId="3" hidden="1">{#N/A,#N/A,FALSE,"Pharm";#N/A,#N/A,FALSE,"WWCM"}</definedName>
    <definedName name="asas_3" hidden="1">{#N/A,#N/A,FALSE,"Pharm";#N/A,#N/A,FALSE,"WWCM"}</definedName>
    <definedName name="asas_4" localSheetId="3" hidden="1">{#N/A,#N/A,FALSE,"Pharm";#N/A,#N/A,FALSE,"WWCM"}</definedName>
    <definedName name="asas_4" hidden="1">{#N/A,#N/A,FALSE,"Pharm";#N/A,#N/A,FALSE,"WWCM"}</definedName>
    <definedName name="asasasasas" localSheetId="3" hidden="1">{"PR1","pr1",TRUE,"Sch PR-1"}</definedName>
    <definedName name="asasasasas" hidden="1">{"PR1","pr1",TRUE,"Sch PR-1"}</definedName>
    <definedName name="asd" localSheetId="4">#REF!,#REF!,#REF!,#REF!,#REF!,#REF!</definedName>
    <definedName name="asd" hidden="1">#REF!</definedName>
    <definedName name="asd_1" localSheetId="3" hidden="1">{#N/A,#N/A,FALSE,"Pharm";#N/A,#N/A,FALSE,"WWCM"}</definedName>
    <definedName name="asd_1" hidden="1">{#N/A,#N/A,FALSE,"Pharm";#N/A,#N/A,FALSE,"WWCM"}</definedName>
    <definedName name="asd_2" localSheetId="3" hidden="1">{#N/A,#N/A,FALSE,"Pharm";#N/A,#N/A,FALSE,"WWCM"}</definedName>
    <definedName name="asd_2" hidden="1">{#N/A,#N/A,FALSE,"Pharm";#N/A,#N/A,FALSE,"WWCM"}</definedName>
    <definedName name="asd_3" localSheetId="3" hidden="1">{#N/A,#N/A,FALSE,"Pharm";#N/A,#N/A,FALSE,"WWCM"}</definedName>
    <definedName name="asd_3" hidden="1">{#N/A,#N/A,FALSE,"Pharm";#N/A,#N/A,FALSE,"WWCM"}</definedName>
    <definedName name="asd_4" localSheetId="3" hidden="1">{#N/A,#N/A,FALSE,"Pharm";#N/A,#N/A,FALSE,"WWCM"}</definedName>
    <definedName name="asd_4" hidden="1">{#N/A,#N/A,FALSE,"Pharm";#N/A,#N/A,FALSE,"WWCM"}</definedName>
    <definedName name="asd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3">Sheet1</definedName>
    <definedName name="asdasd">Sheet1</definedName>
    <definedName name="asdasdada" localSheetId="3" hidden="1">{#N/A,#N/A,FALSE,"PGW"}</definedName>
    <definedName name="asdasdada" hidden="1">{#N/A,#N/A,FALSE,"PGW"}</definedName>
    <definedName name="asdasdasdasd" localSheetId="3" hidden="1">{#N/A,#N/A,FALSE,"OSBL"}</definedName>
    <definedName name="asdasdasdasd" hidden="1">{#N/A,#N/A,FALSE,"OSBL"}</definedName>
    <definedName name="asdasdla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localSheetId="3" hidden="1">{#N/A,#N/A,FALSE,"ALM-ASISC"}</definedName>
    <definedName name="ASDDDDFFFFFGFGF" hidden="1">{#N/A,#N/A,FALSE,"ALM-ASISC"}</definedName>
    <definedName name="asdf" localSheetId="4" hidden="1">{"Balance Sheet",#N/A,FALSE,"Consolidated"}</definedName>
    <definedName name="asdf" localSheetId="3" hidden="1">{"Balance Sheet",#N/A,FALSE,"Consolidated"}</definedName>
    <definedName name="asdf" hidden="1">{"Balance Sheet",#N/A,FALSE,"Consolidated"}</definedName>
    <definedName name="asdf2" localSheetId="4" hidden="1">{"Balance Sheet",#N/A,FALSE,"Consolidated"}</definedName>
    <definedName name="asdf2" localSheetId="3" hidden="1">{"Balance Sheet",#N/A,FALSE,"Consolidated"}</definedName>
    <definedName name="asdf2" hidden="1">{"Balance Sheet",#N/A,FALSE,"Consolidated"}</definedName>
    <definedName name="asdfadg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localSheetId="4" hidden="1">{"print 1.6",#N/A,FALSE,"Sheet1";"print 2.6",#N/A,FALSE,"Sheet1";"print 3.6",#N/A,FALSE,"Sheet1";"print 4.6",#N/A,FALSE,"Sheet1";"print 5.6",#N/A,FALSE,"Sheet1";"print 6.6",#N/A,FALSE,"Sheet1"}</definedName>
    <definedName name="asdfas" localSheetId="3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localSheetId="4" hidden="1">{"print 1.6",#N/A,FALSE,"Sheet1";"print 2.6",#N/A,FALSE,"Sheet1";"print 3.6",#N/A,FALSE,"Sheet1";"print 4.6",#N/A,FALSE,"Sheet1";"print 5.6",#N/A,FALSE,"Sheet1";"print 6.6",#N/A,FALSE,"Sheet1"}</definedName>
    <definedName name="asdfas_1" localSheetId="3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localSheetId="4" hidden="1">{"print 1.6",#N/A,FALSE,"Sheet1";"print 2.6",#N/A,FALSE,"Sheet1";"print 3.6",#N/A,FALSE,"Sheet1";"print 4.6",#N/A,FALSE,"Sheet1";"print 5.6",#N/A,FALSE,"Sheet1";"print 6.6",#N/A,FALSE,"Sheet1"}</definedName>
    <definedName name="asdfasaa" localSheetId="3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localSheetId="4" hidden="1">{"print 1.6",#N/A,FALSE,"Sheet1";"print 2.6",#N/A,FALSE,"Sheet1";"print 3.6",#N/A,FALSE,"Sheet1";"print 4.6",#N/A,FALSE,"Sheet1";"print 5.6",#N/A,FALSE,"Sheet1";"print 6.6",#N/A,FALSE,"Sheet1"}</definedName>
    <definedName name="asdfasaa_1" localSheetId="3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localSheetId="3" hidden="1">{"IS",#N/A,FALSE,"IS";"RPTIS",#N/A,FALSE,"RPTIS";"STATS",#N/A,FALSE,"STATS";"CELL",#N/A,FALSE,"CELL";"BS",#N/A,FALSE,"BS"}</definedName>
    <definedName name="asdfasd_1" hidden="1">{"IS",#N/A,FALSE,"IS";"RPTIS",#N/A,FALSE,"RPTIS";"STATS",#N/A,FALSE,"STATS";"CELL",#N/A,FALSE,"CELL";"BS",#N/A,FALSE,"BS"}</definedName>
    <definedName name="asdfasd_1_1" localSheetId="3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localSheetId="3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localSheetId="3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localSheetId="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localSheetId="3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localSheetId="3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localSheetId="3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localSheetId="3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localSheetId="3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localSheetId="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localSheetId="3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localSheetId="3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localSheetId="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localSheetId="3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localSheetId="3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localSheetId="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localSheetId="3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localSheetId="3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localSheetId="3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localSheetId="3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localSheetId="3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localSheetId="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localSheetId="3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localSheetId="3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localSheetId="3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localSheetId="3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localSheetId="3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localSheetId="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localSheetId="3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localSheetId="4" hidden="1">{"rtn",#N/A,FALSE,"RTN";"tables",#N/A,FALSE,"RTN";"cf",#N/A,FALSE,"CF";"stats",#N/A,FALSE,"Stats";"prop",#N/A,FALSE,"Prop"}</definedName>
    <definedName name="asdfasdf_1" localSheetId="3" hidden="1">{"rtn",#N/A,FALSE,"RTN";"tables",#N/A,FALSE,"RTN";"cf",#N/A,FALSE,"CF";"stats",#N/A,FALSE,"Stats";"prop",#N/A,FALSE,"Prop"}</definedName>
    <definedName name="asdfasdf_1" hidden="1">{"rtn",#N/A,FALSE,"RTN";"tables",#N/A,FALSE,"RTN";"cf",#N/A,FALSE,"CF";"stats",#N/A,FALSE,"Stats";"prop",#N/A,FALSE,"Prop"}</definedName>
    <definedName name="asdfasdfasdf" localSheetId="3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localSheetId="3" hidden="1">{#N/A,#N/A,FALSE,"Monthly"}</definedName>
    <definedName name="asdfasdfasdfasdf" hidden="1">{#N/A,#N/A,FALSE,"Monthly"}</definedName>
    <definedName name="asdfast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localSheetId="3" hidden="1">{"GTI monthly IS",#N/A,FALSE,"gti";#N/A,#N/A,FALSE,"gti"}</definedName>
    <definedName name="asdff" hidden="1">{"GTI monthly IS",#N/A,FALSE,"gti";#N/A,#N/A,FALSE,"gti"}</definedName>
    <definedName name="asdfg" localSheetId="3" hidden="1">{#N/A,#N/A,FALSE,"Pharm";#N/A,#N/A,FALSE,"WWCM"}</definedName>
    <definedName name="asdfg" hidden="1">{#N/A,#N/A,FALSE,"Pharm";#N/A,#N/A,FALSE,"WWCM"}</definedName>
    <definedName name="asdfg_1" localSheetId="3" hidden="1">{#N/A,#N/A,FALSE,"Pharm";#N/A,#N/A,FALSE,"WWCM"}</definedName>
    <definedName name="asdfg_1" hidden="1">{#N/A,#N/A,FALSE,"Pharm";#N/A,#N/A,FALSE,"WWCM"}</definedName>
    <definedName name="asdfg_2" localSheetId="3" hidden="1">{#N/A,#N/A,FALSE,"Pharm";#N/A,#N/A,FALSE,"WWCM"}</definedName>
    <definedName name="asdfg_2" hidden="1">{#N/A,#N/A,FALSE,"Pharm";#N/A,#N/A,FALSE,"WWCM"}</definedName>
    <definedName name="asdfg_3" localSheetId="3" hidden="1">{#N/A,#N/A,FALSE,"Pharm";#N/A,#N/A,FALSE,"WWCM"}</definedName>
    <definedName name="asdfg_3" hidden="1">{#N/A,#N/A,FALSE,"Pharm";#N/A,#N/A,FALSE,"WWCM"}</definedName>
    <definedName name="asdfg_4" localSheetId="3" hidden="1">{#N/A,#N/A,FALSE,"Pharm";#N/A,#N/A,FALSE,"WWCM"}</definedName>
    <definedName name="asdfg_4" hidden="1">{#N/A,#N/A,FALSE,"Pharm";#N/A,#N/A,FALSE,"WWCM"}</definedName>
    <definedName name="asdfghjk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localSheetId="3" hidden="1">{"bs",#N/A,FALSE,"SCF"}</definedName>
    <definedName name="asdfjkl" hidden="1">{"bs",#N/A,FALSE,"SCF"}</definedName>
    <definedName name="asdfkasdf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localSheetId="3" hidden="1">{#N/A,#N/A,FALSE,"Monthly"}</definedName>
    <definedName name="asdfsdfsd" hidden="1">{#N/A,#N/A,FALSE,"Monthly"}</definedName>
    <definedName name="asdfsdlsd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localSheetId="3" hidden="1">{#N/A,#N/A,FALSE,"REPORT"}</definedName>
    <definedName name="asdgahdfhth" hidden="1">{#N/A,#N/A,FALSE,"REPORT"}</definedName>
    <definedName name="asdgahdfhth_1" localSheetId="3" hidden="1">{#N/A,#N/A,FALSE,"REPORT"}</definedName>
    <definedName name="asdgahdfhth_1" hidden="1">{#N/A,#N/A,FALSE,"REPORT"}</definedName>
    <definedName name="asdgahdfhth_2" localSheetId="3" hidden="1">{#N/A,#N/A,FALSE,"REPORT"}</definedName>
    <definedName name="asdgahdfhth_2" hidden="1">{#N/A,#N/A,FALSE,"REPORT"}</definedName>
    <definedName name="asdgahdfhth_3" localSheetId="3" hidden="1">{#N/A,#N/A,FALSE,"REPORT"}</definedName>
    <definedName name="asdgahdfhth_3" hidden="1">{#N/A,#N/A,FALSE,"REPORT"}</definedName>
    <definedName name="asdgahdfhth_4" localSheetId="3" hidden="1">{#N/A,#N/A,FALSE,"REPORT"}</definedName>
    <definedName name="asdgahdfhth_4" hidden="1">{#N/A,#N/A,FALSE,"REPORT"}</definedName>
    <definedName name="asdgayery" localSheetId="3" hidden="1">{#N/A,#N/A,FALSE,"Pharm";#N/A,#N/A,FALSE,"WWCM"}</definedName>
    <definedName name="asdgayery" hidden="1">{#N/A,#N/A,FALSE,"Pharm";#N/A,#N/A,FALSE,"WWCM"}</definedName>
    <definedName name="asdgayery_1" localSheetId="3" hidden="1">{#N/A,#N/A,FALSE,"Pharm";#N/A,#N/A,FALSE,"WWCM"}</definedName>
    <definedName name="asdgayery_1" hidden="1">{#N/A,#N/A,FALSE,"Pharm";#N/A,#N/A,FALSE,"WWCM"}</definedName>
    <definedName name="asdgayery_2" localSheetId="3" hidden="1">{#N/A,#N/A,FALSE,"Pharm";#N/A,#N/A,FALSE,"WWCM"}</definedName>
    <definedName name="asdgayery_2" hidden="1">{#N/A,#N/A,FALSE,"Pharm";#N/A,#N/A,FALSE,"WWCM"}</definedName>
    <definedName name="asdgayery_3" localSheetId="3" hidden="1">{#N/A,#N/A,FALSE,"Pharm";#N/A,#N/A,FALSE,"WWCM"}</definedName>
    <definedName name="asdgayery_3" hidden="1">{#N/A,#N/A,FALSE,"Pharm";#N/A,#N/A,FALSE,"WWCM"}</definedName>
    <definedName name="asdgayery_4" localSheetId="3" hidden="1">{#N/A,#N/A,FALSE,"Pharm";#N/A,#N/A,FALSE,"WWCM"}</definedName>
    <definedName name="asdgayery_4" hidden="1">{#N/A,#N/A,FALSE,"Pharm";#N/A,#N/A,FALSE,"WWCM"}</definedName>
    <definedName name="ASDGDSAGSFDGSDGSFG" localSheetId="3" hidden="1">{#N/A,#N/A,FALSE,"Aging Summary";#N/A,#N/A,FALSE,"Ratio Analysis";#N/A,#N/A,FALSE,"Test 120 Day Accts";#N/A,#N/A,FALSE,"Tickmarks"}</definedName>
    <definedName name="ASDGDSAGSFDGSDGSFG" hidden="1">{#N/A,#N/A,FALSE,"Aging Summary";#N/A,#N/A,FALSE,"Ratio Analysis";#N/A,#N/A,FALSE,"Test 120 Day Accts";#N/A,#N/A,FALSE,"Tickmarks"}</definedName>
    <definedName name="ASDGER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localSheetId="3" hidden="1">{#N/A,#N/A,FALSE,"REPORT"}</definedName>
    <definedName name="asdgfdytyet" hidden="1">{#N/A,#N/A,FALSE,"REPORT"}</definedName>
    <definedName name="asdgfdytyet_1" localSheetId="3" hidden="1">{#N/A,#N/A,FALSE,"REPORT"}</definedName>
    <definedName name="asdgfdytyet_1" hidden="1">{#N/A,#N/A,FALSE,"REPORT"}</definedName>
    <definedName name="asdgfdytyet_2" localSheetId="3" hidden="1">{#N/A,#N/A,FALSE,"REPORT"}</definedName>
    <definedName name="asdgfdytyet_2" hidden="1">{#N/A,#N/A,FALSE,"REPORT"}</definedName>
    <definedName name="asdgfdytyet_3" localSheetId="3" hidden="1">{#N/A,#N/A,FALSE,"REPORT"}</definedName>
    <definedName name="asdgfdytyet_3" hidden="1">{#N/A,#N/A,FALSE,"REPORT"}</definedName>
    <definedName name="asdgfdytyet_4" localSheetId="3" hidden="1">{#N/A,#N/A,FALSE,"REPORT"}</definedName>
    <definedName name="asdgfdytyet_4" hidden="1">{#N/A,#N/A,FALSE,"REPORT"}</definedName>
    <definedName name="asdgf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localSheetId="3" hidden="1">{#N/A,#N/A,FALSE,"REPORT"}</definedName>
    <definedName name="asdgtryukuio" hidden="1">{#N/A,#N/A,FALSE,"REPORT"}</definedName>
    <definedName name="asdgtryukuio_1" localSheetId="3" hidden="1">{#N/A,#N/A,FALSE,"REPORT"}</definedName>
    <definedName name="asdgtryukuio_1" hidden="1">{#N/A,#N/A,FALSE,"REPORT"}</definedName>
    <definedName name="asdgtryukuio_2" localSheetId="3" hidden="1">{#N/A,#N/A,FALSE,"REPORT"}</definedName>
    <definedName name="asdgtryukuio_2" hidden="1">{#N/A,#N/A,FALSE,"REPORT"}</definedName>
    <definedName name="asdgtryukuio_3" localSheetId="3" hidden="1">{#N/A,#N/A,FALSE,"REPORT"}</definedName>
    <definedName name="asdgtryukuio_3" hidden="1">{#N/A,#N/A,FALSE,"REPORT"}</definedName>
    <definedName name="asdgtryukuio_4" localSheetId="3" hidden="1">{#N/A,#N/A,FALSE,"REPORT"}</definedName>
    <definedName name="asdgtryukuio_4" hidden="1">{#N/A,#N/A,FALSE,"REPORT"}</definedName>
    <definedName name="asdh" localSheetId="4" hidden="1">{"client cfbs",#N/A,FALSE,"Client"}</definedName>
    <definedName name="asdh" localSheetId="3" hidden="1">{"client cfbs",#N/A,FALSE,"Client"}</definedName>
    <definedName name="asdh" hidden="1">{"client cfbs",#N/A,FALSE,"Client"}</definedName>
    <definedName name="asdjasldkfj" localSheetId="3" hidden="1">{#N/A,#N/A,FALSE,"PMTABB";#N/A,#N/A,FALSE,"PMTABB"}</definedName>
    <definedName name="asdjasldkfj" hidden="1">{#N/A,#N/A,FALSE,"PMTABB";#N/A,#N/A,FALSE,"PMTABB"}</definedName>
    <definedName name="asdjgkl" localSheetId="3" hidden="1">{#N/A,#N/A,FALSE,"Pharm";#N/A,#N/A,FALSE,"WWCM"}</definedName>
    <definedName name="asdjgkl" hidden="1">{#N/A,#N/A,FALSE,"Pharm";#N/A,#N/A,FALSE,"WWCM"}</definedName>
    <definedName name="asdjgkl_1" localSheetId="3" hidden="1">{#N/A,#N/A,FALSE,"Pharm";#N/A,#N/A,FALSE,"WWCM"}</definedName>
    <definedName name="asdjgkl_1" hidden="1">{#N/A,#N/A,FALSE,"Pharm";#N/A,#N/A,FALSE,"WWCM"}</definedName>
    <definedName name="asdjgkl_2" localSheetId="3" hidden="1">{#N/A,#N/A,FALSE,"Pharm";#N/A,#N/A,FALSE,"WWCM"}</definedName>
    <definedName name="asdjgkl_2" hidden="1">{#N/A,#N/A,FALSE,"Pharm";#N/A,#N/A,FALSE,"WWCM"}</definedName>
    <definedName name="asdjgkl_3" localSheetId="3" hidden="1">{#N/A,#N/A,FALSE,"Pharm";#N/A,#N/A,FALSE,"WWCM"}</definedName>
    <definedName name="asdjgkl_3" hidden="1">{#N/A,#N/A,FALSE,"Pharm";#N/A,#N/A,FALSE,"WWCM"}</definedName>
    <definedName name="asdjgkl_4" localSheetId="3" hidden="1">{#N/A,#N/A,FALSE,"Pharm";#N/A,#N/A,FALSE,"WWCM"}</definedName>
    <definedName name="asdjgkl_4" hidden="1">{#N/A,#N/A,FALSE,"Pharm";#N/A,#N/A,FALSE,"WWCM"}</definedName>
    <definedName name="asdkak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localSheetId="3" hidden="1">{#N/A,#N/A,FALSE,"ISBL"}</definedName>
    <definedName name="asdsar" hidden="1">{#N/A,#N/A,FALSE,"ISBL"}</definedName>
    <definedName name="asdsdf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localSheetId="3" hidden="1">{"Summary Schedule",#N/A,FALSE,"Sheet1";"Divisional Support",#N/A,FALSE,"Sheet2";"Corporate Support",#N/A,FALSE,"Sheet3"}</definedName>
    <definedName name="aserf" hidden="1">{"Summary Schedule",#N/A,FALSE,"Sheet1";"Divisional Support",#N/A,FALSE,"Sheet2";"Corporate Support",#N/A,FALSE,"Sheet3"}</definedName>
    <definedName name="asf" localSheetId="3" hidden="1">{"QTD",#N/A,FALSE,"SUM"}</definedName>
    <definedName name="asf" hidden="1">{"QTD",#N/A,FALSE,"SUM"}</definedName>
    <definedName name="asf." localSheetId="3">{"'All AERs-2000-2001'!$A$5:$K$39"}</definedName>
    <definedName name="asf.">{"'All AERs-2000-2001'!$A$5:$K$39"}</definedName>
    <definedName name="asfas" localSheetId="4" hidden="1">{0,0,"",0}</definedName>
    <definedName name="asfas" localSheetId="3">{0,0,"",0}</definedName>
    <definedName name="asfas">{0,0,"",0}</definedName>
    <definedName name="asfd" localSheetId="3" hidden="1">{"Exist Debt Amort",#N/A,TRUE,"Financials";"Intangible Amort",#N/A,TRUE,"Financials";"Proj Debt Amort",#N/A,TRUE,"Financials";"Proj Pfd Amort",#N/A,TRUE,"Financials"}</definedName>
    <definedName name="asfd" hidden="1">{"Exist Debt Amort",#N/A,TRUE,"Financials";"Intangible Amort",#N/A,TRUE,"Financials";"Proj Debt Amort",#N/A,TRUE,"Financials";"Proj Pfd Amort",#N/A,TRUE,"Financials"}</definedName>
    <definedName name="asffghujyki" localSheetId="3" hidden="1">{#N/A,#N/A,FALSE,"Pharm";#N/A,#N/A,FALSE,"WWCM"}</definedName>
    <definedName name="asffghujyki" hidden="1">{#N/A,#N/A,FALSE,"Pharm";#N/A,#N/A,FALSE,"WWCM"}</definedName>
    <definedName name="asffghujyki_1" localSheetId="3" hidden="1">{#N/A,#N/A,FALSE,"Pharm";#N/A,#N/A,FALSE,"WWCM"}</definedName>
    <definedName name="asffghujyki_1" hidden="1">{#N/A,#N/A,FALSE,"Pharm";#N/A,#N/A,FALSE,"WWCM"}</definedName>
    <definedName name="asffghujyki_2" localSheetId="3" hidden="1">{#N/A,#N/A,FALSE,"Pharm";#N/A,#N/A,FALSE,"WWCM"}</definedName>
    <definedName name="asffghujyki_2" hidden="1">{#N/A,#N/A,FALSE,"Pharm";#N/A,#N/A,FALSE,"WWCM"}</definedName>
    <definedName name="asffghujyki_3" localSheetId="3" hidden="1">{#N/A,#N/A,FALSE,"Pharm";#N/A,#N/A,FALSE,"WWCM"}</definedName>
    <definedName name="asffghujyki_3" hidden="1">{#N/A,#N/A,FALSE,"Pharm";#N/A,#N/A,FALSE,"WWCM"}</definedName>
    <definedName name="asffghujyki_4" localSheetId="3" hidden="1">{#N/A,#N/A,FALSE,"Pharm";#N/A,#N/A,FALSE,"WWCM"}</definedName>
    <definedName name="asffghujyki_4" hidden="1">{#N/A,#N/A,FALSE,"Pharm";#N/A,#N/A,FALSE,"WWCM"}</definedName>
    <definedName name="asfg" localSheetId="3" hidden="1">{#N/A,#N/A,FALSE,"Balance Sheet";#N/A,#N/A,FALSE,"Income Statement";#N/A,#N/A,FALSE,"Changes in Financial Position"}</definedName>
    <definedName name="asfg" hidden="1">{#N/A,#N/A,FALSE,"Balance Sheet";#N/A,#N/A,FALSE,"Income Statement";#N/A,#N/A,FALSE,"Changes in Financial Position"}</definedName>
    <definedName name="asgg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localSheetId="3" hidden="1">{#N/A,#N/A,FALSE,"Aging Summary";#N/A,#N/A,FALSE,"Ratio Analysis";#N/A,#N/A,FALSE,"Test 120 Day Accts";#N/A,#N/A,FALSE,"Tickmarks"}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askeo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localSheetId="3" hidden="1">{"Performance Details",#N/A,FALSE,"Current Yr";"Performance Details",#N/A,FALSE,"Budget";"Performance Details",#N/A,FALSE,"Prior Year"}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localSheetId="4" hidden="1">{#N/A,#N/A,FALSE,"cpt"}</definedName>
    <definedName name="ass.all" localSheetId="3" hidden="1">{#N/A,#N/A,FALSE,"cpt"}</definedName>
    <definedName name="ass.all" hidden="1">{#N/A,#N/A,FALSE,"cpt"}</definedName>
    <definedName name="ass_1" localSheetId="4" hidden="1">{"print 1.6",#N/A,FALSE,"Sheet1";"print 2.6",#N/A,FALSE,"Sheet1";"print 3.6",#N/A,FALSE,"Sheet1";"print 4.6",#N/A,FALSE,"Sheet1";"print 5.6",#N/A,FALSE,"Sheet1";"print 6.6",#N/A,FALSE,"Sheet1"}</definedName>
    <definedName name="ass_1" localSheetId="3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localSheetId="4" hidden="1">{#N/A,#N/A,FALSE,"cpt"}</definedName>
    <definedName name="ass2.all" localSheetId="3" hidden="1">{#N/A,#N/A,FALSE,"cpt"}</definedName>
    <definedName name="ass2.all" hidden="1">{#N/A,#N/A,FALSE,"cpt"}</definedName>
    <definedName name="ASSA" localSheetId="3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SA_1" localSheetId="3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localSheetId="3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localSheetId="3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localSheetId="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localSheetId="3" hidden="1">{"PR1","pr1",TRUE,"Sch PR-1"}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[53]data!$AZ$3:$AZ$6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localSheetId="4" hidden="1">{"rtn",#N/A,FALSE,"RTN";"tables",#N/A,FALSE,"RTN";"cf",#N/A,FALSE,"CF";"stats",#N/A,FALSE,"Stats";"prop",#N/A,FALSE,"Prop"}</definedName>
    <definedName name="asss" localSheetId="3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s_1" localSheetId="4" hidden="1">{"rtn",#N/A,FALSE,"RTN";"tables",#N/A,FALSE,"RTN";"cf",#N/A,FALSE,"CF";"stats",#N/A,FALSE,"Stats";"prop",#N/A,FALSE,"Prop"}</definedName>
    <definedName name="asss_1" localSheetId="3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localSheetId="3" hidden="1">{"Summary Schedule",#N/A,FALSE,"Sheet1";"Divisional Support",#N/A,FALSE,"Sheet2";"Corporate Support",#N/A,FALSE,"Sheet3"}</definedName>
    <definedName name="assssss" hidden="1">{"Summary Schedule",#N/A,FALSE,"Sheet1";"Divisional Support",#N/A,FALSE,"Sheet2";"Corporate Support",#N/A,FALSE,"Sheet3"}</definedName>
    <definedName name="assum">#REF!</definedName>
    <definedName name="AssumBS" localSheetId="4">'[54]Assumptions-Balance Sheet'!$E$12:$E$16,'[54]Assumptions-Balance Sheet'!$E$20:$E$30,'[54]Assumptions-Balance Sheet'!$E$33,'[54]Assumptions-Balance Sheet'!$E$38:$E$41,'[54]Assumptions-Balance Sheet'!$E$44,'[54]Assumptions-Balance Sheet'!$E$48:$E$50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localSheetId="3" hidden="1">{#N/A,#N/A,FALSE,"ALM-ASISC"}</definedName>
    <definedName name="ASSUMPTION" hidden="1">{#N/A,#N/A,FALSE,"ALM-ASISC"}</definedName>
    <definedName name="Assumption_usa">#REF!</definedName>
    <definedName name="ASSUMPTIONS">#REF!</definedName>
    <definedName name="Assumptions_2" localSheetId="3" hidden="1">{"'Form'!$A$2:$J$81"}</definedName>
    <definedName name="Assumptions_2" hidden="1">{"'Form'!$A$2:$J$81"}</definedName>
    <definedName name="Assumptions_Language">#REF!</definedName>
    <definedName name="Assumptios2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 localSheetId="4">[55]ATL!$A$1:$H$46,[55]ATL!$A$47:$H$87,[55]ATL!$A$89:$H$134</definedName>
    <definedName name="ATL">#REF!,#REF!,#REF!</definedName>
    <definedName name="ATPCORR_DLG_RESULTS" localSheetId="4" hidden="1">{2;#N/A;"R8C4:R8C18";#N/A;"R6C4:R6C18";#N/A;1;#N/A;#N/A;FALSE;#N/A;#N/A;#N/A}</definedName>
    <definedName name="ATPCORR_DLG_RESULTS" localSheetId="3" hidden="1">{2;#N/A;"R8C4:R8C18";#N/A;"R6C4:R6C18";#N/A;1;#N/A;#N/A;FALSE;#N/A;#N/A;#N/A}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 localSheetId="4">'[43]P&amp;L Breakdown'!$P:$P</definedName>
    <definedName name="AUG_BUD">#REF!</definedName>
    <definedName name="aug_detail">#REF!</definedName>
    <definedName name="AUG_TB_18" localSheetId="4">[43]TB!#REF!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localSheetId="3" hidden="1">{#N/A,#N/A,FALSE,"Sheet1"}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 localSheetId="4">'[56]General assumptions'!$B$6</definedName>
    <definedName name="Avarge_exchange_rate__2002">#REF!</definedName>
    <definedName name="avdd" localSheetId="3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 localSheetId="4">'[37]מדדים ושע"ח'!$E$18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 localSheetId="4">'[57]מאזן ורוו"ה'!$T$19</definedName>
    <definedName name="avgdlr12_94">#REF!</definedName>
    <definedName name="avgdlr12_95" localSheetId="4">'[58]מאזן ורוו"ה'!$T$18</definedName>
    <definedName name="avgdlr12_95">#REF!</definedName>
    <definedName name="avgdlr12_96">#REF!</definedName>
    <definedName name="avgdlr12_97">#REF!</definedName>
    <definedName name="avgdlr3_97">#REF!</definedName>
    <definedName name="avgdlr3_98" localSheetId="4">'[59]מאזן ורוו"ה'!#REF!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'[60]שע"ח'!$D$18</definedName>
    <definedName name="avgdolar1298">#REF!</definedName>
    <definedName name="AvgLife">#REF!</definedName>
    <definedName name="avgmdd12_94" localSheetId="4">'[58]מאזן ורוו"ה'!$S$19</definedName>
    <definedName name="avgmdd12_94">#REF!</definedName>
    <definedName name="avgmdd12_95" localSheetId="4">'[58]מאזן ורוו"ה'!$S$18</definedName>
    <definedName name="avgmdd12_95">#REF!</definedName>
    <definedName name="avgmdd12_96">#REF!</definedName>
    <definedName name="avgmdd12_97">#REF!</definedName>
    <definedName name="avgmdd3_97">#REF!</definedName>
    <definedName name="avgmdd3_98" localSheetId="4">'[58]מאזן ורוו"ה'!$S$14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localSheetId="3" hidden="1">{#N/A,#N/A,FALSE,"ISBL"}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localSheetId="3" hidden="1">{#N/A,#N/A,FALSE,"OSBL"}</definedName>
    <definedName name="aweaw3" hidden="1">{#N/A,#N/A,FALSE,"OSBL"}</definedName>
    <definedName name="aweax" hidden="1">#REF!</definedName>
    <definedName name="aweruio" localSheetId="3" hidden="1">{"bs",#N/A,FALSE,"SCF"}</definedName>
    <definedName name="aweruio" hidden="1">{"bs",#N/A,FALSE,"SCF"}</definedName>
    <definedName name="awq" localSheetId="3" hidden="1">{"YTD",#N/A,FALSE,"SUM"}</definedName>
    <definedName name="awq" hidden="1">{"YTD",#N/A,FALSE,"SUM"}</definedName>
    <definedName name="awqe" localSheetId="3" hidden="1">{"net assets",#N/A,FALSE,"summary";"asset turnover",#N/A,FALSE,"summary";"orona",#N/A,FALSE,"summary"}</definedName>
    <definedName name="awqe" hidden="1">{"net assets",#N/A,FALSE,"summary";"asset turnover",#N/A,FALSE,"summary";"orona",#N/A,FALSE,"summary"}</definedName>
    <definedName name="awqx" localSheetId="3" hidden="1">{"Comp_of_Price_Effect",#N/A,FALSE,"QTRDPVAR"}</definedName>
    <definedName name="awqx" hidden="1">{"Comp_of_Price_Effect",#N/A,FALSE,"QTRDPVAR"}</definedName>
    <definedName name="awrew" localSheetId="3">{"DCF","UPSIDE CASE",FALSE,"Sheet1";"DCF","BASE CASE",FALSE,"Sheet1";"DCF","DOWNSIDE CASE",FALSE,"Sheet1"}</definedName>
    <definedName name="awrew">{"DCF","UPSIDE CASE",FALSE,"Sheet1";"DCF","BASE CASE",FALSE,"Sheet1";"DCF","DOWNSIDE CASE",FALSE,"Sheet1"}</definedName>
    <definedName name="aws" localSheetId="3" hidden="1">{#N/A,#N/A,FALSE,"CMN_FE"}</definedName>
    <definedName name="aws" hidden="1">{#N/A,#N/A,FALSE,"CMN_FE"}</definedName>
    <definedName name="aw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 localSheetId="3">{"'NPCGUIDELINES'!$A$1:$J$41"}</definedName>
    <definedName name="awww">{"'NPCGUIDELINES'!$A$1:$J$41"}</definedName>
    <definedName name="ax" localSheetId="4">#N/A</definedName>
    <definedName name="ax" hidden="1">#REF!</definedName>
    <definedName name="AX_1" localSheetId="3" hidden="1">{#N/A,#N/A,FALSE,"Pharm";#N/A,#N/A,FALSE,"WWCM"}</definedName>
    <definedName name="AX_1" hidden="1">{#N/A,#N/A,FALSE,"Pharm";#N/A,#N/A,FALSE,"WWCM"}</definedName>
    <definedName name="AX_2" localSheetId="3" hidden="1">{#N/A,#N/A,FALSE,"Pharm";#N/A,#N/A,FALSE,"WWCM"}</definedName>
    <definedName name="AX_2" hidden="1">{#N/A,#N/A,FALSE,"Pharm";#N/A,#N/A,FALSE,"WWCM"}</definedName>
    <definedName name="AX_3" localSheetId="3" hidden="1">{#N/A,#N/A,FALSE,"Pharm";#N/A,#N/A,FALSE,"WWCM"}</definedName>
    <definedName name="AX_3" hidden="1">{#N/A,#N/A,FALSE,"Pharm";#N/A,#N/A,FALSE,"WWCM"}</definedName>
    <definedName name="AX_4" localSheetId="3" hidden="1">{#N/A,#N/A,FALSE,"Pharm";#N/A,#N/A,FALSE,"WWCM"}</definedName>
    <definedName name="AX_4" hidden="1">{#N/A,#N/A,FALSE,"Pharm";#N/A,#N/A,FALSE,"WWCM"}</definedName>
    <definedName name="axe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 localSheetId="3">'Company Name COGS+OPEX Build'!AxesFormat</definedName>
    <definedName name="AxesFormat">[0]!AxesFormat</definedName>
    <definedName name="axs" localSheetId="3" hidden="1">{"QTD",#N/A,FALSE,"SUM"}</definedName>
    <definedName name="axs" hidden="1">{"QTD",#N/A,FALSE,"SUM"}</definedName>
    <definedName name="axz" localSheetId="3" hidden="1">{#N/A,"PURCHM",FALSE,"Business Analysis";#N/A,"SPADD",FALSE,"Business Analysis"}</definedName>
    <definedName name="axz" hidden="1">{#N/A,"PURCHM",FALSE,"Business Analysis";#N/A,"SPADD",FALSE,"Business Analysis"}</definedName>
    <definedName name="ayman" localSheetId="3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_1" localSheetId="3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localSheetId="3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localSheetId="3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localSheetId="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localSheetId="3" hidden="1">{#N/A,#N/A,FALSE,"Pharm";#N/A,#N/A,FALSE,"WWCM"}</definedName>
    <definedName name="ayman1" hidden="1">{#N/A,#N/A,FALSE,"Pharm";#N/A,#N/A,FALSE,"WWCM"}</definedName>
    <definedName name="ayman1_1" localSheetId="3" hidden="1">{#N/A,#N/A,FALSE,"Pharm";#N/A,#N/A,FALSE,"WWCM"}</definedName>
    <definedName name="ayman1_1" hidden="1">{#N/A,#N/A,FALSE,"Pharm";#N/A,#N/A,FALSE,"WWCM"}</definedName>
    <definedName name="ayman1_2" localSheetId="3" hidden="1">{#N/A,#N/A,FALSE,"Pharm";#N/A,#N/A,FALSE,"WWCM"}</definedName>
    <definedName name="ayman1_2" hidden="1">{#N/A,#N/A,FALSE,"Pharm";#N/A,#N/A,FALSE,"WWCM"}</definedName>
    <definedName name="ayman1_3" localSheetId="3" hidden="1">{#N/A,#N/A,FALSE,"Pharm";#N/A,#N/A,FALSE,"WWCM"}</definedName>
    <definedName name="ayman1_3" hidden="1">{#N/A,#N/A,FALSE,"Pharm";#N/A,#N/A,FALSE,"WWCM"}</definedName>
    <definedName name="ayman1_4" localSheetId="3" hidden="1">{#N/A,#N/A,FALSE,"Pharm";#N/A,#N/A,FALSE,"WWCM"}</definedName>
    <definedName name="ayman1_4" hidden="1">{#N/A,#N/A,FALSE,"Pharm";#N/A,#N/A,FALSE,"WWCM"}</definedName>
    <definedName name="ayman2" localSheetId="3" hidden="1">{#N/A,#N/A,FALSE,"Pharm";#N/A,#N/A,FALSE,"WWCM"}</definedName>
    <definedName name="ayman2" hidden="1">{#N/A,#N/A,FALSE,"Pharm";#N/A,#N/A,FALSE,"WWCM"}</definedName>
    <definedName name="ayman2_1" localSheetId="3" hidden="1">{#N/A,#N/A,FALSE,"Pharm";#N/A,#N/A,FALSE,"WWCM"}</definedName>
    <definedName name="ayman2_1" hidden="1">{#N/A,#N/A,FALSE,"Pharm";#N/A,#N/A,FALSE,"WWCM"}</definedName>
    <definedName name="ayman2_2" localSheetId="3" hidden="1">{#N/A,#N/A,FALSE,"Pharm";#N/A,#N/A,FALSE,"WWCM"}</definedName>
    <definedName name="ayman2_2" hidden="1">{#N/A,#N/A,FALSE,"Pharm";#N/A,#N/A,FALSE,"WWCM"}</definedName>
    <definedName name="ayman2_3" localSheetId="3" hidden="1">{#N/A,#N/A,FALSE,"Pharm";#N/A,#N/A,FALSE,"WWCM"}</definedName>
    <definedName name="ayman2_3" hidden="1">{#N/A,#N/A,FALSE,"Pharm";#N/A,#N/A,FALSE,"WWCM"}</definedName>
    <definedName name="ayman2_4" localSheetId="3" hidden="1">{#N/A,#N/A,FALSE,"Pharm";#N/A,#N/A,FALSE,"WWCM"}</definedName>
    <definedName name="ayman2_4" hidden="1">{#N/A,#N/A,FALSE,"Pharm";#N/A,#N/A,FALSE,"WWCM"}</definedName>
    <definedName name="ayman7" localSheetId="3" hidden="1">{#N/A,#N/A,FALSE,"REPORT"}</definedName>
    <definedName name="ayman7" hidden="1">{#N/A,#N/A,FALSE,"REPORT"}</definedName>
    <definedName name="ayman7_1" localSheetId="3" hidden="1">{#N/A,#N/A,FALSE,"REPORT"}</definedName>
    <definedName name="ayman7_1" hidden="1">{#N/A,#N/A,FALSE,"REPORT"}</definedName>
    <definedName name="ayman7_2" localSheetId="3" hidden="1">{#N/A,#N/A,FALSE,"REPORT"}</definedName>
    <definedName name="ayman7_2" hidden="1">{#N/A,#N/A,FALSE,"REPORT"}</definedName>
    <definedName name="ayman7_3" localSheetId="3" hidden="1">{#N/A,#N/A,FALSE,"REPORT"}</definedName>
    <definedName name="ayman7_3" hidden="1">{#N/A,#N/A,FALSE,"REPORT"}</definedName>
    <definedName name="ayman7_4" localSheetId="3" hidden="1">{#N/A,#N/A,FALSE,"REPORT"}</definedName>
    <definedName name="ayman7_4" hidden="1">{#N/A,#N/A,FALSE,"REPORT"}</definedName>
    <definedName name="ayman8" localSheetId="3" hidden="1">{#N/A,#N/A,FALSE,"REPORT"}</definedName>
    <definedName name="ayman8" hidden="1">{#N/A,#N/A,FALSE,"REPORT"}</definedName>
    <definedName name="ayman8_1" localSheetId="3" hidden="1">{#N/A,#N/A,FALSE,"REPORT"}</definedName>
    <definedName name="ayman8_1" hidden="1">{#N/A,#N/A,FALSE,"REPORT"}</definedName>
    <definedName name="ayman8_2" localSheetId="3" hidden="1">{#N/A,#N/A,FALSE,"REPORT"}</definedName>
    <definedName name="ayman8_2" hidden="1">{#N/A,#N/A,FALSE,"REPORT"}</definedName>
    <definedName name="ayman8_3" localSheetId="3" hidden="1">{#N/A,#N/A,FALSE,"REPORT"}</definedName>
    <definedName name="ayman8_3" hidden="1">{#N/A,#N/A,FALSE,"REPORT"}</definedName>
    <definedName name="ayman8_4" localSheetId="3" hidden="1">{#N/A,#N/A,FALSE,"REPORT"}</definedName>
    <definedName name="ayman8_4" hidden="1">{#N/A,#N/A,FALSE,"REPORT"}</definedName>
    <definedName name="az" hidden="1">#REF!</definedName>
    <definedName name="az_1" localSheetId="3" hidden="1">{#N/A,#N/A,FALSE,"Pharm";#N/A,#N/A,FALSE,"WWCM"}</definedName>
    <definedName name="az_1" hidden="1">{#N/A,#N/A,FALSE,"Pharm";#N/A,#N/A,FALSE,"WWCM"}</definedName>
    <definedName name="az_2" localSheetId="3" hidden="1">{#N/A,#N/A,FALSE,"Pharm";#N/A,#N/A,FALSE,"WWCM"}</definedName>
    <definedName name="az_2" hidden="1">{#N/A,#N/A,FALSE,"Pharm";#N/A,#N/A,FALSE,"WWCM"}</definedName>
    <definedName name="az_3" localSheetId="3" hidden="1">{#N/A,#N/A,FALSE,"Pharm";#N/A,#N/A,FALSE,"WWCM"}</definedName>
    <definedName name="az_3" hidden="1">{#N/A,#N/A,FALSE,"Pharm";#N/A,#N/A,FALSE,"WWCM"}</definedName>
    <definedName name="az_4" localSheetId="3" hidden="1">{#N/A,#N/A,FALSE,"Pharm";#N/A,#N/A,FALSE,"WWCM"}</definedName>
    <definedName name="az_4" hidden="1">{#N/A,#N/A,FALSE,"Pharm";#N/A,#N/A,FALSE,"WWCM"}</definedName>
    <definedName name="azeazr" localSheetId="3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azr_1" localSheetId="3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localSheetId="3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localSheetId="3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localSheetId="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localSheetId="3" hidden="1">{#N/A,#N/A,FALSE,"Pharm";#N/A,#N/A,FALSE,"WWCM"}</definedName>
    <definedName name="azerety" hidden="1">{#N/A,#N/A,FALSE,"Pharm";#N/A,#N/A,FALSE,"WWCM"}</definedName>
    <definedName name="azerety_1" localSheetId="3" hidden="1">{#N/A,#N/A,FALSE,"Pharm";#N/A,#N/A,FALSE,"WWCM"}</definedName>
    <definedName name="azerety_1" hidden="1">{#N/A,#N/A,FALSE,"Pharm";#N/A,#N/A,FALSE,"WWCM"}</definedName>
    <definedName name="azerety_2" localSheetId="3" hidden="1">{#N/A,#N/A,FALSE,"Pharm";#N/A,#N/A,FALSE,"WWCM"}</definedName>
    <definedName name="azerety_2" hidden="1">{#N/A,#N/A,FALSE,"Pharm";#N/A,#N/A,FALSE,"WWCM"}</definedName>
    <definedName name="azerety_3" localSheetId="3" hidden="1">{#N/A,#N/A,FALSE,"Pharm";#N/A,#N/A,FALSE,"WWCM"}</definedName>
    <definedName name="azerety_3" hidden="1">{#N/A,#N/A,FALSE,"Pharm";#N/A,#N/A,FALSE,"WWCM"}</definedName>
    <definedName name="azerety_4" localSheetId="3" hidden="1">{#N/A,#N/A,FALSE,"Pharm";#N/A,#N/A,FALSE,"WWCM"}</definedName>
    <definedName name="azerety_4" hidden="1">{#N/A,#N/A,FALSE,"Pharm";#N/A,#N/A,FALSE,"WWCM"}</definedName>
    <definedName name="AZEZA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localSheetId="3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 localSheetId="4">#REF!</definedName>
    <definedName name="b" localSheetId="3">{"'2ND_QUAR'!$A$1:$P$106"}</definedName>
    <definedName name="b">{"'2ND_QUAR'!$A$1:$P$106"}</definedName>
    <definedName name="b.s" localSheetId="3" hidden="1">{"bs",#N/A,FALSE,"SCF"}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localSheetId="3" hidden="1">{#N/A,"PURCHM",FALSE,"Business Analysis";#N/A,"SPADD",FALSE,"Business Analysis"}</definedName>
    <definedName name="bacd1101bd" hidden="1">{#N/A,"PURCHM",FALSE,"Business Analysis";#N/A,"SPADD",FALSE,"Business Analysis"}</definedName>
    <definedName name="bacd31" localSheetId="3" hidden="1">{#N/A,"PURCHM",FALSE,"Business Analysis";#N/A,"SPADD",FALSE,"Business Analysis"}</definedName>
    <definedName name="bacd31" hidden="1">{#N/A,"PURCHM",FALSE,"Business Analysis";#N/A,"SPADD",FALSE,"Business Analysis"}</definedName>
    <definedName name="bacd31bd" localSheetId="3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 localSheetId="4">'[61]Sheet1 (2)'!$A$1:$D$61</definedName>
    <definedName name="BAL">#REF!</definedName>
    <definedName name="bal.sh" localSheetId="3" hidden="1">{"bs",#N/A,FALSE,"SCF"}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'[62]דוח מתכונת הגשה מאוחד'!$A$1:$M$37</definedName>
    <definedName name="Balance_Sheet">#REF!</definedName>
    <definedName name="balance_type">1</definedName>
    <definedName name="balances_01" localSheetId="4">'[63]general ledger'!$H$3:$H$248</definedName>
    <definedName name="balances_01">#REF!</definedName>
    <definedName name="balances_02">'[64]general ledger'!$M$4:$M$522</definedName>
    <definedName name="balances_03" localSheetId="4">'[63]general ledger'!$J$3:$J$248</definedName>
    <definedName name="balances_03">#REF!</definedName>
    <definedName name="balances_04" localSheetId="4">'[63]general ledger'!$K$3:$K$248</definedName>
    <definedName name="balances_04">#REF!</definedName>
    <definedName name="balances_05">'[63]general ledger'!$L$3:$L$248</definedName>
    <definedName name="balances_06">'[64]general ledger'!$Y$4:$Y$522</definedName>
    <definedName name="balances_07">'[64]general ledger'!$AB$4:$AB$522</definedName>
    <definedName name="balances_08">'[64]general ledger'!$AE$4:$AE$522</definedName>
    <definedName name="balances_09" localSheetId="4">'[64]general ledger'!$AH$4:$AH$522</definedName>
    <definedName name="balances_09">#REF!</definedName>
    <definedName name="balances_11">'[63]general ledger'!$R$3:$R$248</definedName>
    <definedName name="balances_12">'[63]general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localSheetId="3" hidden="1">{#N/A,#N/A,FALSE,"Umsatz 99";#N/A,#N/A,FALSE,"ER 99 "}</definedName>
    <definedName name="bb.gb._98" hidden="1">{#N/A,#N/A,FALSE,"Umsatz 99";#N/A,#N/A,FALSE,"ER 99 "}</definedName>
    <definedName name="bb.gb._99" localSheetId="3" hidden="1">{#N/A,#N/A,FALSE,"Umsatz 99";#N/A,#N/A,FALSE,"ER 99 "}</definedName>
    <definedName name="bb.gb._99" hidden="1">{#N/A,#N/A,FALSE,"Umsatz 99";#N/A,#N/A,FALSE,"ER 99 "}</definedName>
    <definedName name="bb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localSheetId="3" hidden="1">{#N/A,#N/A,FALSE,"Assessment";#N/A,#N/A,FALSE,"Staffing";#N/A,#N/A,FALSE,"Hires";#N/A,#N/A,FALSE,"Assumptions"}</definedName>
    <definedName name="bb_1_1" hidden="1">{#N/A,#N/A,FALSE,"Assessment";#N/A,#N/A,FALSE,"Staffing";#N/A,#N/A,FALSE,"Hires";#N/A,#N/A,FALSE,"Assumptions"}</definedName>
    <definedName name="bb_1_2" localSheetId="3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localSheetId="3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localSheetId="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localSheetId="3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localSheetId="3" hidden="1">{#N/A,#N/A,FALSE,"Assessment";#N/A,#N/A,FALSE,"Staffing";#N/A,#N/A,FALSE,"Hires";#N/A,#N/A,FALSE,"Assumptions"}</definedName>
    <definedName name="bb_2_1" hidden="1">{#N/A,#N/A,FALSE,"Assessment";#N/A,#N/A,FALSE,"Staffing";#N/A,#N/A,FALSE,"Hires";#N/A,#N/A,FALSE,"Assumptions"}</definedName>
    <definedName name="bb_2_2" localSheetId="3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localSheetId="3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localSheetId="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localSheetId="3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localSheetId="3" hidden="1">{#N/A,#N/A,FALSE,"Assessment";#N/A,#N/A,FALSE,"Staffing";#N/A,#N/A,FALSE,"Hires";#N/A,#N/A,FALSE,"Assumptions"}</definedName>
    <definedName name="bb_3_1" hidden="1">{#N/A,#N/A,FALSE,"Assessment";#N/A,#N/A,FALSE,"Staffing";#N/A,#N/A,FALSE,"Hires";#N/A,#N/A,FALSE,"Assumptions"}</definedName>
    <definedName name="bb_3_2" localSheetId="3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localSheetId="3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localSheetId="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localSheetId="3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localSheetId="3" hidden="1">{#N/A,#N/A,FALSE,"Assessment";#N/A,#N/A,FALSE,"Staffing";#N/A,#N/A,FALSE,"Hires";#N/A,#N/A,FALSE,"Assumptions"}</definedName>
    <definedName name="bb_4_1" hidden="1">{#N/A,#N/A,FALSE,"Assessment";#N/A,#N/A,FALSE,"Staffing";#N/A,#N/A,FALSE,"Hires";#N/A,#N/A,FALSE,"Assumptions"}</definedName>
    <definedName name="bb_4_2" localSheetId="3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localSheetId="3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localSheetId="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localSheetId="3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localSheetId="3" hidden="1">{#N/A,#N/A,FALSE,"Assessment";#N/A,#N/A,FALSE,"Staffing";#N/A,#N/A,FALSE,"Hires";#N/A,#N/A,FALSE,"Assumptions"}</definedName>
    <definedName name="bb_5_1" hidden="1">{#N/A,#N/A,FALSE,"Assessment";#N/A,#N/A,FALSE,"Staffing";#N/A,#N/A,FALSE,"Hires";#N/A,#N/A,FALSE,"Assumptions"}</definedName>
    <definedName name="bb_5_2" localSheetId="3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localSheetId="3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localSheetId="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localSheetId="3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 localSheetId="4">#REF!</definedName>
    <definedName name="bbb" localSheetId="3">'Company Name COGS+OPEX Build'!bbb</definedName>
    <definedName name="bbb">[0]!bbb</definedName>
    <definedName name="bbb_1" localSheetId="3" hidden="1">{"standalone1",#N/A,FALSE,"DCFBase";"standalone2",#N/A,FALSE,"DCFBase"}</definedName>
    <definedName name="bbb_1" hidden="1">{"standalone1",#N/A,FALSE,"DCFBase";"standalone2",#N/A,FALSE,"DCFBase"}</definedName>
    <definedName name="bbb_1_1" localSheetId="3" hidden="1">{"standalone1",#N/A,FALSE,"DCFBase";"standalone2",#N/A,FALSE,"DCFBase"}</definedName>
    <definedName name="bbb_1_1" hidden="1">{"standalone1",#N/A,FALSE,"DCFBase";"standalone2",#N/A,FALSE,"DCFBase"}</definedName>
    <definedName name="bbb_1_2" localSheetId="3" hidden="1">{"standalone1",#N/A,FALSE,"DCFBase";"standalone2",#N/A,FALSE,"DCFBase"}</definedName>
    <definedName name="bbb_1_2" hidden="1">{"standalone1",#N/A,FALSE,"DCFBase";"standalone2",#N/A,FALSE,"DCFBase"}</definedName>
    <definedName name="bbb_1_3" localSheetId="3" hidden="1">{"standalone1",#N/A,FALSE,"DCFBase";"standalone2",#N/A,FALSE,"DCFBase"}</definedName>
    <definedName name="bbb_1_3" hidden="1">{"standalone1",#N/A,FALSE,"DCFBase";"standalone2",#N/A,FALSE,"DCFBase"}</definedName>
    <definedName name="bbb_1_4" localSheetId="3" hidden="1">{"standalone1",#N/A,FALSE,"DCFBase";"standalone2",#N/A,FALSE,"DCFBase"}</definedName>
    <definedName name="bbb_1_4" hidden="1">{"standalone1",#N/A,FALSE,"DCFBase";"standalone2",#N/A,FALSE,"DCFBase"}</definedName>
    <definedName name="bbb_1_5" localSheetId="3" hidden="1">{"standalone1",#N/A,FALSE,"DCFBase";"standalone2",#N/A,FALSE,"DCFBase"}</definedName>
    <definedName name="bbb_1_5" hidden="1">{"standalone1",#N/A,FALSE,"DCFBase";"standalone2",#N/A,FALSE,"DCFBase"}</definedName>
    <definedName name="bbb_2" localSheetId="3" hidden="1">{"standalone1",#N/A,FALSE,"DCFBase";"standalone2",#N/A,FALSE,"DCFBase"}</definedName>
    <definedName name="bbb_2" hidden="1">{"standalone1",#N/A,FALSE,"DCFBase";"standalone2",#N/A,FALSE,"DCFBase"}</definedName>
    <definedName name="bbb_2_1" localSheetId="3" hidden="1">{"standalone1",#N/A,FALSE,"DCFBase";"standalone2",#N/A,FALSE,"DCFBase"}</definedName>
    <definedName name="bbb_2_1" hidden="1">{"standalone1",#N/A,FALSE,"DCFBase";"standalone2",#N/A,FALSE,"DCFBase"}</definedName>
    <definedName name="bbb_2_2" localSheetId="3" hidden="1">{"standalone1",#N/A,FALSE,"DCFBase";"standalone2",#N/A,FALSE,"DCFBase"}</definedName>
    <definedName name="bbb_2_2" hidden="1">{"standalone1",#N/A,FALSE,"DCFBase";"standalone2",#N/A,FALSE,"DCFBase"}</definedName>
    <definedName name="bbb_2_3" localSheetId="3" hidden="1">{"standalone1",#N/A,FALSE,"DCFBase";"standalone2",#N/A,FALSE,"DCFBase"}</definedName>
    <definedName name="bbb_2_3" hidden="1">{"standalone1",#N/A,FALSE,"DCFBase";"standalone2",#N/A,FALSE,"DCFBase"}</definedName>
    <definedName name="bbb_2_4" localSheetId="3" hidden="1">{"standalone1",#N/A,FALSE,"DCFBase";"standalone2",#N/A,FALSE,"DCFBase"}</definedName>
    <definedName name="bbb_2_4" hidden="1">{"standalone1",#N/A,FALSE,"DCFBase";"standalone2",#N/A,FALSE,"DCFBase"}</definedName>
    <definedName name="bbb_2_5" localSheetId="3" hidden="1">{"standalone1",#N/A,FALSE,"DCFBase";"standalone2",#N/A,FALSE,"DCFBase"}</definedName>
    <definedName name="bbb_2_5" hidden="1">{"standalone1",#N/A,FALSE,"DCFBase";"standalone2",#N/A,FALSE,"DCFBase"}</definedName>
    <definedName name="bbb_3" localSheetId="3" hidden="1">{"standalone1",#N/A,FALSE,"DCFBase";"standalone2",#N/A,FALSE,"DCFBase"}</definedName>
    <definedName name="bbb_3" hidden="1">{"standalone1",#N/A,FALSE,"DCFBase";"standalone2",#N/A,FALSE,"DCFBase"}</definedName>
    <definedName name="bbb_3_1" localSheetId="3" hidden="1">{"standalone1",#N/A,FALSE,"DCFBase";"standalone2",#N/A,FALSE,"DCFBase"}</definedName>
    <definedName name="bbb_3_1" hidden="1">{"standalone1",#N/A,FALSE,"DCFBase";"standalone2",#N/A,FALSE,"DCFBase"}</definedName>
    <definedName name="bbb_3_2" localSheetId="3" hidden="1">{"standalone1",#N/A,FALSE,"DCFBase";"standalone2",#N/A,FALSE,"DCFBase"}</definedName>
    <definedName name="bbb_3_2" hidden="1">{"standalone1",#N/A,FALSE,"DCFBase";"standalone2",#N/A,FALSE,"DCFBase"}</definedName>
    <definedName name="bbb_3_3" localSheetId="3" hidden="1">{"standalone1",#N/A,FALSE,"DCFBase";"standalone2",#N/A,FALSE,"DCFBase"}</definedName>
    <definedName name="bbb_3_3" hidden="1">{"standalone1",#N/A,FALSE,"DCFBase";"standalone2",#N/A,FALSE,"DCFBase"}</definedName>
    <definedName name="bbb_3_4" localSheetId="3" hidden="1">{"standalone1",#N/A,FALSE,"DCFBase";"standalone2",#N/A,FALSE,"DCFBase"}</definedName>
    <definedName name="bbb_3_4" hidden="1">{"standalone1",#N/A,FALSE,"DCFBase";"standalone2",#N/A,FALSE,"DCFBase"}</definedName>
    <definedName name="bbb_3_5" localSheetId="3" hidden="1">{"standalone1",#N/A,FALSE,"DCFBase";"standalone2",#N/A,FALSE,"DCFBase"}</definedName>
    <definedName name="bbb_3_5" hidden="1">{"standalone1",#N/A,FALSE,"DCFBase";"standalone2",#N/A,FALSE,"DCFBase"}</definedName>
    <definedName name="bbb_4" localSheetId="3" hidden="1">{"standalone1",#N/A,FALSE,"DCFBase";"standalone2",#N/A,FALSE,"DCFBase"}</definedName>
    <definedName name="bbb_4" hidden="1">{"standalone1",#N/A,FALSE,"DCFBase";"standalone2",#N/A,FALSE,"DCFBase"}</definedName>
    <definedName name="bbb_4_1" localSheetId="3" hidden="1">{"standalone1",#N/A,FALSE,"DCFBase";"standalone2",#N/A,FALSE,"DCFBase"}</definedName>
    <definedName name="bbb_4_1" hidden="1">{"standalone1",#N/A,FALSE,"DCFBase";"standalone2",#N/A,FALSE,"DCFBase"}</definedName>
    <definedName name="bbb_4_2" localSheetId="3" hidden="1">{"standalone1",#N/A,FALSE,"DCFBase";"standalone2",#N/A,FALSE,"DCFBase"}</definedName>
    <definedName name="bbb_4_2" hidden="1">{"standalone1",#N/A,FALSE,"DCFBase";"standalone2",#N/A,FALSE,"DCFBase"}</definedName>
    <definedName name="bbb_4_3" localSheetId="3" hidden="1">{"standalone1",#N/A,FALSE,"DCFBase";"standalone2",#N/A,FALSE,"DCFBase"}</definedName>
    <definedName name="bbb_4_3" hidden="1">{"standalone1",#N/A,FALSE,"DCFBase";"standalone2",#N/A,FALSE,"DCFBase"}</definedName>
    <definedName name="bbb_4_4" localSheetId="3" hidden="1">{"standalone1",#N/A,FALSE,"DCFBase";"standalone2",#N/A,FALSE,"DCFBase"}</definedName>
    <definedName name="bbb_4_4" hidden="1">{"standalone1",#N/A,FALSE,"DCFBase";"standalone2",#N/A,FALSE,"DCFBase"}</definedName>
    <definedName name="bbb_4_5" localSheetId="3" hidden="1">{"standalone1",#N/A,FALSE,"DCFBase";"standalone2",#N/A,FALSE,"DCFBase"}</definedName>
    <definedName name="bbb_4_5" hidden="1">{"standalone1",#N/A,FALSE,"DCFBase";"standalone2",#N/A,FALSE,"DCFBase"}</definedName>
    <definedName name="bbb_5" localSheetId="3" hidden="1">{"standalone1",#N/A,FALSE,"DCFBase";"standalone2",#N/A,FALSE,"DCFBase"}</definedName>
    <definedName name="bbb_5" hidden="1">{"standalone1",#N/A,FALSE,"DCFBase";"standalone2",#N/A,FALSE,"DCFBase"}</definedName>
    <definedName name="bbb_5_1" localSheetId="3" hidden="1">{"standalone1",#N/A,FALSE,"DCFBase";"standalone2",#N/A,FALSE,"DCFBase"}</definedName>
    <definedName name="bbb_5_1" hidden="1">{"standalone1",#N/A,FALSE,"DCFBase";"standalone2",#N/A,FALSE,"DCFBase"}</definedName>
    <definedName name="bbb_5_2" localSheetId="3" hidden="1">{"standalone1",#N/A,FALSE,"DCFBase";"standalone2",#N/A,FALSE,"DCFBase"}</definedName>
    <definedName name="bbb_5_2" hidden="1">{"standalone1",#N/A,FALSE,"DCFBase";"standalone2",#N/A,FALSE,"DCFBase"}</definedName>
    <definedName name="bbb_5_3" localSheetId="3" hidden="1">{"standalone1",#N/A,FALSE,"DCFBase";"standalone2",#N/A,FALSE,"DCFBase"}</definedName>
    <definedName name="bbb_5_3" hidden="1">{"standalone1",#N/A,FALSE,"DCFBase";"standalone2",#N/A,FALSE,"DCFBase"}</definedName>
    <definedName name="bbb_5_4" localSheetId="3" hidden="1">{"standalone1",#N/A,FALSE,"DCFBase";"standalone2",#N/A,FALSE,"DCFBase"}</definedName>
    <definedName name="bbb_5_4" hidden="1">{"standalone1",#N/A,FALSE,"DCFBase";"standalone2",#N/A,FALSE,"DCFBase"}</definedName>
    <definedName name="bbb_5_5" localSheetId="3" hidden="1">{"standalone1",#N/A,FALSE,"DCFBase";"standalone2",#N/A,FALSE,"DCFBase"}</definedName>
    <definedName name="bbb_5_5" hidden="1">{"standalone1",#N/A,FALSE,"DCFBase";"standalone2",#N/A,FALSE,"DCFBase"}</definedName>
    <definedName name="bbbb" localSheetId="4" hidden="1">{"Outflow 1",#N/A,FALSE,"Outflows-Inflows";"Outflow 2",#N/A,FALSE,"Outflows-Inflows";"Inflow 1",#N/A,FALSE,"Outflows-Inflows";"Inflow 2",#N/A,FALSE,"Outflows-Inflows"}</definedName>
    <definedName name="bbbb" localSheetId="3" hidden="1">{"Outflow 1",#N/A,FALSE,"Outflows-Inflows";"Outflow 2",#N/A,FALSE,"Outflows-Inflows";"Inflow 1",#N/A,FALSE,"Outflows-Inflows";"Inflow 2",#N/A,FALSE,"Outflows-Inflows"}</definedName>
    <definedName name="bbbb" hidden="1">{"Outflow 1",#N/A,FALSE,"Outflows-Inflows";"Outflow 2",#N/A,FALSE,"Outflows-Inflows";"Inflow 1",#N/A,FALSE,"Outflows-Inflows";"Inflow 2",#N/A,FALSE,"Outflows-Inflows"}</definedName>
    <definedName name="bbbb_1" localSheetId="4" hidden="1">{"Outflow 1",#N/A,FALSE,"Outflows-Inflows";"Outflow 2",#N/A,FALSE,"Outflows-Inflows";"Inflow 1",#N/A,FALSE,"Outflows-Inflows";"Inflow 2",#N/A,FALSE,"Outflows-Inflows"}</definedName>
    <definedName name="bbbb_1" localSheetId="3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localSheetId="3" hidden="1">{#N/A,#N/A,FALSE,"REPORT"}</definedName>
    <definedName name="bbbb_2" hidden="1">{#N/A,#N/A,FALSE,"REPORT"}</definedName>
    <definedName name="bbbb_3" localSheetId="3" hidden="1">{#N/A,#N/A,FALSE,"REPORT"}</definedName>
    <definedName name="bbbb_3" hidden="1">{#N/A,#N/A,FALSE,"REPORT"}</definedName>
    <definedName name="bbbb_4" localSheetId="3" hidden="1">{#N/A,#N/A,FALSE,"REPORT"}</definedName>
    <definedName name="bbbb_4" hidden="1">{#N/A,#N/A,FALSE,"REPORT"}</definedName>
    <definedName name="bbbbb" localSheetId="3" hidden="1">{#N/A,#N/A,FALSE,"Pharm";#N/A,#N/A,FALSE,"WWCM"}</definedName>
    <definedName name="bbbbb" hidden="1">{#N/A,#N/A,FALSE,"Pharm";#N/A,#N/A,FALSE,"WWCM"}</definedName>
    <definedName name="bbbbb_1" localSheetId="3" hidden="1">{#N/A,#N/A,FALSE,"Assessment";#N/A,#N/A,FALSE,"Staffing";#N/A,#N/A,FALSE,"Hires";#N/A,#N/A,FALSE,"Assumptions"}</definedName>
    <definedName name="bbbbb_1" hidden="1">{#N/A,#N/A,FALSE,"Assessment";#N/A,#N/A,FALSE,"Staffing";#N/A,#N/A,FALSE,"Hires";#N/A,#N/A,FALSE,"Assumptions"}</definedName>
    <definedName name="bbbbb_1_1" localSheetId="3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localSheetId="3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localSheetId="3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localSheetId="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localSheetId="3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localSheetId="3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localSheetId="3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localSheetId="3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localSheetId="3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localSheetId="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localSheetId="3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localSheetId="3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localSheetId="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localSheetId="3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localSheetId="3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localSheetId="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localSheetId="3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localSheetId="3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localSheetId="3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localSheetId="3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localSheetId="3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localSheetId="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localSheetId="3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localSheetId="3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localSheetId="3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localSheetId="3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localSheetId="3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localSheetId="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localSheetId="3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localSheetId="4" hidden="1">{"rtn",#N/A,FALSE,"RTN";"tables",#N/A,FALSE,"RTN";"cf",#N/A,FALSE,"CF";"stats",#N/A,FALSE,"Stats";"prop",#N/A,FALSE,"Prop"}</definedName>
    <definedName name="bbbbbb" localSheetId="3" hidden="1">{"rtn",#N/A,FALSE,"RTN";"tables",#N/A,FALSE,"RTN";"cf",#N/A,FALSE,"CF";"stats",#N/A,FALSE,"Stats";"prop",#N/A,FALSE,"Prop"}</definedName>
    <definedName name="bbbbbb" hidden="1">{"rtn",#N/A,FALSE,"RTN";"tables",#N/A,FALSE,"RTN";"cf",#N/A,FALSE,"CF";"stats",#N/A,FALSE,"Stats";"prop",#N/A,FALSE,"Prop"}</definedName>
    <definedName name="bbbbbb_1" localSheetId="4" hidden="1">{"rtn",#N/A,FALSE,"RTN";"tables",#N/A,FALSE,"RTN";"cf",#N/A,FALSE,"CF";"stats",#N/A,FALSE,"Stats";"prop",#N/A,FALSE,"Prop"}</definedName>
    <definedName name="bbbbbb_1" localSheetId="3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localSheetId="3" hidden="1">{#N/A,#N/A,FALSE,"REPORT"}</definedName>
    <definedName name="BBBBBB_2" hidden="1">{#N/A,#N/A,FALSE,"REPORT"}</definedName>
    <definedName name="BBBBBB_3" localSheetId="3" hidden="1">{#N/A,#N/A,FALSE,"REPORT"}</definedName>
    <definedName name="BBBBBB_3" hidden="1">{#N/A,#N/A,FALSE,"REPORT"}</definedName>
    <definedName name="BBBBBB_4" localSheetId="3" hidden="1">{#N/A,#N/A,FALSE,"REPORT"}</definedName>
    <definedName name="BBBBBB_4" hidden="1">{#N/A,#N/A,FALSE,"REPORT"}</definedName>
    <definedName name="bbbbbbb" localSheetId="4" hidden="1">{"Outflow 1",#N/A,FALSE,"Outflows-Inflows";"Outflow 2",#N/A,FALSE,"Outflows-Inflows";"Inflow 1",#N/A,FALSE,"Outflows-Inflows";"Inflow 2",#N/A,FALSE,"Outflows-Inflows"}</definedName>
    <definedName name="bbbbbbb" localSheetId="3" hidden="1">{"Outflow 1",#N/A,FALSE,"Outflows-Inflows";"Outflow 2",#N/A,FALSE,"Outflows-Inflows";"Inflow 1",#N/A,FALSE,"Outflows-Inflows";"Inflow 2",#N/A,FALSE,"Outflows-Inflows"}</definedName>
    <definedName name="bbbbbbb" hidden="1">{"Outflow 1",#N/A,FALSE,"Outflows-Inflows";"Outflow 2",#N/A,FALSE,"Outflows-Inflows";"Inflow 1",#N/A,FALSE,"Outflows-Inflows";"Inflow 2",#N/A,FALSE,"Outflows-Inflows"}</definedName>
    <definedName name="bbbbbbb_1" localSheetId="4" hidden="1">{"Outflow 1",#N/A,FALSE,"Outflows-Inflows";"Outflow 2",#N/A,FALSE,"Outflows-Inflows";"Inflow 1",#N/A,FALSE,"Outflows-Inflows";"Inflow 2",#N/A,FALSE,"Outflows-Inflows"}</definedName>
    <definedName name="bbbbbbb_1" localSheetId="3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localSheetId="3" hidden="1">{#N/A,#N/A,FALSE,"REPORT"}</definedName>
    <definedName name="BBBBBBBBB" hidden="1">{#N/A,#N/A,FALSE,"REPORT"}</definedName>
    <definedName name="BBBBBBBBB_1" localSheetId="3" hidden="1">{#N/A,#N/A,FALSE,"REPORT"}</definedName>
    <definedName name="BBBBBBBBB_1" hidden="1">{#N/A,#N/A,FALSE,"REPORT"}</definedName>
    <definedName name="BBBBBBBBB_2" localSheetId="3" hidden="1">{#N/A,#N/A,FALSE,"REPORT"}</definedName>
    <definedName name="BBBBBBBBB_2" hidden="1">{#N/A,#N/A,FALSE,"REPORT"}</definedName>
    <definedName name="BBBBBBBBB_3" localSheetId="3" hidden="1">{#N/A,#N/A,FALSE,"REPORT"}</definedName>
    <definedName name="BBBBBBBBB_3" hidden="1">{#N/A,#N/A,FALSE,"REPORT"}</definedName>
    <definedName name="BBBBBBBBB_4" localSheetId="3" hidden="1">{#N/A,#N/A,FALSE,"REPORT"}</definedName>
    <definedName name="BBBBBBBBB_4" hidden="1">{#N/A,#N/A,FALSE,"REPORT"}</definedName>
    <definedName name="bbbbbbbbbb" localSheetId="3" hidden="1">{"detail",#N/A,FALSE,"mfg";"summary",#N/A,FALSE,"mfg"}</definedName>
    <definedName name="bbbbbbbbbb" hidden="1">{"detail",#N/A,FALSE,"mfg";"summary",#N/A,FALSE,"mfg"}</definedName>
    <definedName name="bbbbbbbbbbb" localSheetId="3" hidden="1">{#N/A,#N/A,FALSE,"AD_Purchase";#N/A,#N/A,FALSE,"Credit";#N/A,#N/A,FALSE,"PF Acquisition";#N/A,#N/A,FALSE,"PF Offering"}</definedName>
    <definedName name="bbbbbbbbbbb" hidden="1">{#N/A,#N/A,FALSE,"AD_Purchase";#N/A,#N/A,FALSE,"Credit";#N/A,#N/A,FALSE,"PF Acquisition";#N/A,#N/A,FALSE,"PF Offering"}</definedName>
    <definedName name="bbbbbbbbbbbbb" localSheetId="3" hidden="1">{#N/A,#N/A,FALSE,"Pharm";#N/A,#N/A,FALSE,"WWCM"}</definedName>
    <definedName name="bbbbbbbbbbbbb" hidden="1">{#N/A,#N/A,FALSE,"Pharm";#N/A,#N/A,FALSE,"WWCM"}</definedName>
    <definedName name="bbbbbbbbbbbbb_1" localSheetId="3" hidden="1">{#N/A,#N/A,FALSE,"Pharm";#N/A,#N/A,FALSE,"WWCM"}</definedName>
    <definedName name="bbbbbbbbbbbbb_1" hidden="1">{#N/A,#N/A,FALSE,"Pharm";#N/A,#N/A,FALSE,"WWCM"}</definedName>
    <definedName name="bbbbbbbbbbbbb_2" localSheetId="3" hidden="1">{#N/A,#N/A,FALSE,"Pharm";#N/A,#N/A,FALSE,"WWCM"}</definedName>
    <definedName name="bbbbbbbbbbbbb_2" hidden="1">{#N/A,#N/A,FALSE,"Pharm";#N/A,#N/A,FALSE,"WWCM"}</definedName>
    <definedName name="bbbbbbbbbbbbb_3" localSheetId="3" hidden="1">{#N/A,#N/A,FALSE,"Pharm";#N/A,#N/A,FALSE,"WWCM"}</definedName>
    <definedName name="bbbbbbbbbbbbb_3" hidden="1">{#N/A,#N/A,FALSE,"Pharm";#N/A,#N/A,FALSE,"WWCM"}</definedName>
    <definedName name="bbbbbbbbbbbbb_4" localSheetId="3" hidden="1">{#N/A,#N/A,FALSE,"Pharm";#N/A,#N/A,FALSE,"WWCM"}</definedName>
    <definedName name="bbbbbbbbbbbbb_4" hidden="1">{#N/A,#N/A,FALSE,"Pharm";#N/A,#N/A,FALSE,"WWCM"}</definedName>
    <definedName name="bbbbbbbbbbbbbbb" localSheetId="3" hidden="1">{"'Edit'!$A$1:$V$2277"}</definedName>
    <definedName name="bbbbbbbbbbbbbbb" hidden="1">{"'Edit'!$A$1:$V$2277"}</definedName>
    <definedName name="bbbbbbbbbbbbbbbbbbbb" localSheetId="3" hidden="1">{"detail",#N/A,FALSE,"mfg";"summary",#N/A,FALSE,"mfg"}</definedName>
    <definedName name="bbbbbbbbbbbbbbbbbbbb" hidden="1">{"detail",#N/A,FALSE,"mfg";"summary",#N/A,FALSE,"mfg"}</definedName>
    <definedName name="bbbn" localSheetId="3" hidden="1">{#N/A,#N/A,FALSE,"Other";#N/A,#N/A,FALSE,"Ace";#N/A,#N/A,FALSE,"Derm"}</definedName>
    <definedName name="bbbn" hidden="1">{#N/A,#N/A,FALSE,"Other";#N/A,#N/A,FALSE,"Ace";#N/A,#N/A,FALSE,"Derm"}</definedName>
    <definedName name="bbn" localSheetId="3" hidden="1">{"table",#N/A,FALSE,"COVER";"income_statement",#N/A,FALSE,"COVER"}</definedName>
    <definedName name="bbn" hidden="1">{"table",#N/A,FALSE,"COVER";"income_statement",#N/A,FALSE,"COVER"}</definedName>
    <definedName name="bbvcx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localSheetId="3" hidden="1">{"'debtors'!$A$1:$I$305","'debtors'!$A$1:$J$285"}</definedName>
    <definedName name="bcd" hidden="1">{"'debtors'!$A$1:$I$305","'debtors'!$A$1:$J$285"}</definedName>
    <definedName name="bcdf" localSheetId="3" hidden="1">{#N/A,#N/A,FALSE,"Inc";#N/A,#N/A,FALSE,"Prod";#N/A,#N/A,FALSE,"QInc";#N/A,#N/A,FALSE,"QProd"}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localSheetId="4">'[65]Budget New'!#REF!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localSheetId="3" hidden="1">{"glc1",#N/A,FALSE,"GLC";"glc2",#N/A,FALSE,"GLC";"glc3",#N/A,FALSE,"GLC";"glc4",#N/A,FALSE,"GLC";"glc5",#N/A,FALSE,"GLC"}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localSheetId="3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lnew_1" localSheetId="3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localSheetId="3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localSheetId="3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localSheetId="3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localSheetId="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localSheetId="3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localSheetId="3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localSheetId="3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localSheetId="3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localSheetId="3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localSheetId="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localSheetId="3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localSheetId="3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localSheetId="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localSheetId="3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localSheetId="3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localSheetId="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localSheetId="3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localSheetId="3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localSheetId="3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localSheetId="3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localSheetId="3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localSheetId="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localSheetId="3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localSheetId="3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localSheetId="3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localSheetId="3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localSheetId="3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localSheetId="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localSheetId="3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 localSheetId="4">'[66]1.3 Input_MLA'!$S$1:$DD$1</definedName>
    <definedName name="Bereich_verschieben">#REF!</definedName>
    <definedName name="berry" localSheetId="4" hidden="1">{#N/A,#N/A,FALSE,"Taxblinc";#N/A,#N/A,FALSE,"Rsvsacls"}</definedName>
    <definedName name="berry" localSheetId="3" hidden="1">{#N/A,#N/A,FALSE,"Taxblinc";#N/A,#N/A,FALSE,"Rsvsacls"}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localSheetId="3" hidden="1">{#N/A,#N/A,TRUE,"Project Summary";#N/A,#N/A,TRUE,"Financial Data Input";#N/A,#N/A,TRUE,"P&amp;L";#N/A,#N/A,TRUE,"Instructions"}</definedName>
    <definedName name="Beth" hidden="1">{#N/A,#N/A,TRUE,"Project Summary";#N/A,#N/A,TRUE,"Financial Data Input";#N/A,#N/A,TRUE,"P&amp;L";#N/A,#N/A,TRUE,"Instructions"}</definedName>
    <definedName name="beurimm">[67]מאזן!$P$48:$AA$125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Product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localSheetId="4" hidden="1">[68]Просрочки!$A$1</definedName>
    <definedName name="BFRTENZXELEQWRRVSSUSV1" hidden="1">#REF!</definedName>
    <definedName name="BFRTENZXELEQWRRVSSUSV2" localSheetId="4" hidden="1">Svetla-[69]Principal!$A$1</definedName>
    <definedName name="BFRTENZXELEQWRRVSSUSV2" localSheetId="3" hidden="1">Svetla-#REF!</definedName>
    <definedName name="BFRTENZXELEQWRRVSSUSV2" hidden="1">Svetla-#REF!</definedName>
    <definedName name="BFRTENZXELEQWRRVSSUSV3" localSheetId="4" hidden="1">[68]Sheet1!$A$1</definedName>
    <definedName name="BFRTENZXELEQWRRVSSUSV3" hidden="1">#REF!</definedName>
    <definedName name="BFRTENZXELEQWRRVSSUSV4" localSheetId="4" hidden="1">Дог-[42]Име!$A$1</definedName>
    <definedName name="BFRTENZXELEQWRRVSSUSV4" localSheetId="3" hidden="1">______feb05-#REF!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localSheetId="3" hidden="1">{"table",#N/A,FALSE,"COVER";"income_statement",#N/A,FALSE,"COVER"}</definedName>
    <definedName name="bgg" hidden="1">{"table",#N/A,FALSE,"COVER";"income_statement",#N/A,FALSE,"COVER"}</definedName>
    <definedName name="bggfssgfsfw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localSheetId="3" hidden="1">{"histincome",#N/A,FALSE,"hyfins";"closing balance",#N/A,FALSE,"hyfins"}</definedName>
    <definedName name="bgh" hidden="1">{"histincome",#N/A,FALSE,"hyfins";"closing balance",#N/A,FALSE,"hyfins"}</definedName>
    <definedName name="bgisheet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localSheetId="3" hidden="1">{#N/A,#N/A,FALSE,"PGW"}</definedName>
    <definedName name="bha" hidden="1">{#N/A,#N/A,FALSE,"PGW"}</definedName>
    <definedName name="BHBOBDate" hidden="1">#REF!</definedName>
    <definedName name="BHDF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localSheetId="3" hidden="1">{"'subnets'!$A$1:$F$20"}</definedName>
    <definedName name="BHUVAN" hidden="1">{"'subnets'!$A$1:$F$20"}</definedName>
    <definedName name="bi" hidden="1">#REF!</definedName>
    <definedName name="bibble2" localSheetId="3" hidden="1">{"Page1",#N/A,FALSE,"CompCo";"Page2",#N/A,FALSE,"CompCo"}</definedName>
    <definedName name="bibble2" hidden="1">{"Page1",#N/A,FALSE,"CompCo";"Page2",#N/A,FALSE,"CompCo"}</definedName>
    <definedName name="big">#REF!</definedName>
    <definedName name="BIKMAS">'[14]שמ"מ מ"ה'!#REF!</definedName>
    <definedName name="BIKPCHAT">'[14]שמ"מ מ"ה'!#REF!</definedName>
    <definedName name="bill" localSheetId="4" hidden="1">{"PAGE 1",#N/A,FALSE,"WEST_OT"}</definedName>
    <definedName name="bill" localSheetId="3" hidden="1">{"PAGE 1",#N/A,FALSE,"WEST_OT"}</definedName>
    <definedName name="bill" hidden="1">{"PAGE 1",#N/A,FALSE,"WEST_OT"}</definedName>
    <definedName name="bill1" localSheetId="4" hidden="1">{"PAGE 1",#N/A,FALSE,"WEST_OT"}</definedName>
    <definedName name="bill1" localSheetId="3" hidden="1">{"PAGE 1",#N/A,FALSE,"WEST_OT"}</definedName>
    <definedName name="bill1" hidden="1">{"PAGE 1",#N/A,FALSE,"WEST_OT"}</definedName>
    <definedName name="bill2" localSheetId="4" hidden="1">{"PAGE 1",#N/A,FALSE,"WEST_OT"}</definedName>
    <definedName name="bill2" localSheetId="3" hidden="1">{"PAGE 1",#N/A,FALSE,"WEST_OT"}</definedName>
    <definedName name="bill2" hidden="1">{"PAGE 1",#N/A,FALSE,"WEST_OT"}</definedName>
    <definedName name="bill3" localSheetId="4" hidden="1">{"PAGE 1",#N/A,FALSE,"WEST_OT"}</definedName>
    <definedName name="bill3" localSheetId="3" hidden="1">{"PAGE 1",#N/A,FALSE,"WEST_OT"}</definedName>
    <definedName name="bill3" hidden="1">{"PAGE 1",#N/A,FALSE,"WEST_OT"}</definedName>
    <definedName name="billrev2" localSheetId="4" hidden="1">{"PAGE 1",#N/A,FALSE,"WEST_OT"}</definedName>
    <definedName name="billrev2" localSheetId="3" hidden="1">{"PAGE 1",#N/A,FALSE,"WEST_OT"}</definedName>
    <definedName name="billrev2" hidden="1">{"PAGE 1",#N/A,FALSE,"WEST_OT"}</definedName>
    <definedName name="BIm">#REF!</definedName>
    <definedName name="bimdk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 localSheetId="4">'[70]Pricing Models'!$H$12</definedName>
    <definedName name="bin_value">#REF!</definedName>
    <definedName name="Binomial">#REF!</definedName>
    <definedName name="biolab">'[71]biolab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localSheetId="3" hidden="1">{#N/A,#N/A,FALSE,"Full";#N/A,#N/A,FALSE,"Half";#N/A,#N/A,FALSE,"Op Expenses";#N/A,#N/A,FALSE,"Cap Charge";#N/A,#N/A,FALSE,"Cost C";#N/A,#N/A,FALSE,"PP&amp;E";#N/A,#N/A,FALSE,"R&amp;D"}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ank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localSheetId="3" hidden="1">{#N/A,#N/A,FALSE,"FINAL"}</definedName>
    <definedName name="BKB" hidden="1">{#N/A,#N/A,FALSE,"FINAL"}</definedName>
    <definedName name="bkls" localSheetId="3" hidden="1">{#N/A,"PURCHM",FALSE,"Business Analysis";#N/A,"SPADD",FALSE,"Business Analysis"}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localSheetId="3" hidden="1">{"page 1",#N/A,FALSE,"Comps";"page 2",#N/A,FALSE,"Comps"}</definedName>
    <definedName name="blah" hidden="1">{"page 1",#N/A,FALSE,"Comps";"page 2",#N/A,FALSE,"Comps"}</definedName>
    <definedName name="blake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 localSheetId="4">'[72]Returns Detail'!#REF!</definedName>
    <definedName name="BLEND">#REF!</definedName>
    <definedName name="BLENDED" localSheetId="4">'[73]Returns Detail'!#REF!</definedName>
    <definedName name="BLENDED">#REF!</definedName>
    <definedName name="BlendedStockPrice">#REF!</definedName>
    <definedName name="blibble" localSheetId="3" hidden="1">{"Page1",#N/A,FALSE,"CompCo";"Page2",#N/A,FALSE,"CompCo"}</definedName>
    <definedName name="blibble" hidden="1">{"Page1",#N/A,FALSE,"CompCo";"Page2",#N/A,FALSE,"CompCo"}</definedName>
    <definedName name="blibble2" localSheetId="3" hidden="1">{"Page1",#N/A,FALSE,"CompCo";"Page2",#N/A,FALSE,"CompCo"}</definedName>
    <definedName name="blibble2" hidden="1">{"Page1",#N/A,FALSE,"CompCo";"Page2",#N/A,FALSE,"CompCo"}</definedName>
    <definedName name="blibble5" localSheetId="3" hidden="1">{"Page1",#N/A,FALSE,"CompCo";"Page2",#N/A,FALSE,"CompCo"}</definedName>
    <definedName name="blibble5" hidden="1">{"Page1",#N/A,FALSE,"CompCo";"Page2",#N/A,FALSE,"CompCo"}</definedName>
    <definedName name="blip" localSheetId="3" hidden="1">{"'Server Configuration'!$A$1:$DB$281"}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localSheetId="4" hidden="1">'[74]Price Perf'!#REF!</definedName>
    <definedName name="BLPH1" hidden="1">#REF!</definedName>
    <definedName name="BLPH10" hidden="1">#REF!</definedName>
    <definedName name="BLPH11" hidden="1">#REF!</definedName>
    <definedName name="BLPH12" localSheetId="4" hidden="1">'[75]Comp Analysis'!#REF!</definedName>
    <definedName name="BLPH12" hidden="1">#REF!</definedName>
    <definedName name="BLPH13" localSheetId="4" hidden="1">[76]Sheet3!#REF!</definedName>
    <definedName name="BLPH13" hidden="1">#REF!</definedName>
    <definedName name="BLPH14" localSheetId="4" hidden="1">[76]Sheet3!#REF!</definedName>
    <definedName name="BLPH14" hidden="1">#REF!</definedName>
    <definedName name="BLPH15" localSheetId="4" hidden="1">[76]Sheet3!#REF!</definedName>
    <definedName name="BLPH15" hidden="1">#REF!</definedName>
    <definedName name="BLPH16" localSheetId="4" hidden="1">[76]Sheet3!#REF!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localSheetId="3" hidden="1">{#N/A,#N/A,FALSE,"KA CH  (2)"}</definedName>
    <definedName name="bmbnmn" hidden="1">{#N/A,#N/A,FALSE,"KA CH  (2)"}</definedName>
    <definedName name="BMGHIndex">"O"</definedName>
    <definedName name="bn" hidden="1">#REF!</definedName>
    <definedName name="bnbn" localSheetId="3" hidden="1">{"oct_res_comm",#N/A,FALSE,"VarToBud"}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localSheetId="3" hidden="1">{#N/A,#N/A,FALSE,"FINAL"}</definedName>
    <definedName name="BNGF" hidden="1">{#N/A,#N/A,FALSE,"FINAL"}</definedName>
    <definedName name="bnm" localSheetId="3" hidden="1">{#N/A,#N/A,FALSE,"REPORT"}</definedName>
    <definedName name="bnm" hidden="1">{#N/A,#N/A,FALSE,"REPORT"}</definedName>
    <definedName name="bnm_1" localSheetId="3" hidden="1">{#N/A,#N/A,FALSE,"REPORT"}</definedName>
    <definedName name="bnm_1" hidden="1">{#N/A,#N/A,FALSE,"REPORT"}</definedName>
    <definedName name="bnm_2" localSheetId="3" hidden="1">{#N/A,#N/A,FALSE,"REPORT"}</definedName>
    <definedName name="bnm_2" hidden="1">{#N/A,#N/A,FALSE,"REPORT"}</definedName>
    <definedName name="bnm_3" localSheetId="3" hidden="1">{#N/A,#N/A,FALSE,"REPORT"}</definedName>
    <definedName name="bnm_3" hidden="1">{#N/A,#N/A,FALSE,"REPORT"}</definedName>
    <definedName name="bnm_4" localSheetId="3" hidden="1">{#N/A,#N/A,FALSE,"REPORT"}</definedName>
    <definedName name="bnm_4" hidden="1">{#N/A,#N/A,FALSE,"REPORT"}</definedName>
    <definedName name="bnmk" localSheetId="3" hidden="1">{#N/A,#N/A,FALSE,"Produkte Erw.";#N/A,#N/A,FALSE,"Produkte Plan";#N/A,#N/A,FALSE,"Leistungen Erw.";#N/A,#N/A,FALSE,"Leistungen Plan";#N/A,#N/A,FALSE,"KA Allg.Kosten (2)";#N/A,#N/A,FALSE,"KA All.Kosten"}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localSheetId="3" hidden="1">{"detail",#N/A,FALSE,"mfg";"summary",#N/A,FALSE,"mfg"}</definedName>
    <definedName name="bnmm" hidden="1">{"detail",#N/A,FALSE,"mfg";"summary",#N/A,FALSE,"mfg"}</definedName>
    <definedName name="bnnn" localSheetId="3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uyy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localSheetId="4" hidden="1">{"ww",#N/A,FALSE,"Hospital Products";"us",#N/A,FALSE,"Hospital Products";"in",#N/A,FALSE,"Hospital Products"}</definedName>
    <definedName name="bob" localSheetId="3" hidden="1">{"ww",#N/A,FALSE,"Hospital Products";"us",#N/A,FALSE,"Hospital Products";"in",#N/A,FALSE,"Hospital Products"}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localSheetId="3" hidden="1">{"'debtors'!$A$1:$I$305","'debtors'!$A$1:$J$285"}</definedName>
    <definedName name="BOD_BS" hidden="1">{"'debtors'!$A$1:$I$305","'debtors'!$A$1:$J$285"}</definedName>
    <definedName name="bogus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go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 localSheetId="4">'[77]JFK 1 D'!#REF!</definedName>
    <definedName name="Bonus">#REF!</definedName>
    <definedName name="boo" localSheetId="4" hidden="1">{"ww",#N/A,FALSE,"Hospital Products";"us",#N/A,FALSE,"Hospital Products";"in",#N/A,FALSE,"Hospital Products"}</definedName>
    <definedName name="boo" localSheetId="3" hidden="1">{"ww",#N/A,FALSE,"Hospital Products";"us",#N/A,FALSE,"Hospital Products";"in",#N/A,FALSE,"Hospital Products"}</definedName>
    <definedName name="boo" hidden="1">{"ww",#N/A,FALSE,"Hospital Products";"us",#N/A,FALSE,"Hospital Products";"in",#N/A,FALSE,"Hospital Products"}</definedName>
    <definedName name="book" localSheetId="4">[78]Sheet1!$M$52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localSheetId="3" hidden="1">{"detail",#N/A,FALSE,"mfg";"summary",#N/A,FALSE,"mfg"}</definedName>
    <definedName name="both203" hidden="1">{"detail",#N/A,FALSE,"mfg";"summary",#N/A,FALSE,"mfg"}</definedName>
    <definedName name="both204" localSheetId="3" hidden="1">{"detail",#N/A,FALSE,"mfg";"summary",#N/A,FALSE,"mfg"}</definedName>
    <definedName name="both204" hidden="1">{"detail",#N/A,FALSE,"mfg";"summary",#N/A,FALSE,"mfg"}</definedName>
    <definedName name="both89n" localSheetId="3" hidden="1">{"detail",#N/A,FALSE,"mfg";"summary",#N/A,FALSE,"mfg"}</definedName>
    <definedName name="both89n" hidden="1">{"detail",#N/A,FALSE,"mfg";"summary",#N/A,FALSE,"mfg"}</definedName>
    <definedName name="both8mj" localSheetId="3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localSheetId="3" hidden="1">{#N/A,#N/A,FALSE,"summary";#N/A,#N/A,FALSE,"Input"}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 localSheetId="4">'[28]years-$'!$C$1:$AB$39,'[28]years-$'!$C$40:$AB$71,'[28]years-$'!$C$72:$AB$101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 localSheetId="4">'[70]Pricing Models'!$M$12</definedName>
    <definedName name="bs_value">#REF!</definedName>
    <definedName name="BS02Out">#REF!</definedName>
    <definedName name="BS1a" localSheetId="3" hidden="1">{"standalone1",#N/A,FALSE,"DCFBase";"standalone2",#N/A,FALSE,"DCFBase"}</definedName>
    <definedName name="BS1a" hidden="1">{"standalone1",#N/A,FALSE,"DCFBase";"standalone2",#N/A,FALSE,"DCFBase"}</definedName>
    <definedName name="BS1a_1" localSheetId="3" hidden="1">{"standalone1",#N/A,FALSE,"DCFBase";"standalone2",#N/A,FALSE,"DCFBase"}</definedName>
    <definedName name="BS1a_1" hidden="1">{"standalone1",#N/A,FALSE,"DCFBase";"standalone2",#N/A,FALSE,"DCFBase"}</definedName>
    <definedName name="BS1a_1_1" localSheetId="3" hidden="1">{"standalone1",#N/A,FALSE,"DCFBase";"standalone2",#N/A,FALSE,"DCFBase"}</definedName>
    <definedName name="BS1a_1_1" hidden="1">{"standalone1",#N/A,FALSE,"DCFBase";"standalone2",#N/A,FALSE,"DCFBase"}</definedName>
    <definedName name="BS1a_1_2" localSheetId="3" hidden="1">{"standalone1",#N/A,FALSE,"DCFBase";"standalone2",#N/A,FALSE,"DCFBase"}</definedName>
    <definedName name="BS1a_1_2" hidden="1">{"standalone1",#N/A,FALSE,"DCFBase";"standalone2",#N/A,FALSE,"DCFBase"}</definedName>
    <definedName name="BS1a_1_3" localSheetId="3" hidden="1">{"standalone1",#N/A,FALSE,"DCFBase";"standalone2",#N/A,FALSE,"DCFBase"}</definedName>
    <definedName name="BS1a_1_3" hidden="1">{"standalone1",#N/A,FALSE,"DCFBase";"standalone2",#N/A,FALSE,"DCFBase"}</definedName>
    <definedName name="BS1a_1_4" localSheetId="3" hidden="1">{"standalone1",#N/A,FALSE,"DCFBase";"standalone2",#N/A,FALSE,"DCFBase"}</definedName>
    <definedName name="BS1a_1_4" hidden="1">{"standalone1",#N/A,FALSE,"DCFBase";"standalone2",#N/A,FALSE,"DCFBase"}</definedName>
    <definedName name="BS1a_1_5" localSheetId="3" hidden="1">{"standalone1",#N/A,FALSE,"DCFBase";"standalone2",#N/A,FALSE,"DCFBase"}</definedName>
    <definedName name="BS1a_1_5" hidden="1">{"standalone1",#N/A,FALSE,"DCFBase";"standalone2",#N/A,FALSE,"DCFBase"}</definedName>
    <definedName name="BS1a_2" localSheetId="3" hidden="1">{"standalone1",#N/A,FALSE,"DCFBase";"standalone2",#N/A,FALSE,"DCFBase"}</definedName>
    <definedName name="BS1a_2" hidden="1">{"standalone1",#N/A,FALSE,"DCFBase";"standalone2",#N/A,FALSE,"DCFBase"}</definedName>
    <definedName name="BS1a_2_1" localSheetId="3" hidden="1">{"standalone1",#N/A,FALSE,"DCFBase";"standalone2",#N/A,FALSE,"DCFBase"}</definedName>
    <definedName name="BS1a_2_1" hidden="1">{"standalone1",#N/A,FALSE,"DCFBase";"standalone2",#N/A,FALSE,"DCFBase"}</definedName>
    <definedName name="BS1a_2_2" localSheetId="3" hidden="1">{"standalone1",#N/A,FALSE,"DCFBase";"standalone2",#N/A,FALSE,"DCFBase"}</definedName>
    <definedName name="BS1a_2_2" hidden="1">{"standalone1",#N/A,FALSE,"DCFBase";"standalone2",#N/A,FALSE,"DCFBase"}</definedName>
    <definedName name="BS1a_2_3" localSheetId="3" hidden="1">{"standalone1",#N/A,FALSE,"DCFBase";"standalone2",#N/A,FALSE,"DCFBase"}</definedName>
    <definedName name="BS1a_2_3" hidden="1">{"standalone1",#N/A,FALSE,"DCFBase";"standalone2",#N/A,FALSE,"DCFBase"}</definedName>
    <definedName name="BS1a_2_4" localSheetId="3" hidden="1">{"standalone1",#N/A,FALSE,"DCFBase";"standalone2",#N/A,FALSE,"DCFBase"}</definedName>
    <definedName name="BS1a_2_4" hidden="1">{"standalone1",#N/A,FALSE,"DCFBase";"standalone2",#N/A,FALSE,"DCFBase"}</definedName>
    <definedName name="BS1a_2_5" localSheetId="3" hidden="1">{"standalone1",#N/A,FALSE,"DCFBase";"standalone2",#N/A,FALSE,"DCFBase"}</definedName>
    <definedName name="BS1a_2_5" hidden="1">{"standalone1",#N/A,FALSE,"DCFBase";"standalone2",#N/A,FALSE,"DCFBase"}</definedName>
    <definedName name="BS1a_3" localSheetId="3" hidden="1">{"standalone1",#N/A,FALSE,"DCFBase";"standalone2",#N/A,FALSE,"DCFBase"}</definedName>
    <definedName name="BS1a_3" hidden="1">{"standalone1",#N/A,FALSE,"DCFBase";"standalone2",#N/A,FALSE,"DCFBase"}</definedName>
    <definedName name="BS1a_3_1" localSheetId="3" hidden="1">{"standalone1",#N/A,FALSE,"DCFBase";"standalone2",#N/A,FALSE,"DCFBase"}</definedName>
    <definedName name="BS1a_3_1" hidden="1">{"standalone1",#N/A,FALSE,"DCFBase";"standalone2",#N/A,FALSE,"DCFBase"}</definedName>
    <definedName name="BS1a_3_2" localSheetId="3" hidden="1">{"standalone1",#N/A,FALSE,"DCFBase";"standalone2",#N/A,FALSE,"DCFBase"}</definedName>
    <definedName name="BS1a_3_2" hidden="1">{"standalone1",#N/A,FALSE,"DCFBase";"standalone2",#N/A,FALSE,"DCFBase"}</definedName>
    <definedName name="BS1a_3_3" localSheetId="3" hidden="1">{"standalone1",#N/A,FALSE,"DCFBase";"standalone2",#N/A,FALSE,"DCFBase"}</definedName>
    <definedName name="BS1a_3_3" hidden="1">{"standalone1",#N/A,FALSE,"DCFBase";"standalone2",#N/A,FALSE,"DCFBase"}</definedName>
    <definedName name="BS1a_3_4" localSheetId="3" hidden="1">{"standalone1",#N/A,FALSE,"DCFBase";"standalone2",#N/A,FALSE,"DCFBase"}</definedName>
    <definedName name="BS1a_3_4" hidden="1">{"standalone1",#N/A,FALSE,"DCFBase";"standalone2",#N/A,FALSE,"DCFBase"}</definedName>
    <definedName name="BS1a_3_5" localSheetId="3" hidden="1">{"standalone1",#N/A,FALSE,"DCFBase";"standalone2",#N/A,FALSE,"DCFBase"}</definedName>
    <definedName name="BS1a_3_5" hidden="1">{"standalone1",#N/A,FALSE,"DCFBase";"standalone2",#N/A,FALSE,"DCFBase"}</definedName>
    <definedName name="BS1a_4" localSheetId="3" hidden="1">{"standalone1",#N/A,FALSE,"DCFBase";"standalone2",#N/A,FALSE,"DCFBase"}</definedName>
    <definedName name="BS1a_4" hidden="1">{"standalone1",#N/A,FALSE,"DCFBase";"standalone2",#N/A,FALSE,"DCFBase"}</definedName>
    <definedName name="BS1a_4_1" localSheetId="3" hidden="1">{"standalone1",#N/A,FALSE,"DCFBase";"standalone2",#N/A,FALSE,"DCFBase"}</definedName>
    <definedName name="BS1a_4_1" hidden="1">{"standalone1",#N/A,FALSE,"DCFBase";"standalone2",#N/A,FALSE,"DCFBase"}</definedName>
    <definedName name="BS1a_4_2" localSheetId="3" hidden="1">{"standalone1",#N/A,FALSE,"DCFBase";"standalone2",#N/A,FALSE,"DCFBase"}</definedName>
    <definedName name="BS1a_4_2" hidden="1">{"standalone1",#N/A,FALSE,"DCFBase";"standalone2",#N/A,FALSE,"DCFBase"}</definedName>
    <definedName name="BS1a_4_3" localSheetId="3" hidden="1">{"standalone1",#N/A,FALSE,"DCFBase";"standalone2",#N/A,FALSE,"DCFBase"}</definedName>
    <definedName name="BS1a_4_3" hidden="1">{"standalone1",#N/A,FALSE,"DCFBase";"standalone2",#N/A,FALSE,"DCFBase"}</definedName>
    <definedName name="BS1a_4_4" localSheetId="3" hidden="1">{"standalone1",#N/A,FALSE,"DCFBase";"standalone2",#N/A,FALSE,"DCFBase"}</definedName>
    <definedName name="BS1a_4_4" hidden="1">{"standalone1",#N/A,FALSE,"DCFBase";"standalone2",#N/A,FALSE,"DCFBase"}</definedName>
    <definedName name="BS1a_4_5" localSheetId="3" hidden="1">{"standalone1",#N/A,FALSE,"DCFBase";"standalone2",#N/A,FALSE,"DCFBase"}</definedName>
    <definedName name="BS1a_4_5" hidden="1">{"standalone1",#N/A,FALSE,"DCFBase";"standalone2",#N/A,FALSE,"DCFBase"}</definedName>
    <definedName name="BS1a_5" localSheetId="3" hidden="1">{"standalone1",#N/A,FALSE,"DCFBase";"standalone2",#N/A,FALSE,"DCFBase"}</definedName>
    <definedName name="BS1a_5" hidden="1">{"standalone1",#N/A,FALSE,"DCFBase";"standalone2",#N/A,FALSE,"DCFBase"}</definedName>
    <definedName name="BS1a_5_1" localSheetId="3" hidden="1">{"standalone1",#N/A,FALSE,"DCFBase";"standalone2",#N/A,FALSE,"DCFBase"}</definedName>
    <definedName name="BS1a_5_1" hidden="1">{"standalone1",#N/A,FALSE,"DCFBase";"standalone2",#N/A,FALSE,"DCFBase"}</definedName>
    <definedName name="BS1a_5_2" localSheetId="3" hidden="1">{"standalone1",#N/A,FALSE,"DCFBase";"standalone2",#N/A,FALSE,"DCFBase"}</definedName>
    <definedName name="BS1a_5_2" hidden="1">{"standalone1",#N/A,FALSE,"DCFBase";"standalone2",#N/A,FALSE,"DCFBase"}</definedName>
    <definedName name="BS1a_5_3" localSheetId="3" hidden="1">{"standalone1",#N/A,FALSE,"DCFBase";"standalone2",#N/A,FALSE,"DCFBase"}</definedName>
    <definedName name="BS1a_5_3" hidden="1">{"standalone1",#N/A,FALSE,"DCFBase";"standalone2",#N/A,FALSE,"DCFBase"}</definedName>
    <definedName name="BS1a_5_4" localSheetId="3" hidden="1">{"standalone1",#N/A,FALSE,"DCFBase";"standalone2",#N/A,FALSE,"DCFBase"}</definedName>
    <definedName name="BS1a_5_4" hidden="1">{"standalone1",#N/A,FALSE,"DCFBase";"standalone2",#N/A,FALSE,"DCFBase"}</definedName>
    <definedName name="BS1a_5_5" localSheetId="3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localSheetId="3" hidden="1">{"sales",#N/A,FALSE,"Sales";"sales existing",#N/A,FALSE,"Sales";"sales rd1",#N/A,FALSE,"Sales";"sales rd2",#N/A,FALSE,"Sales"}</definedName>
    <definedName name="bsdfasdf" hidden="1">{"sales",#N/A,FALSE,"Sales";"sales existing",#N/A,FALSE,"Sales";"sales rd1",#N/A,FALSE,"Sales";"sales rd2",#N/A,FALSE,"Sales"}</definedName>
    <definedName name="bsdfdsmfbmdsbgm" localSheetId="3" hidden="1">{#N/A,#N/A,FALSE,"Aging Summary";#N/A,#N/A,FALSE,"Ratio Analysis";#N/A,#N/A,FALSE,"Test 120 Day Accts";#N/A,#N/A,FALSE,"Tickmarks"}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 localSheetId="4">[79]Notes!#REF!</definedName>
    <definedName name="bshist">#REF!</definedName>
    <definedName name="bsHistEU" localSheetId="4">[79]Notes!#REF!</definedName>
    <definedName name="bsHistEU">#REF!</definedName>
    <definedName name="bsht" localSheetId="3" hidden="1">{#N/A,#N/A,FALSE,"FINAL"}</definedName>
    <definedName name="bsht" hidden="1">{#N/A,#N/A,FALSE,"FINAL"}</definedName>
    <definedName name="bskdfj" localSheetId="3" hidden="1">{"bs",#N/A,FALSE,"SCF"}</definedName>
    <definedName name="bskdfj" hidden="1">{"bs",#N/A,FALSE,"SCF"}</definedName>
    <definedName name="bsl" localSheetId="3" hidden="1">{"bs",#N/A,FALSE,"SCF"}</definedName>
    <definedName name="bsl" hidden="1">{"bs",#N/A,FALSE,"SCF"}</definedName>
    <definedName name="BSLnominal">#REF!</definedName>
    <definedName name="BSM" localSheetId="3" hidden="1">{#N/A,#N/A,FALSE,"ALM-ASISC"}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localSheetId="3" hidden="1">{"bs",#N/A,FALSE,"SCF"}</definedName>
    <definedName name="bst" hidden="1">{"bs",#N/A,FALSE,"SCF"}</definedName>
    <definedName name="bsth" localSheetId="3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localSheetId="3" hidden="1">{#N/A,#N/A,FALSE,"ALM-ASISC"}</definedName>
    <definedName name="BTRGNHB" hidden="1">{#N/A,#N/A,FALSE,"ALM-ASISC"}</definedName>
    <definedName name="BTS신설" localSheetId="3" hidden="1">{#N/A,#N/A,FALSE,"3가";#N/A,#N/A,FALSE,"3나";#N/A,#N/A,FALSE,"3다"}</definedName>
    <definedName name="BTS신설" hidden="1">{#N/A,#N/A,FALSE,"3가";#N/A,#N/A,FALSE,"3나";#N/A,#N/A,FALSE,"3다"}</definedName>
    <definedName name="BTS추가증설" localSheetId="3" hidden="1">{#N/A,#N/A,FALSE,"3가";#N/A,#N/A,FALSE,"3나";#N/A,#N/A,FALSE,"3다"}</definedName>
    <definedName name="BTS추가증설" hidden="1">{#N/A,#N/A,FALSE,"3가";#N/A,#N/A,FALSE,"3나";#N/A,#N/A,FALSE,"3다"}</definedName>
    <definedName name="bty" localSheetId="3" hidden="1">{#N/A,#N/A,FALSE,"PGW"}</definedName>
    <definedName name="bty" hidden="1">{#N/A,#N/A,FALSE,"PGW"}</definedName>
    <definedName name="bu" hidden="1">#REF!</definedName>
    <definedName name="BU_SW" localSheetId="4">'[80]Customer Support Group'!$A$58:$F$61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 localSheetId="4">[43]TB!$E:$E</definedName>
    <definedName name="BUD_CODE">#REF!</definedName>
    <definedName name="Bud_cut" localSheetId="4">'[81]Summary 2001-2002'!#REF!</definedName>
    <definedName name="Bud_cut">#REF!</definedName>
    <definedName name="Bud_cut1" localSheetId="4">'[82]2002 budget vs Actual ariel'!#REF!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 localSheetId="4">'[83]General data'!$C$2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localSheetId="3" hidden="1">{"detail",#N/A,FALSE,"mfg";"summary",#N/A,FALSE,"mfg"}</definedName>
    <definedName name="bull" hidden="1">{"detail",#N/A,FALSE,"mfg";"summary",#N/A,FALSE,"mfg"}</definedName>
    <definedName name="bull2" localSheetId="3" hidden="1">{#N/A,"PURCHM",FALSE,"Business Analysis";#N/A,"SPADD",FALSE,"Business Analysis"}</definedName>
    <definedName name="bull2" hidden="1">{#N/A,"PURCHM",FALSE,"Business Analysis";#N/A,"SPADD",FALSE,"Business Analysis"}</definedName>
    <definedName name="bull3" localSheetId="3" hidden="1">{"detail",#N/A,FALSE,"mfg";"summary",#N/A,FALSE,"mfg"}</definedName>
    <definedName name="bull3" hidden="1">{"detail",#N/A,FALSE,"mfg";"summary",#N/A,FALSE,"mfg"}</definedName>
    <definedName name="bull4" localSheetId="3" hidden="1">{#N/A,"PURCHM",FALSE,"Business Analysis";#N/A,"SPADD",FALSE,"Business Analysis"}</definedName>
    <definedName name="bull4" hidden="1">{#N/A,"PURCHM",FALSE,"Business Analysis";#N/A,"SPADD",FALSE,"Business Analysis"}</definedName>
    <definedName name="bull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localSheetId="4" hidden="1">{"Outflow 1",#N/A,FALSE,"Outflows-Inflows";"Outflow 2",#N/A,FALSE,"Outflows-Inflows";"Inflow 1",#N/A,FALSE,"Outflows-Inflows";"Inflow 2",#N/A,FALSE,"Outflows-Inflows"}</definedName>
    <definedName name="Bullshit" localSheetId="3" hidden="1">{"Outflow 1",#N/A,FALSE,"Outflows-Inflows";"Outflow 2",#N/A,FALSE,"Outflows-Inflows";"Inflow 1",#N/A,FALSE,"Outflows-Inflows";"Inflow 2",#N/A,FALSE,"Outflows-Inflows"}</definedName>
    <definedName name="Bullshit" hidden="1">{"Outflow 1",#N/A,FALSE,"Outflows-Inflows";"Outflow 2",#N/A,FALSE,"Outflows-Inflows";"Inflow 1",#N/A,FALSE,"Outflows-Inflows";"Inflow 2",#N/A,FALSE,"Outflows-Inflows"}</definedName>
    <definedName name="Bullshit_1" localSheetId="4" hidden="1">{"Outflow 1",#N/A,FALSE,"Outflows-Inflows";"Outflow 2",#N/A,FALSE,"Outflows-Inflows";"Inflow 1",#N/A,FALSE,"Outflows-Inflows";"Inflow 2",#N/A,FALSE,"Outflows-Inflows"}</definedName>
    <definedName name="Bullshit_1" localSheetId="3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localSheetId="3" hidden="1">{"SchG1",#N/A,FALSE,"Schedules";"SchG2",#N/A,FALSE,"Schedules"}</definedName>
    <definedName name="buma" hidden="1">{"SchG1",#N/A,FALSE,"Schedules";"SchG2",#N/A,FALSE,"Schedules"}</definedName>
    <definedName name="BumaSena" localSheetId="3" hidden="1">{"SchL1",#N/A,FALSE,"Schedules";"SchL2",#N/A,FALSE,"Schedules"}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localSheetId="3" hidden="1">{"sales",#N/A,FALSE,"Sales";"sales existing",#N/A,FALSE,"Sales";"sales rd1",#N/A,FALSE,"Sales";"sales rd2",#N/A,FALSE,"Sales"}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localSheetId="3" hidden="1">{"sales",#N/A,FALSE,"Sales";"sales existing",#N/A,FALSE,"Sales";"sales rd1",#N/A,FALSE,"Sales";"sales rd2",#N/A,FALSE,"Sales"}</definedName>
    <definedName name="Business1" hidden="1">{"sales",#N/A,FALSE,"Sales";"sales existing",#N/A,FALSE,"Sales";"sales rd1",#N/A,FALSE,"Sales";"sales rd2",#N/A,FALSE,"Sales"}</definedName>
    <definedName name="Business2" localSheetId="3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localSheetId="3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 localSheetId="4">[84]Seasonalization!$A$37:$A$43</definedName>
    <definedName name="BusinessLine">#REF!</definedName>
    <definedName name="butt2" localSheetId="3">'Company Name COGS+OPEX Build'!butt2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 localSheetId="3">'Company Name COGS+OPEX Build'!Button2_Cilck2</definedName>
    <definedName name="Button2_Cilck2">[0]!Button2_Cilck2</definedName>
    <definedName name="Button2_Click" localSheetId="3">'Company Name COGS+OPEX Build'!Button2_Click</definedName>
    <definedName name="Button2_Click">[0]!Button2_Click</definedName>
    <definedName name="BUY_ASSETS" localSheetId="4">'[85]Expected Term'!BUY_ASSETS</definedName>
    <definedName name="BUY_ASSETS">#REF!</definedName>
    <definedName name="BUY_STOCK" localSheetId="4">'[85]Expected Term'!BUY_STOCK</definedName>
    <definedName name="BUY_STOCK">#REF!</definedName>
    <definedName name="buyers" localSheetId="3" hidden="1">{"'Data Summary'!$A$1:$O$26"}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localSheetId="3" hidden="1">{"table",#N/A,FALSE,"COVER";"income_statement",#N/A,FALSE,"COVER"}</definedName>
    <definedName name="bvvv" hidden="1">{"table",#N/A,FALSE,"COVER";"income_statement",#N/A,FALSE,"COVER"}</definedName>
    <definedName name="bvwrg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localSheetId="3" hidden="1">{#N/A,#N/A,FALSE,"OSBL"}</definedName>
    <definedName name="bwgh" hidden="1">{#N/A,#N/A,FALSE,"OSBL"}</definedName>
    <definedName name="bwrhrt" localSheetId="3" hidden="1">{#N/A,#N/A,FALSE,"PGW"}</definedName>
    <definedName name="bwrhrt" hidden="1">{#N/A,#N/A,FALSE,"PGW"}</definedName>
    <definedName name="bx" hidden="1">#REF!</definedName>
    <definedName name="by" hidden="1">#REF!</definedName>
    <definedName name="bye" localSheetId="4" hidden="1">{#N/A,#N/A,FALSE,"Aging Summary";#N/A,#N/A,FALSE,"Ratio Analysis";#N/A,#N/A,FALSE,"Test 120 Day Accts";#N/A,#N/A,FALSE,"Tickmarks"}</definedName>
    <definedName name="bye" localSheetId="3" hidden="1">{#N/A,#N/A,FALSE,"Aging Summary";#N/A,#N/A,FALSE,"Ratio Analysis";#N/A,#N/A,FALSE,"Test 120 Day Accts";#N/A,#N/A,FALSE,"Tickmarks"}</definedName>
    <definedName name="bye" hidden="1">{#N/A,#N/A,FALSE,"Aging Summary";#N/A,#N/A,FALSE,"Ratio Analysis";#N/A,#N/A,FALSE,"Test 120 Day Accts";#N/A,#N/A,FALSE,"Tickmarks"}</definedName>
    <definedName name="bye_1" localSheetId="4" hidden="1">{#N/A,#N/A,FALSE,"Aging Summary";#N/A,#N/A,FALSE,"Ratio Analysis";#N/A,#N/A,FALSE,"Test 120 Day Accts";#N/A,#N/A,FALSE,"Tickmarks"}</definedName>
    <definedName name="bye_1" localSheetId="3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 localSheetId="4">[86]Criterias!$A$5:$B$6</definedName>
    <definedName name="c_Billing_כח_אדם">#REF!</definedName>
    <definedName name="c_Citiswitch">#REF!</definedName>
    <definedName name="c_CONS_כח_אדם" localSheetId="4">[86]Criterias!$A$23:$B$24</definedName>
    <definedName name="c_CONS_כח_אדם">#REF!</definedName>
    <definedName name="c_date">#REF!</definedName>
    <definedName name="c_dateswitch">#REF!</definedName>
    <definedName name="c_EB_כח_אדם" localSheetId="4">[86]Criterias!$A$59:$B$60</definedName>
    <definedName name="c_EB_כח_אדם">#REF!</definedName>
    <definedName name="c_ETTM_כח_אדם" localSheetId="4">[86]Criterias!$A$77:$B$78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 localSheetId="4">[86]Criterias!$A$113:$B$114</definedName>
    <definedName name="c_STP_כח_אדם">#REF!</definedName>
    <definedName name="c_SUE_כח_אדם" localSheetId="4">[86]Criterias!$A$149:$B$150</definedName>
    <definedName name="c_SUE_כח_אדם">#REF!</definedName>
    <definedName name="c_YIGAL_כח_אדם" localSheetId="4">[86]Criterias!$A$167:$B$168</definedName>
    <definedName name="c_YIGAL_כח_אדם">#REF!</definedName>
    <definedName name="c_בטחון_וממשלה_כח_אדם" localSheetId="4">[86]Criterias!$A$185:$B$186</definedName>
    <definedName name="c_בטחון_וממשלה_כח_אדם">#REF!</definedName>
    <definedName name="ca" hidden="1">#REF!</definedName>
    <definedName name="Cable" localSheetId="3" hidden="1">{#N/A,#N/A,FALSE,"Operations";#N/A,#N/A,FALSE,"Financials"}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localSheetId="3" hidden="1">{#N/A,#N/A,FALSE,"Operations";#N/A,#N/A,FALSE,"Financials"}</definedName>
    <definedName name="Cable2" hidden="1">{#N/A,#N/A,FALSE,"Operations";#N/A,#N/A,FALSE,"Financials"}</definedName>
    <definedName name="CAGR">#REF!</definedName>
    <definedName name="CAGRTrig">#REF!</definedName>
    <definedName name="cal">#REF!</definedName>
    <definedName name="calass">#REF!</definedName>
    <definedName name="calc" localSheetId="4">[87]!calc</definedName>
    <definedName name="calc">#REF!</definedName>
    <definedName name="CALC_AREA">#REF!</definedName>
    <definedName name="Calc_date" localSheetId="4">'[88]Full Optionees List'!$C$2</definedName>
    <definedName name="Calc_date">#REF!</definedName>
    <definedName name="Calcs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 localSheetId="4">'[89]Receipts and Disbursements'!#REF!</definedName>
    <definedName name="calculations">#REF!</definedName>
    <definedName name="calculationwrksht95">#REF!</definedName>
    <definedName name="calculationwrksht96">#REF!</definedName>
    <definedName name="calcutta" localSheetId="3" hidden="1">{#N/A,#N/A,FALSE,"CMN_FE"}</definedName>
    <definedName name="calcutta" hidden="1">{#N/A,#N/A,FALSE,"CMN_FE"}</definedName>
    <definedName name="Calendar10Month">#REF!</definedName>
    <definedName name="Calendar10MonthOption" localSheetId="3">MATCH(Calendar10Month,'Company Name COGS+OPEX Build'!Months,0)</definedName>
    <definedName name="Calendar10MonthOption">MATCH(Calendar10Month,Months,0)</definedName>
    <definedName name="Calendar10Year">#REF!</definedName>
    <definedName name="Calendar11Month">#REF!</definedName>
    <definedName name="Calendar11MonthOption" localSheetId="3">MATCH(Calendar11Month,'Company Name COGS+OPEX Build'!Months,0)</definedName>
    <definedName name="Calendar11MonthOption">MATCH(Calendar11Month,Months,0)</definedName>
    <definedName name="Calendar11Year">#REF!</definedName>
    <definedName name="Calendar12Month">#REF!</definedName>
    <definedName name="Calendar12MonthOption" localSheetId="3">MATCH(Calendar12Month,'Company Name COGS+OPEX Build'!Months,0)</definedName>
    <definedName name="Calendar12MonthOption">MATCH(Calendar12Month,Months,0)</definedName>
    <definedName name="Calendar12Year">#REF!</definedName>
    <definedName name="Calendar1Month">#REF!</definedName>
    <definedName name="Calendar1MonthOption" localSheetId="3">MATCH(Calendar1Month,'Company Name COGS+OPEX Build'!Months,0)</definedName>
    <definedName name="Calendar1MonthOption">MATCH(Calendar1Month,Months,0)</definedName>
    <definedName name="Calendar1Year">#REF!</definedName>
    <definedName name="Calendar2Month">#REF!</definedName>
    <definedName name="Calendar2MonthOption" localSheetId="3">MATCH(Calendar2Month,'Company Name COGS+OPEX Build'!Months,0)</definedName>
    <definedName name="Calendar2MonthOption">MATCH(Calendar2Month,Months,0)</definedName>
    <definedName name="Calendar2Year">#REF!</definedName>
    <definedName name="Calendar3Month">#REF!</definedName>
    <definedName name="Calendar3MonthOption" localSheetId="3">MATCH(Calendar3Month,'Company Name COGS+OPEX Build'!Months,0)</definedName>
    <definedName name="Calendar3MonthOption">MATCH(Calendar3Month,Months,0)</definedName>
    <definedName name="Calendar3Year">#REF!</definedName>
    <definedName name="Calendar4Month">#REF!</definedName>
    <definedName name="Calendar4MonthOption" localSheetId="3">MATCH(Calendar4Month,'Company Name COGS+OPEX Build'!Months,0)</definedName>
    <definedName name="Calendar4MonthOption">MATCH(Calendar4Month,Months,0)</definedName>
    <definedName name="Calendar4Year">#REF!</definedName>
    <definedName name="Calendar5Month">#REF!</definedName>
    <definedName name="Calendar5MonthOption" localSheetId="3">MATCH(Calendar5Month,'Company Name COGS+OPEX Build'!Months,0)</definedName>
    <definedName name="Calendar5MonthOption">MATCH(Calendar5Month,Months,0)</definedName>
    <definedName name="Calendar5Year">#REF!</definedName>
    <definedName name="Calendar6Month">#REF!</definedName>
    <definedName name="Calendar6MonthOption" localSheetId="3">MATCH(Calendar6Month,'Company Name COGS+OPEX Build'!Months,0)</definedName>
    <definedName name="Calendar6MonthOption">MATCH(Calendar6Month,Months,0)</definedName>
    <definedName name="Calendar6Year">#REF!</definedName>
    <definedName name="Calendar7Month">#REF!</definedName>
    <definedName name="Calendar7MonthOption" localSheetId="3">MATCH(Calendar7Month,'Company Name COGS+OPEX Build'!Months,0)</definedName>
    <definedName name="Calendar7MonthOption">MATCH(Calendar7Month,Months,0)</definedName>
    <definedName name="Calendar7Year">#REF!</definedName>
    <definedName name="Calendar8Month">#REF!</definedName>
    <definedName name="Calendar8MonthOption" localSheetId="3">MATCH(Calendar8Month,'Company Name COGS+OPEX Build'!Months,0)</definedName>
    <definedName name="Calendar8MonthOption">MATCH(Calendar8Month,Months,0)</definedName>
    <definedName name="Calendar8Year">#REF!</definedName>
    <definedName name="Calendar9Month">#REF!</definedName>
    <definedName name="Calendar9MonthOption" localSheetId="3">MATCH(Calendar9Month,'Company Name COGS+OPEX Build'!Months,0)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 localSheetId="4">'[90]Page 298-299'!$B$15</definedName>
    <definedName name="Call">#REF!</definedName>
    <definedName name="CalPE1">#REF!</definedName>
    <definedName name="CalPE2">#REF!</definedName>
    <definedName name="CalPE3">#REF!</definedName>
    <definedName name="CAMACHO" localSheetId="3" hidden="1">{#N/A,#N/A,FALSE,"Monthly"}</definedName>
    <definedName name="CAMACHO" hidden="1">{#N/A,#N/A,FALSE,"Monthly"}</definedName>
    <definedName name="Campbell">#REF!</definedName>
    <definedName name="canac" localSheetId="3" hidden="1">{#N/A,#N/A,FALSE,"UK";#N/A,#N/A,FALSE,"BA";#N/A,#N/A,FALSE,"VZ"}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localSheetId="4">[91]עזר!#REF!</definedName>
    <definedName name="cancel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 localSheetId="4">[92]Options!#REF!</definedName>
    <definedName name="Cancelled___Expired_WA">#REF!</definedName>
    <definedName name="Cancelled___Expired_Year" localSheetId="4">[92]Options!#REF!</definedName>
    <definedName name="Cancelled___Expired_Year">#REF!</definedName>
    <definedName name="cand">#REF!</definedName>
    <definedName name="CAP">#REF!</definedName>
    <definedName name="cap.po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 localSheetId="4">[79]Notes!#REF!</definedName>
    <definedName name="capexp">#REF!</definedName>
    <definedName name="capinput">#REF!</definedName>
    <definedName name="capinput2">#REF!</definedName>
    <definedName name="CapIntExp">#REF!</definedName>
    <definedName name="capital">'[89]Receipts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localSheetId="3" hidden="1">{"detail",#N/A,FALSE,"mfg";"summary",#N/A,FALSE,"mfg"}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 localSheetId="4">'[63]general ledger'!$E$3:$E$248</definedName>
    <definedName name="cards_selections">#REF!</definedName>
    <definedName name="cards_selections_bbs">[93]BBS!$A$10:$A$61</definedName>
    <definedName name="cards_selections_bpl">'[64]BP&amp;L'!$A$9:$A$70</definedName>
    <definedName name="Carl" localSheetId="4">'[94]30.09.03:30.06.03'!$A$6:$F$24</definedName>
    <definedName name="Carl">#REF!</definedName>
    <definedName name="Carlease">#REF!</definedName>
    <definedName name="CARLOS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localSheetId="3" hidden="1">{#N/A,#N/A,FALSE,"TOWNSHIP"}</definedName>
    <definedName name="CASCSAC" hidden="1">{#N/A,#N/A,FALSE,"TOWNSHIP"}</definedName>
    <definedName name="casds" localSheetId="3">{"DCF1",#N/A,FALSE,"SIERRA DCF";"MATRIX1",#N/A,FALSE,"SIERRA DCF"}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 localSheetId="4">[95]consolidation!#REF!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 localSheetId="4">'[96]Consolidation '!#REF!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 localSheetId="4">[45]Workings!$D$549:$O$549</definedName>
    <definedName name="CashFlowOperating">#REF!</definedName>
    <definedName name="cashgimmel">#REF!</definedName>
    <definedName name="CashUse">#REF!</definedName>
    <definedName name="cat" localSheetId="4" hidden="1">{#N/A,#N/A,FALSE,"Taxblinc";#N/A,#N/A,FALSE,"Rsvsacls"}</definedName>
    <definedName name="cat" localSheetId="3" hidden="1">{#N/A,#N/A,FALSE,"Taxblinc";#N/A,#N/A,FALSE,"Rsvsacls"}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[12]מחירון!#REF!</definedName>
    <definedName name="CB_GC_CSR_BUS">[12]מחירון!#REF!</definedName>
    <definedName name="CB_GC_CSR_BUS_EXTRA">[12]מחירון!#REF!</definedName>
    <definedName name="CB_GC_CSR_EXTRA">[12]מחירון!#REF!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localSheetId="3" hidden="1">{#N/A,#N/A,FALSE,"Sheet1"}</definedName>
    <definedName name="cbcbc" hidden="1">{#N/A,#N/A,FALSE,"Sheet1"}</definedName>
    <definedName name="CBONUS">#REF!</definedName>
    <definedName name="CBS">#REF!</definedName>
    <definedName name="cbt">'[60]c.b.t'!$C$5:$I$69,'[60]c.b.t'!$C$71:$I$121,'[60]c.b.t'!$C$126:$I$162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 localSheetId="4">[97]WP!$C$6</definedName>
    <definedName name="cc">#REF!</definedName>
    <definedName name="cc_1" localSheetId="3" hidden="1">{#N/A,#N/A,FALSE,"Assessment";#N/A,#N/A,FALSE,"Staffing";#N/A,#N/A,FALSE,"Hires";#N/A,#N/A,FALSE,"Assumptions"}</definedName>
    <definedName name="cc_1" hidden="1">{#N/A,#N/A,FALSE,"Assessment";#N/A,#N/A,FALSE,"Staffing";#N/A,#N/A,FALSE,"Hires";#N/A,#N/A,FALSE,"Assumptions"}</definedName>
    <definedName name="cc_1_1" localSheetId="3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localSheetId="3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localSheetId="3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localSheetId="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localSheetId="3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localSheetId="3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localSheetId="3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localSheetId="3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localSheetId="3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localSheetId="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localSheetId="3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localSheetId="3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localSheetId="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localSheetId="3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localSheetId="3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localSheetId="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localSheetId="3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localSheetId="3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localSheetId="3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localSheetId="3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localSheetId="3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localSheetId="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localSheetId="3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localSheetId="3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localSheetId="3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localSheetId="3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localSheetId="3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localSheetId="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localSheetId="3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localSheetId="4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localSheetId="3" hidden="1">{#N/A,#N/A,FALSE,"Layout Cash Flow"}</definedName>
    <definedName name="cccc" hidden="1">{#N/A,#N/A,FALSE,"Layout Cash Flow"}</definedName>
    <definedName name="ccccc" localSheetId="3" hidden="1">{"10yp key data",#N/A,FALSE,"Market Data"}</definedName>
    <definedName name="ccccc" hidden="1">{"10yp key data",#N/A,FALSE,"Market Data"}</definedName>
    <definedName name="ccccccc" localSheetId="4" hidden="1">{"rtn",#N/A,FALSE,"RTN";"tables",#N/A,FALSE,"RTN";"cf",#N/A,FALSE,"CF";"stats",#N/A,FALSE,"Stats";"prop",#N/A,FALSE,"Prop"}</definedName>
    <definedName name="ccccccc" localSheetId="3" hidden="1">{"rtn",#N/A,FALSE,"RTN";"tables",#N/A,FALSE,"RTN";"cf",#N/A,FALSE,"CF";"stats",#N/A,FALSE,"Stats";"prop",#N/A,FALSE,"Prop"}</definedName>
    <definedName name="ccccccc" hidden="1">{"rtn",#N/A,FALSE,"RTN";"tables",#N/A,FALSE,"RTN";"cf",#N/A,FALSE,"CF";"stats",#N/A,FALSE,"Stats";"prop",#N/A,FALSE,"Prop"}</definedName>
    <definedName name="ccccccc_1" localSheetId="4" hidden="1">{"rtn",#N/A,FALSE,"RTN";"tables",#N/A,FALSE,"RTN";"cf",#N/A,FALSE,"CF";"stats",#N/A,FALSE,"Stats";"prop",#N/A,FALSE,"Prop"}</definedName>
    <definedName name="ccccccc_1" localSheetId="3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localSheetId="4" hidden="1">{"Outflow 1",#N/A,FALSE,"Outflows-Inflows";"Outflow 2",#N/A,FALSE,"Outflows-Inflows";"Inflow 1",#N/A,FALSE,"Outflows-Inflows";"Inflow 2",#N/A,FALSE,"Outflows-Inflows"}</definedName>
    <definedName name="cccccccccccc" localSheetId="3" hidden="1">{"Outflow 1",#N/A,FALSE,"Outflows-Inflows";"Outflow 2",#N/A,FALSE,"Outflows-Inflows";"Inflow 1",#N/A,FALSE,"Outflows-Inflows";"Inflow 2",#N/A,FALSE,"Outflows-Inflows"}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localSheetId="4" hidden="1">{"Outflow 1",#N/A,FALSE,"Outflows-Inflows";"Outflow 2",#N/A,FALSE,"Outflows-Inflows";"Inflow 1",#N/A,FALSE,"Outflows-Inflows";"Inflow 2",#N/A,FALSE,"Outflows-Inflows"}</definedName>
    <definedName name="cccccccccccc_1" localSheetId="3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localSheetId="3" hidden="1">{"HW",#N/A,FALSE,"1998"}</definedName>
    <definedName name="cccccccccccccccc" hidden="1">{"HW",#N/A,FALSE,"1998"}</definedName>
    <definedName name="ccf" localSheetId="3" hidden="1">{"YD PRS",#N/A,FALSE,"YTD"}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localSheetId="4">'[98]Parameters '!$M$2</definedName>
    <definedName name="cd" hidden="1">#REF!</definedName>
    <definedName name="cd0" localSheetId="4" hidden="1">{#N/A,#N/A,FALSE,"Job Sched"}</definedName>
    <definedName name="cd0" localSheetId="3" hidden="1">{#N/A,#N/A,FALSE,"Job Sched"}</definedName>
    <definedName name="cd0" hidden="1">{#N/A,#N/A,FALSE,"Job Sched"}</definedName>
    <definedName name="cdcd" localSheetId="3" hidden="1">{"Consol10",#N/A,FALSE,"ConsolidatingBS"}</definedName>
    <definedName name="cdcd" hidden="1">{"Consol10",#N/A,FALSE,"ConsolidatingBS"}</definedName>
    <definedName name="cdds" localSheetId="3" hidden="1">{"detail",#N/A,FALSE,"mfg";"summary",#N/A,FALSE,"mfg"}</definedName>
    <definedName name="cdds" hidden="1">{"detail",#N/A,FALSE,"mfg";"summary",#N/A,FALSE,"mfg"}</definedName>
    <definedName name="CDE" localSheetId="3" hidden="1">{#N/A,#N/A,FALSE,"CMN_FE"}</definedName>
    <definedName name="CDE" hidden="1">{#N/A,#N/A,FALSE,"CMN_FE"}</definedName>
    <definedName name="cdetail">#REF!</definedName>
    <definedName name="cdf" localSheetId="3" hidden="1">{"sales growth",#N/A,FALSE,"summary";"oper income",#N/A,FALSE,"summary";"oros rank",#N/A,FALSE,"summary";"net assets",#N/A,FALSE,"summary";"asset turnover",#N/A,FALSE,"summary";"orona",#N/A,FALSE,"summary"}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localSheetId="3" hidden="1">{"detail",#N/A,FALSE,"mfg";"summary",#N/A,FALSE,"mfg"}</definedName>
    <definedName name="cds" hidden="1">{"detail",#N/A,FALSE,"mfg";"summary",#N/A,FALSE,"mfg"}</definedName>
    <definedName name="CDW" localSheetId="4" hidden="1">{#N/A,#N/A,FALSE,"Job Sched"}</definedName>
    <definedName name="CDW" localSheetId="3" hidden="1">{#N/A,#N/A,FALSE,"Job Sched"}</definedName>
    <definedName name="CDW" hidden="1">{#N/A,#N/A,FALSE,"Job Sched"}</definedName>
    <definedName name="ce" hidden="1">#REF!</definedName>
    <definedName name="cea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 localSheetId="3">{"fis.dbo.r1_datasum"}</definedName>
    <definedName name="cert">{"fis.dbo.r1_datasum"}</definedName>
    <definedName name="cert1" localSheetId="3">{"fis.dbo.r1_datasum"}</definedName>
    <definedName name="cert1">{"fis.dbo.r1_datasum"}</definedName>
    <definedName name="CES">#REF!</definedName>
    <definedName name="cew" localSheetId="3" hidden="1">{"ICD Details",#N/A,FALSE,"Current Yr";"ICD Details",#N/A,FALSE,"Budget";"ICD Details",#N/A,FALSE,"Prior Year"}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localSheetId="3" hidden="1">{"Act_vs_Budget",#N/A,FALSE,"QTRDPVAR";"Act_vs_Prior_Year",#N/A,FALSE,"QTRDPVAR"}</definedName>
    <definedName name="cfg" hidden="1">{"Act_vs_Budget",#N/A,FALSE,"QTRDPVAR";"Act_vs_Prior_Year",#N/A,FALSE,"QTRDPVAR"}</definedName>
    <definedName name="cfiuseoyvhl" hidden="1">#REF!</definedName>
    <definedName name="cflo" localSheetId="3" hidden="1">{"CASH FLOW",#N/A,FALSE,"A"}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localSheetId="3" hidden="1">{#N/A,#N/A,FALSE,"TOWNSHIP"}</definedName>
    <definedName name="CGF" hidden="1">{#N/A,#N/A,FALSE,"TOWNSHIP"}</definedName>
    <definedName name="CGFBNSDF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localSheetId="3" hidden="1">{#N/A,#N/A,FALSE,"FREE"}</definedName>
    <definedName name="CGFGFGF" hidden="1">{#N/A,#N/A,FALSE,"FREE"}</definedName>
    <definedName name="cghf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localSheetId="3" hidden="1">{#N/A,#N/A,FALSE,"FINAL"}</definedName>
    <definedName name="CGHM" hidden="1">{#N/A,#N/A,FALSE,"FINAL"}</definedName>
    <definedName name="CGS">#REF!</definedName>
    <definedName name="cgvg" localSheetId="3" hidden="1">{#N/A,#N/A,FALSE,"FREE"}</definedName>
    <definedName name="cgvg" hidden="1">{#N/A,#N/A,FALSE,"FREE"}</definedName>
    <definedName name="ch" hidden="1">#REF!</definedName>
    <definedName name="Change" localSheetId="4" hidden="1">#N/A</definedName>
    <definedName name="CHANGE" localSheetId="3" hidden="1">{"calcul",#N/A,FALSE,"Special Emissions"}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localSheetId="3" hidden="1">{"Page1",#N/A,FALSE,"CompCo";"Page2",#N/A,FALSE,"CompCo"}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localSheetId="3" hidden="1">{#N/A,#N/A,FALSE,"Pharm";#N/A,#N/A,FALSE,"WWCM"}</definedName>
    <definedName name="Chart" hidden="1">{#N/A,#N/A,FALSE,"Pharm";#N/A,#N/A,FALSE,"WWCM"}</definedName>
    <definedName name="Chart_1" localSheetId="3" hidden="1">{#N/A,#N/A,FALSE,"Pharm";#N/A,#N/A,FALSE,"WWCM"}</definedName>
    <definedName name="Chart_1" hidden="1">{#N/A,#N/A,FALSE,"Pharm";#N/A,#N/A,FALSE,"WWCM"}</definedName>
    <definedName name="Chart_2" localSheetId="3" hidden="1">{#N/A,#N/A,FALSE,"Pharm";#N/A,#N/A,FALSE,"WWCM"}</definedName>
    <definedName name="Chart_2" hidden="1">{#N/A,#N/A,FALSE,"Pharm";#N/A,#N/A,FALSE,"WWCM"}</definedName>
    <definedName name="Chart_3" localSheetId="3" hidden="1">{#N/A,#N/A,FALSE,"Pharm";#N/A,#N/A,FALSE,"WWCM"}</definedName>
    <definedName name="Chart_3" hidden="1">{#N/A,#N/A,FALSE,"Pharm";#N/A,#N/A,FALSE,"WWCM"}</definedName>
    <definedName name="Chart_4" localSheetId="3" hidden="1">{#N/A,#N/A,FALSE,"Pharm";#N/A,#N/A,FALSE,"WWCM"}</definedName>
    <definedName name="Chart_4" hidden="1">{#N/A,#N/A,FALSE,"Pharm";#N/A,#N/A,FALSE,"WWCM"}</definedName>
    <definedName name="chartNew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 localSheetId="4">[77]DASHBOARD!#REF!</definedName>
    <definedName name="check2">#REF!</definedName>
    <definedName name="check2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localSheetId="3" hidden="1">{"sales",#N/A,FALSE,"Sales";"sales existing",#N/A,FALSE,"Sales";"sales rd1",#N/A,FALSE,"Sales";"sales rd2",#N/A,FALSE,"Sales"}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localSheetId="4" hidden="1">{#N/A,#N/A,FALSE,"Summary";#N/A,#N/A,FALSE,"1991";#N/A,#N/A,FALSE,"91 AMT";#N/A,#N/A,FALSE,"1992";#N/A,#N/A,FALSE,"92 AMT";#N/A,#N/A,FALSE,"1993";#N/A,#N/A,FALSE,"93 AMT"}</definedName>
    <definedName name="chik" localSheetId="3" hidden="1">{#N/A,#N/A,FALSE,"Summary";#N/A,#N/A,FALSE,"1991";#N/A,#N/A,FALSE,"91 AMT";#N/A,#N/A,FALSE,"1992";#N/A,#N/A,FALSE,"92 AMT";#N/A,#N/A,FALSE,"1993";#N/A,#N/A,FALSE,"93 AMT"}</definedName>
    <definedName name="chik" hidden="1">{#N/A,#N/A,FALSE,"Summary";#N/A,#N/A,FALSE,"1991";#N/A,#N/A,FALSE,"91 AMT";#N/A,#N/A,FALSE,"1992";#N/A,#N/A,FALSE,"92 AMT";#N/A,#N/A,FALSE,"1993";#N/A,#N/A,FALSE,"93 AMT"}</definedName>
    <definedName name="China_Share" localSheetId="4">'[99]Overall market'!#REF!</definedName>
    <definedName name="China_Share">#REF!</definedName>
    <definedName name="chock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localSheetId="3" hidden="1">{#N/A,#N/A,FALSE,"Sheet1"}</definedName>
    <definedName name="Choicepoint" hidden="1">{#N/A,#N/A,FALSE,"Sheet1"}</definedName>
    <definedName name="Choices_Wrapper" localSheetId="3">'Company Name COGS+OPEX Build'!Choices_Wrapper</definedName>
    <definedName name="Choices_Wrapper">[0]!Choices_Wrapper</definedName>
    <definedName name="chosie" localSheetId="3" hidden="1">{#N/A,#N/A,FALSE,"Pharm";#N/A,#N/A,FALSE,"WWCM"}</definedName>
    <definedName name="chosie" hidden="1">{#N/A,#N/A,FALSE,"Pharm";#N/A,#N/A,FALSE,"WWCM"}</definedName>
    <definedName name="chosie_1" localSheetId="3" hidden="1">{#N/A,#N/A,FALSE,"Pharm";#N/A,#N/A,FALSE,"WWCM"}</definedName>
    <definedName name="chosie_1" hidden="1">{#N/A,#N/A,FALSE,"Pharm";#N/A,#N/A,FALSE,"WWCM"}</definedName>
    <definedName name="chosie_2" localSheetId="3" hidden="1">{#N/A,#N/A,FALSE,"Pharm";#N/A,#N/A,FALSE,"WWCM"}</definedName>
    <definedName name="chosie_2" hidden="1">{#N/A,#N/A,FALSE,"Pharm";#N/A,#N/A,FALSE,"WWCM"}</definedName>
    <definedName name="chosie_3" localSheetId="3" hidden="1">{#N/A,#N/A,FALSE,"Pharm";#N/A,#N/A,FALSE,"WWCM"}</definedName>
    <definedName name="chosie_3" hidden="1">{#N/A,#N/A,FALSE,"Pharm";#N/A,#N/A,FALSE,"WWCM"}</definedName>
    <definedName name="chosie_4" localSheetId="3" hidden="1">{#N/A,#N/A,FALSE,"Pharm";#N/A,#N/A,FALSE,"WWCM"}</definedName>
    <definedName name="chosie_4" hidden="1">{#N/A,#N/A,FALSE,"Pharm";#N/A,#N/A,FALSE,"WWCM"}</definedName>
    <definedName name="chris" localSheetId="3" hidden="1">{#N/A,#N/A,FALSE,"Sheet1"}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localSheetId="3" hidden="1">{"sales",#N/A,FALSE,"Sales";"sales existing",#N/A,FALSE,"Sales";"sales rd1",#N/A,FALSE,"Sales";"sales rd2",#N/A,FALSE,"Sales"}</definedName>
    <definedName name="chuckle" hidden="1">{"sales",#N/A,FALSE,"Sales";"sales existing",#N/A,FALSE,"Sales";"sales rd1",#N/A,FALSE,"Sales";"sales rd2",#N/A,FALSE,"Sales"}</definedName>
    <definedName name="chulk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localSheetId="3" hidden="1">{"sales",#N/A,FALSE,"Sales";"sales existing",#N/A,FALSE,"Sales";"sales rd1",#N/A,FALSE,"Sales";"sales rd2",#N/A,FALSE,"Sales"}</definedName>
    <definedName name="chumple" hidden="1">{"sales",#N/A,FALSE,"Sales";"sales existing",#N/A,FALSE,"Sales";"sales rd1",#N/A,FALSE,"Sales";"sales rd2",#N/A,FALSE,"Sales"}</definedName>
    <definedName name="CI" localSheetId="4">'[100]Commitment Item List'!$C$5:$C$299</definedName>
    <definedName name="ci" hidden="1">#REF!</definedName>
    <definedName name="CIBC_Oppenheimer">#REF!</definedName>
    <definedName name="CID" localSheetId="3" hidden="1">{#N/A,#N/A,FALSE,"ALM-ASISC"}</definedName>
    <definedName name="CID" hidden="1">{#N/A,#N/A,FALSE,"ALM-ASISC"}</definedName>
    <definedName name="CIlist" localSheetId="4">'[101]CI List'!$B$2:$B$101</definedName>
    <definedName name="CIlist">#REF!</definedName>
    <definedName name="cip" localSheetId="4">[79]Notes!#REF!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localSheetId="3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localSheetId="3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localSheetId="3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localSheetId="3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localSheetId="3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localSheetId="4" hidden="1">"3e714707-5fb5-49c8-a33d-f7b50fccc414"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 localSheetId="3">#REF!</definedName>
    <definedName name="circ">#REF!</definedName>
    <definedName name="Citigroup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group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'[48]GL-PC'!#REF!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localSheetId="3" hidden="1">{#N/A,#N/A,FALSE,"FINAL"}</definedName>
    <definedName name="CMCM" hidden="1">{#N/A,#N/A,FALSE,"FINAL"}</definedName>
    <definedName name="cmf">#REF!</definedName>
    <definedName name="CMH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localSheetId="3" hidden="1">{#N/A,#N/A,FALSE,"Aging Summary";#N/A,#N/A,FALSE,"Ratio Analysis";#N/A,#N/A,FALSE,"Test 120 Day Accts";#N/A,#N/A,FALSE,"Tickmarks"}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 localSheetId="4">[102]GEAC!$Z$10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'[30]Temp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'[48]GL-PC'!#REF!</definedName>
    <definedName name="COGS_Miscellaneous">'[48]GL-PC'!#REF!</definedName>
    <definedName name="COGS_Vehicle_Expenses">'[48]GL-PC'!#REF!</definedName>
    <definedName name="cogs1">#REF!</definedName>
    <definedName name="cogs2">#REF!</definedName>
    <definedName name="cogs3">#REF!</definedName>
    <definedName name="cogs4">#REF!</definedName>
    <definedName name="COGstandard" localSheetId="3" hidden="1">{#N/A,#N/A,FALSE,"Pharm";#N/A,#N/A,FALSE,"WWCM"}</definedName>
    <definedName name="COGstandard" hidden="1">{#N/A,#N/A,FALSE,"Pharm";#N/A,#N/A,FALSE,"WWCM"}</definedName>
    <definedName name="COGstandard_1" localSheetId="3" hidden="1">{#N/A,#N/A,FALSE,"Pharm";#N/A,#N/A,FALSE,"WWCM"}</definedName>
    <definedName name="COGstandard_1" hidden="1">{#N/A,#N/A,FALSE,"Pharm";#N/A,#N/A,FALSE,"WWCM"}</definedName>
    <definedName name="COGstandard_2" localSheetId="3" hidden="1">{#N/A,#N/A,FALSE,"Pharm";#N/A,#N/A,FALSE,"WWCM"}</definedName>
    <definedName name="COGstandard_2" hidden="1">{#N/A,#N/A,FALSE,"Pharm";#N/A,#N/A,FALSE,"WWCM"}</definedName>
    <definedName name="COGstandard_3" localSheetId="3" hidden="1">{#N/A,#N/A,FALSE,"Pharm";#N/A,#N/A,FALSE,"WWCM"}</definedName>
    <definedName name="COGstandard_3" hidden="1">{#N/A,#N/A,FALSE,"Pharm";#N/A,#N/A,FALSE,"WWCM"}</definedName>
    <definedName name="COGstandard_4" localSheetId="3" hidden="1">{#N/A,#N/A,FALSE,"Pharm";#N/A,#N/A,FALSE,"WWCM"}</definedName>
    <definedName name="COGstandard_4" hidden="1">{#N/A,#N/A,FALSE,"Pharm";#N/A,#N/A,FALSE,"WWCM"}</definedName>
    <definedName name="CoLe" localSheetId="4">[103]Assumptions!#REF!</definedName>
    <definedName name="CoLe">#REF!</definedName>
    <definedName name="colgroup">#REF!</definedName>
    <definedName name="colomrab">[104]rabintex!$K:$K</definedName>
    <definedName name="colomtadirgan">[104]tadirgan!$L:$L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localSheetId="3" hidden="1">{#N/A,#N/A,FALSE,"OnePager"}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localSheetId="4" hidden="1">{"PAGE 1",#N/A,FALSE,"WEST_OT"}</definedName>
    <definedName name="comm2" localSheetId="3" hidden="1">{"PAGE 1",#N/A,FALSE,"WEST_OT"}</definedName>
    <definedName name="comm2" hidden="1">{"PAGE 1",#N/A,FALSE,"WEST_OT"}</definedName>
    <definedName name="comm3" localSheetId="4" hidden="1">{"PAGE 1",#N/A,FALSE,"WEST_OT"}</definedName>
    <definedName name="comm3" localSheetId="3" hidden="1">{"PAGE 1",#N/A,FALSE,"WEST_OT"}</definedName>
    <definedName name="comm3" hidden="1">{"PAGE 1",#N/A,FALSE,"WEST_OT"}</definedName>
    <definedName name="CommDirect">#REF!</definedName>
    <definedName name="Comment">[105]Params!$B$3</definedName>
    <definedName name="commen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'[48]GL-PC'!#REF!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localSheetId="4" hidden="1">{"PAGE 1",#N/A,FALSE,"WEST_OT"}</definedName>
    <definedName name="commrev2" localSheetId="3" hidden="1">{"PAGE 1",#N/A,FALSE,"WEST_OT"}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 localSheetId="4">'[43]P&amp;L Breakdown'!$A:$A</definedName>
    <definedName name="COMP">#REF!</definedName>
    <definedName name="comp_dbf">#REF!</definedName>
    <definedName name="COMP2">#REF!</definedName>
    <definedName name="Company" localSheetId="4">[53]data!$A$3</definedName>
    <definedName name="company">#REF!</definedName>
    <definedName name="Company_1">#REF!</definedName>
    <definedName name="company_code">#REF!</definedName>
    <definedName name="Company_events_and_other_HR">'[48]GL-PC'!#REF!</definedName>
    <definedName name="Company_Match">#REF!</definedName>
    <definedName name="Company_Name" localSheetId="4">'[46]Trial Balance'!$C$2:$L$2</definedName>
    <definedName name="Company_Name">#REF!</definedName>
    <definedName name="CompanyFYEnd">#REF!</definedName>
    <definedName name="CompanyHQ">#REF!</definedName>
    <definedName name="Companylist">'[106]File Setup'!$A$5:$B$11</definedName>
    <definedName name="Companyname" localSheetId="4">[107]Cover!$A$13</definedName>
    <definedName name="CompanyName">#REF!</definedName>
    <definedName name="CompanyNames">#REF!</definedName>
    <definedName name="CompanyValidation">[108]!Companies[Company]</definedName>
    <definedName name="COMPARABLES">#REF!</definedName>
    <definedName name="ComparatEU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[109]Cover!$J$17</definedName>
    <definedName name="Comparisons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compco3" localSheetId="3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 localSheetId="4">'[110]חופשה ופיצויים'!#REF!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localSheetId="4" hidden="1">[111]KeyMultInputs!#REF!</definedName>
    <definedName name="compnam" hidden="1">#REF!</definedName>
    <definedName name="compout2.print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2.print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localSheetId="3" hidden="1">{"FCB_ALL",#N/A,FALSE,"FCB"}</definedName>
    <definedName name="compresult" hidden="1">{"FCB_ALL",#N/A,FALSE,"FCB"}</definedName>
    <definedName name="compresults" localSheetId="3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localSheetId="3" hidden="1">{#N/A,#N/A,FALSE,"PMTABB";#N/A,#N/A,FALSE,"PMTABB"}</definedName>
    <definedName name="conf_balamended" hidden="1">{#N/A,#N/A,FALSE,"PMTABB";#N/A,#N/A,FALSE,"PMTABB"}</definedName>
    <definedName name="Conferences">'[48]GL-PC'!#REF!</definedName>
    <definedName name="Conferences_R_D">'[48]GL-PC'!#REF!</definedName>
    <definedName name="Confused" hidden="1">#REF!</definedName>
    <definedName name="conQ1" localSheetId="3" hidden="1">{#N/A,#N/A,FALSE,"מאזן בוחן";"כל_מאזן_בוחן",#N/A,FALSE,"מאזן בוחן"}</definedName>
    <definedName name="conQ1" hidden="1">{#N/A,#N/A,FALSE,"מאזן בוחן";"כל_מאזן_בוחן",#N/A,FALSE,"מאזן בוחן"}</definedName>
    <definedName name="cons" localSheetId="4">[112]Consolidation!$B$6:$M$270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localSheetId="3" hidden="1">{"DelHaas",#N/A,FALSE,"CONSMO95";"QuickBook",#N/A,FALSE,"CONSMO95"}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localSheetId="4" hidden="1">{#N/A,#N/A,FALSE,"מאזן בוחן";"כל_מאזן_בוחן",#N/A,FALSE,"מאזן בוחן"}</definedName>
    <definedName name="consolidation2003" localSheetId="3" hidden="1">{#N/A,#N/A,FALSE,"מאזן בוחן";"כל_מאזן_בוחן",#N/A,FALSE,"מאזן בוחן"}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localSheetId="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localSheetId="3" hidden="1">{#N/A,#N/A,FALSE,"UK";#N/A,#N/A,FALSE,"BA";#N/A,#N/A,FALSE,"VZ"}</definedName>
    <definedName name="cool6" hidden="1">{#N/A,#N/A,FALSE,"UK";#N/A,#N/A,FALSE,"BA";#N/A,#N/A,FALSE,"VZ"}</definedName>
    <definedName name="cooper2" localSheetId="3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y" localSheetId="3" hidden="1">{"'Customer Support Trends'!$A$1:$AB$13"}</definedName>
    <definedName name="copy" hidden="1">{"'Customer Support Trends'!$A$1:$AB$13"}</definedName>
    <definedName name="COPY_1" localSheetId="3" hidden="1">{#N/A,#N/A,FALSE,"Pharm";#N/A,#N/A,FALSE,"WWCM"}</definedName>
    <definedName name="COPY_1" hidden="1">{#N/A,#N/A,FALSE,"Pharm";#N/A,#N/A,FALSE,"WWCM"}</definedName>
    <definedName name="COPY_2" localSheetId="3" hidden="1">{#N/A,#N/A,FALSE,"Pharm";#N/A,#N/A,FALSE,"WWCM"}</definedName>
    <definedName name="COPY_2" hidden="1">{#N/A,#N/A,FALSE,"Pharm";#N/A,#N/A,FALSE,"WWCM"}</definedName>
    <definedName name="COPY_3" localSheetId="3" hidden="1">{#N/A,#N/A,FALSE,"Pharm";#N/A,#N/A,FALSE,"WWCM"}</definedName>
    <definedName name="COPY_3" hidden="1">{#N/A,#N/A,FALSE,"Pharm";#N/A,#N/A,FALSE,"WWCM"}</definedName>
    <definedName name="COPY_4" localSheetId="3" hidden="1">{#N/A,#N/A,FALSE,"Pharm";#N/A,#N/A,FALSE,"WWCM"}</definedName>
    <definedName name="COPY_4" hidden="1">{#N/A,#N/A,FALSE,"Pharm";#N/A,#N/A,FALSE,"WWCM"}</definedName>
    <definedName name="copy_data" localSheetId="4">[113]Lookup!$D$2:$G$16</definedName>
    <definedName name="copy_data">#REF!</definedName>
    <definedName name="copy1" localSheetId="3" hidden="1">{"'Customer Support Trends'!$A$1:$AB$13"}</definedName>
    <definedName name="copy1" hidden="1">{"'Customer Support Trends'!$A$1:$AB$13"}</definedName>
    <definedName name="copy1_1" localSheetId="3" hidden="1">{#N/A,#N/A,FALSE,"Pharm";#N/A,#N/A,FALSE,"WWCM"}</definedName>
    <definedName name="copy1_1" hidden="1">{#N/A,#N/A,FALSE,"Pharm";#N/A,#N/A,FALSE,"WWCM"}</definedName>
    <definedName name="copy1_2" localSheetId="3" hidden="1">{#N/A,#N/A,FALSE,"Pharm";#N/A,#N/A,FALSE,"WWCM"}</definedName>
    <definedName name="copy1_2" hidden="1">{#N/A,#N/A,FALSE,"Pharm";#N/A,#N/A,FALSE,"WWCM"}</definedName>
    <definedName name="copy1_3" localSheetId="3" hidden="1">{#N/A,#N/A,FALSE,"Pharm";#N/A,#N/A,FALSE,"WWCM"}</definedName>
    <definedName name="copy1_3" hidden="1">{#N/A,#N/A,FALSE,"Pharm";#N/A,#N/A,FALSE,"WWCM"}</definedName>
    <definedName name="copy1_4" localSheetId="3" hidden="1">{#N/A,#N/A,FALSE,"Pharm";#N/A,#N/A,FALSE,"WWCM"}</definedName>
    <definedName name="copy1_4" hidden="1">{#N/A,#N/A,FALSE,"Pharm";#N/A,#N/A,FALSE,"WWCM"}</definedName>
    <definedName name="copy2" localSheetId="3" hidden="1">{"'Customer Support Trends'!$A$1:$AB$13"}</definedName>
    <definedName name="copy2" hidden="1">{"'Customer Support Trends'!$A$1:$AB$13"}</definedName>
    <definedName name="COPY2_1" localSheetId="3" hidden="1">{#N/A,#N/A,FALSE,"Pharm";#N/A,#N/A,FALSE,"WWCM"}</definedName>
    <definedName name="COPY2_1" hidden="1">{#N/A,#N/A,FALSE,"Pharm";#N/A,#N/A,FALSE,"WWCM"}</definedName>
    <definedName name="COPY2_2" localSheetId="3" hidden="1">{#N/A,#N/A,FALSE,"Pharm";#N/A,#N/A,FALSE,"WWCM"}</definedName>
    <definedName name="COPY2_2" hidden="1">{#N/A,#N/A,FALSE,"Pharm";#N/A,#N/A,FALSE,"WWCM"}</definedName>
    <definedName name="COPY2_3" localSheetId="3" hidden="1">{#N/A,#N/A,FALSE,"Pharm";#N/A,#N/A,FALSE,"WWCM"}</definedName>
    <definedName name="COPY2_3" hidden="1">{#N/A,#N/A,FALSE,"Pharm";#N/A,#N/A,FALSE,"WWCM"}</definedName>
    <definedName name="COPY2_4" localSheetId="3" hidden="1">{#N/A,#N/A,FALSE,"Pharm";#N/A,#N/A,FALSE,"WWCM"}</definedName>
    <definedName name="COPY2_4" hidden="1">{#N/A,#N/A,FALSE,"Pharm";#N/A,#N/A,FALSE,"WWCM"}</definedName>
    <definedName name="copy233" localSheetId="3" hidden="1">{#N/A,#N/A,FALSE,"Pharm";#N/A,#N/A,FALSE,"WWCM"}</definedName>
    <definedName name="copy233" hidden="1">{#N/A,#N/A,FALSE,"Pharm";#N/A,#N/A,FALSE,"WWCM"}</definedName>
    <definedName name="copy233_1" localSheetId="3" hidden="1">{#N/A,#N/A,FALSE,"Pharm";#N/A,#N/A,FALSE,"WWCM"}</definedName>
    <definedName name="copy233_1" hidden="1">{#N/A,#N/A,FALSE,"Pharm";#N/A,#N/A,FALSE,"WWCM"}</definedName>
    <definedName name="copy233_2" localSheetId="3" hidden="1">{#N/A,#N/A,FALSE,"Pharm";#N/A,#N/A,FALSE,"WWCM"}</definedName>
    <definedName name="copy233_2" hidden="1">{#N/A,#N/A,FALSE,"Pharm";#N/A,#N/A,FALSE,"WWCM"}</definedName>
    <definedName name="copy233_3" localSheetId="3" hidden="1">{#N/A,#N/A,FALSE,"Pharm";#N/A,#N/A,FALSE,"WWCM"}</definedName>
    <definedName name="copy233_3" hidden="1">{#N/A,#N/A,FALSE,"Pharm";#N/A,#N/A,FALSE,"WWCM"}</definedName>
    <definedName name="copy233_4" localSheetId="3" hidden="1">{#N/A,#N/A,FALSE,"Pharm";#N/A,#N/A,FALSE,"WWCM"}</definedName>
    <definedName name="copy233_4" hidden="1">{#N/A,#N/A,FALSE,"Pharm";#N/A,#N/A,FALSE,"WWCM"}</definedName>
    <definedName name="copy33" localSheetId="3" hidden="1">{#N/A,#N/A,FALSE,"Pharm";#N/A,#N/A,FALSE,"WWCM"}</definedName>
    <definedName name="copy33" hidden="1">{#N/A,#N/A,FALSE,"Pharm";#N/A,#N/A,FALSE,"WWCM"}</definedName>
    <definedName name="copy33_1" localSheetId="3" hidden="1">{#N/A,#N/A,FALSE,"Pharm";#N/A,#N/A,FALSE,"WWCM"}</definedName>
    <definedName name="copy33_1" hidden="1">{#N/A,#N/A,FALSE,"Pharm";#N/A,#N/A,FALSE,"WWCM"}</definedName>
    <definedName name="copy33_2" localSheetId="3" hidden="1">{#N/A,#N/A,FALSE,"Pharm";#N/A,#N/A,FALSE,"WWCM"}</definedName>
    <definedName name="copy33_2" hidden="1">{#N/A,#N/A,FALSE,"Pharm";#N/A,#N/A,FALSE,"WWCM"}</definedName>
    <definedName name="copy33_3" localSheetId="3" hidden="1">{#N/A,#N/A,FALSE,"Pharm";#N/A,#N/A,FALSE,"WWCM"}</definedName>
    <definedName name="copy33_3" hidden="1">{#N/A,#N/A,FALSE,"Pharm";#N/A,#N/A,FALSE,"WWCM"}</definedName>
    <definedName name="copy33_4" localSheetId="3" hidden="1">{#N/A,#N/A,FALSE,"Pharm";#N/A,#N/A,FALSE,"WWCM"}</definedName>
    <definedName name="copy33_4" hidden="1">{#N/A,#N/A,FALSE,"Pharm";#N/A,#N/A,FALSE,"WWCM"}</definedName>
    <definedName name="copy38" localSheetId="3" hidden="1">{#N/A,#N/A,FALSE,"Pharm";#N/A,#N/A,FALSE,"WWCM"}</definedName>
    <definedName name="copy38" hidden="1">{#N/A,#N/A,FALSE,"Pharm";#N/A,#N/A,FALSE,"WWCM"}</definedName>
    <definedName name="copy38_1" localSheetId="3" hidden="1">{#N/A,#N/A,FALSE,"Pharm";#N/A,#N/A,FALSE,"WWCM"}</definedName>
    <definedName name="copy38_1" hidden="1">{#N/A,#N/A,FALSE,"Pharm";#N/A,#N/A,FALSE,"WWCM"}</definedName>
    <definedName name="copy38_2" localSheetId="3" hidden="1">{#N/A,#N/A,FALSE,"Pharm";#N/A,#N/A,FALSE,"WWCM"}</definedName>
    <definedName name="copy38_2" hidden="1">{#N/A,#N/A,FALSE,"Pharm";#N/A,#N/A,FALSE,"WWCM"}</definedName>
    <definedName name="copy38_3" localSheetId="3" hidden="1">{#N/A,#N/A,FALSE,"Pharm";#N/A,#N/A,FALSE,"WWCM"}</definedName>
    <definedName name="copy38_3" hidden="1">{#N/A,#N/A,FALSE,"Pharm";#N/A,#N/A,FALSE,"WWCM"}</definedName>
    <definedName name="copy38_4" localSheetId="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'[114]מיון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 localSheetId="4">[95]consolidation!#REF!</definedName>
    <definedName name="CostOfSales">#REF!</definedName>
    <definedName name="costot">#REF!</definedName>
    <definedName name="COT">#REF!</definedName>
    <definedName name="coun" localSheetId="3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_1" localSheetId="3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localSheetId="3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localSheetId="3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localSheetId="3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localSheetId="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localSheetId="3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localSheetId="3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localSheetId="3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localSheetId="3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localSheetId="3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localSheetId="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localSheetId="3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localSheetId="3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localSheetId="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localSheetId="3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localSheetId="3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localSheetId="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localSheetId="3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localSheetId="3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localSheetId="3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localSheetId="3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localSheetId="3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localSheetId="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localSheetId="3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localSheetId="3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localSheetId="3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localSheetId="3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localSheetId="3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localSheetId="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localSheetId="3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localSheetId="3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localSheetId="3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localSheetId="3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localSheetId="3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localSheetId="3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localSheetId="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localSheetId="3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localSheetId="3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localSheetId="3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localSheetId="3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localSheetId="3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localSheetId="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localSheetId="3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localSheetId="3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localSheetId="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localSheetId="3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localSheetId="3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localSheetId="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localSheetId="3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localSheetId="3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localSheetId="3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localSheetId="3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localSheetId="3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localSheetId="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localSheetId="3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localSheetId="3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localSheetId="3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localSheetId="3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localSheetId="3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localSheetId="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localSheetId="3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localSheetId="3" hidden="1">{#N/A,#N/A,FALSE,"Assessment";#N/A,#N/A,FALSE,"Staffing";#N/A,#N/A,FALSE,"Hires";#N/A,#N/A,FALSE,"Assumptions"}</definedName>
    <definedName name="COUNTRY_1" hidden="1">{#N/A,#N/A,FALSE,"Assessment";#N/A,#N/A,FALSE,"Staffing";#N/A,#N/A,FALSE,"Hires";#N/A,#N/A,FALSE,"Assumptions"}</definedName>
    <definedName name="COUNTRY_1_1" localSheetId="3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localSheetId="3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localSheetId="3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localSheetId="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localSheetId="3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localSheetId="3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localSheetId="3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localSheetId="3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localSheetId="3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localSheetId="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localSheetId="3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localSheetId="3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localSheetId="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localSheetId="3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localSheetId="3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localSheetId="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localSheetId="3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localSheetId="3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localSheetId="3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localSheetId="3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localSheetId="3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localSheetId="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localSheetId="3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localSheetId="3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localSheetId="3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localSheetId="3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localSheetId="3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localSheetId="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localSheetId="3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 localSheetId="4">[115]Data!$A$2:$N$248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localSheetId="3" hidden="1">{#N/A,#N/A,FALSE,"Aging Summary";#N/A,#N/A,FALSE,"Ratio Analysis";#N/A,#N/A,FALSE,"Test 120 Day Accts";#N/A,#N/A,FALSE,"Tickmarks"}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'[48]GL-PC'!#REF!</definedName>
    <definedName name="cpvs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 localSheetId="3">'Company Name COGS+OPEX Build'!crapola_2</definedName>
    <definedName name="crapola_2">[0]!crapola_2</definedName>
    <definedName name="crapola_2a" localSheetId="3">'Company Name COGS+OPEX Build'!crapola_2a</definedName>
    <definedName name="crapola_2a">[0]!crapola_2a</definedName>
    <definedName name="crapola3" localSheetId="3">'Company Name COGS+OPEX Build'!crapola3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localSheetId="3" hidden="1">{#N/A,#N/A,FALSE,"ALM-ASISC"}</definedName>
    <definedName name="CSDFCSADFC" hidden="1">{#N/A,#N/A,FALSE,"ALM-ASISC"}</definedName>
    <definedName name="c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localSheetId="3" hidden="1">{"cap_structure",#N/A,FALSE,"Graph-Mkt Cap";"price",#N/A,FALSE,"Graph-Price";"ebit",#N/A,FALSE,"Graph-EBITDA";"ebitda",#N/A,FALSE,"Graph-EBITDA"}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WSIIIbi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localSheetId="3" hidden="1">{#N/A,#N/A,FALSE,"מערך הלוגיסטיקה"}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 localSheetId="4">[116]shar!#REF!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'[117]לוחות סילוקין'!$C$43:$C$54,'[117]לוחות סילוקין'!$I$43:$I$54,'[117]לוחות סילוקין'!$O$43:$O$54,'[117]לוחות סילוקין'!$U$43:$U$54,'[117]לוחות סילוקין'!$AA$43:$AA$54,'[117]לוחות סילוקין'!$AH$43:$AH$54,'[117]לוחות סילוקין'!$AN$43:$AN$54,'[117]לוחות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localSheetId="4" hidden="1">[118]Inputs!$G$8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 localSheetId="3" hidden="1">{#N/A,#N/A,FALSE,"1996";#N/A,#N/A,FALSE,"1995";#N/A,#N/A,FALSE,"1994"}</definedName>
    <definedName name="Customers" hidden="1">{#N/A,#N/A,FALSE,"1996";#N/A,#N/A,FALSE,"1995";#N/A,#N/A,FALSE,"1994"}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localSheetId="4" hidden="1">{"gross_margin1",#N/A,FALSE,"Gross Margin Detail";"gross_margin2",#N/A,FALSE,"Gross Margin Detail"}</definedName>
    <definedName name="CustRel.2" localSheetId="3" hidden="1">{"gross_margin1",#N/A,FALSE,"Gross Margin Detail";"gross_margin2",#N/A,FALSE,"Gross Margin Detail"}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localSheetId="3" hidden="1">{"detail",#N/A,FALSE,"mfg";"summary",#N/A,FALSE,"mfg"}</definedName>
    <definedName name="cvb" hidden="1">{"detail",#N/A,FALSE,"mfg";"summary",#N/A,FALSE,"mfg"}</definedName>
    <definedName name="cvbn" localSheetId="3" hidden="1">{"vol data",#N/A,FALSE,"Datasheet";"vol graph",#N/A,FALSE,"Volume";"price data",#N/A,FALSE,"Datasheet";"price graph",#N/A,FALSE,"Price";"dp data",#N/A,FALSE,"Datasheet";"dp graph",#N/A,FALSE,"DirectProfit"}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localSheetId="3" hidden="1">{#N/A,#N/A,FALSE,"KA CH  (2)"}</definedName>
    <definedName name="cvc" hidden="1">{#N/A,#N/A,FALSE,"KA CH  (2)"}</definedName>
    <definedName name="cvccvc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localSheetId="3" hidden="1">{"AS REP",#N/A,FALSE,"EEFSNAP2";"PROP",#N/A,FALSE,"EEFSNAP2";"RISKS",#N/A,FALSE,"EEFSNAP2";"VIEW ALL",#N/A,FALSE,"EEFSNAP2"}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localSheetId="3" hidden="1">{"rev_history_revenueDetail",#N/A,FALSE,"historical rev us";"rev_history_minutesDetail",#N/A,FALSE,"historical rev us"}</definedName>
    <definedName name="cvg" hidden="1">{"rev_history_revenueDetail",#N/A,FALSE,"historical rev us";"rev_history_minutesDetail",#N/A,FALSE,"historical rev us"}</definedName>
    <definedName name="cvg.dcf" localSheetId="3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localSheetId="3" hidden="1">{#N/A,#N/A,FALSE,"TOWNSHIP"}</definedName>
    <definedName name="cvh" hidden="1">{#N/A,#N/A,FALSE,"TOWNSHIP"}</definedName>
    <definedName name="CVOIM">#REF!</definedName>
    <definedName name="CVROE">#REF!</definedName>
    <definedName name="cv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localSheetId="3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localSheetId="3" hidden="1">{"pro_view",#N/A,FALSE,"EEFSNAP2";"rep_view",#N/A,FALSE,"EEFSNAP2"}</definedName>
    <definedName name="cz" hidden="1">{"pro_view",#N/A,FALSE,"EEFSNAP2";"rep_view",#N/A,FALSE,"EEFSNAP2"}</definedName>
    <definedName name="czf" localSheetId="3" hidden="1">{"AS REP",#N/A,FALSE,"EEFSNAP2";"PROP",#N/A,FALSE,"EEFSNAP2";"RISKS",#N/A,FALSE,"EEFSNAP2";"VIEW ALL",#N/A,FALSE,"EEFSNAP2"}</definedName>
    <definedName name="czf" hidden="1">{"AS REP",#N/A,FALSE,"EEFSNAP2";"PROP",#N/A,FALSE,"EEFSNAP2";"RISKS",#N/A,FALSE,"EEFSNAP2";"VIEW ALL",#N/A,FALSE,"EEFSNAP2"}</definedName>
    <definedName name="d" localSheetId="4">[119]מדדים!$C$15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'[48]GL-PC'!#REF!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 localSheetId="4">'[1]טורים 98'!$A$1:$AY$145</definedName>
    <definedName name="DAC">#REF!</definedName>
    <definedName name="DAD" localSheetId="3" hidden="1">{#N/A,#N/A,FALSE,"REPORT"}</definedName>
    <definedName name="DAD" hidden="1">{#N/A,#N/A,FALSE,"REPORT"}</definedName>
    <definedName name="DAD_1" localSheetId="3" hidden="1">{#N/A,#N/A,FALSE,"REPORT"}</definedName>
    <definedName name="DAD_1" hidden="1">{#N/A,#N/A,FALSE,"REPORT"}</definedName>
    <definedName name="DAD_2" localSheetId="3" hidden="1">{#N/A,#N/A,FALSE,"REPORT"}</definedName>
    <definedName name="DAD_2" hidden="1">{#N/A,#N/A,FALSE,"REPORT"}</definedName>
    <definedName name="DAD_3" localSheetId="3" hidden="1">{#N/A,#N/A,FALSE,"REPORT"}</definedName>
    <definedName name="DAD_3" hidden="1">{#N/A,#N/A,FALSE,"REPORT"}</definedName>
    <definedName name="DAD_4" localSheetId="3" hidden="1">{#N/A,#N/A,FALSE,"REPORT"}</definedName>
    <definedName name="DAD_4" hidden="1">{#N/A,#N/A,FALSE,"REPORT"}</definedName>
    <definedName name="dada" localSheetId="3">{"'NPCGUIDELINES'!$A$1:$J$41"}</definedName>
    <definedName name="dada">{"'NPCGUIDELINES'!$A$1:$J$41"}</definedName>
    <definedName name="dadad" localSheetId="3">{"'NPCGUIDELINES'!$A$1:$J$41"}</definedName>
    <definedName name="dadad">{"'NPCGUIDELINES'!$A$1:$J$41"}</definedName>
    <definedName name="dadada" localSheetId="3">{"'NPCGUIDELINES'!$A$1:$J$41"}</definedName>
    <definedName name="dadada">{"'NPCGUIDELINES'!$A$1:$J$41"}</definedName>
    <definedName name="dadaw" localSheetId="3">{"'NPCGUIDELINES'!$A$1:$J$41"}</definedName>
    <definedName name="dadaw">{"'NPCGUIDELINES'!$A$1:$J$41"}</definedName>
    <definedName name="dadf" hidden="1">#REF!</definedName>
    <definedName name="DADF_1" localSheetId="3" hidden="1">{#N/A,#N/A,FALSE,"REPORT"}</definedName>
    <definedName name="DADF_1" hidden="1">{#N/A,#N/A,FALSE,"REPORT"}</definedName>
    <definedName name="DADF_2" localSheetId="3" hidden="1">{#N/A,#N/A,FALSE,"REPORT"}</definedName>
    <definedName name="DADF_2" hidden="1">{#N/A,#N/A,FALSE,"REPORT"}</definedName>
    <definedName name="DADF_3" localSheetId="3" hidden="1">{#N/A,#N/A,FALSE,"REPORT"}</definedName>
    <definedName name="DADF_3" hidden="1">{#N/A,#N/A,FALSE,"REPORT"}</definedName>
    <definedName name="DADF_4" localSheetId="3" hidden="1">{#N/A,#N/A,FALSE,"REPORT"}</definedName>
    <definedName name="DADF_4" hidden="1">{#N/A,#N/A,FALSE,"REPORT"}</definedName>
    <definedName name="dadkalkl" localSheetId="3">{"'NPCGUIDELINES'!$A$1:$J$41"}</definedName>
    <definedName name="dadkalkl">{"'NPCGUIDELINES'!$A$1:$J$41"}</definedName>
    <definedName name="dadoio" localSheetId="3">{"'NPCGUIDELINES'!$A$1:$J$41"}</definedName>
    <definedName name="dadoio">{"'NPCGUIDELINES'!$A$1:$J$41"}</definedName>
    <definedName name="dadpop" localSheetId="3">{"'NPCGUIDELINES'!$A$1:$J$41"}</definedName>
    <definedName name="dadpop">{"'NPCGUIDELINES'!$A$1:$J$41"}</definedName>
    <definedName name="dadwqe" localSheetId="3">{"'NPCGUIDELINES'!$A$1:$J$41"}</definedName>
    <definedName name="dadwqe">{"'NPCGUIDELINES'!$A$1:$J$41"}</definedName>
    <definedName name="daf" hidden="1">#REF!</definedName>
    <definedName name="daf_1" localSheetId="3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2" localSheetId="3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localSheetId="3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localSheetId="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localSheetId="3" hidden="1">{"standalone1",#N/A,FALSE,"DCFBase";"standalone2",#N/A,FALSE,"DCFBase"}</definedName>
    <definedName name="dafasdf" hidden="1">{"standalone1",#N/A,FALSE,"DCFBase";"standalone2",#N/A,FALSE,"DCFBase"}</definedName>
    <definedName name="dafasdf_1" localSheetId="3" hidden="1">{"standalone1",#N/A,FALSE,"DCFBase";"standalone2",#N/A,FALSE,"DCFBase"}</definedName>
    <definedName name="dafasdf_1" hidden="1">{"standalone1",#N/A,FALSE,"DCFBase";"standalone2",#N/A,FALSE,"DCFBase"}</definedName>
    <definedName name="dafasdf_1_1" localSheetId="3" hidden="1">{"standalone1",#N/A,FALSE,"DCFBase";"standalone2",#N/A,FALSE,"DCFBase"}</definedName>
    <definedName name="dafasdf_1_1" hidden="1">{"standalone1",#N/A,FALSE,"DCFBase";"standalone2",#N/A,FALSE,"DCFBase"}</definedName>
    <definedName name="dafasdf_1_2" localSheetId="3" hidden="1">{"standalone1",#N/A,FALSE,"DCFBase";"standalone2",#N/A,FALSE,"DCFBase"}</definedName>
    <definedName name="dafasdf_1_2" hidden="1">{"standalone1",#N/A,FALSE,"DCFBase";"standalone2",#N/A,FALSE,"DCFBase"}</definedName>
    <definedName name="dafasdf_1_3" localSheetId="3" hidden="1">{"standalone1",#N/A,FALSE,"DCFBase";"standalone2",#N/A,FALSE,"DCFBase"}</definedName>
    <definedName name="dafasdf_1_3" hidden="1">{"standalone1",#N/A,FALSE,"DCFBase";"standalone2",#N/A,FALSE,"DCFBase"}</definedName>
    <definedName name="dafasdf_1_4" localSheetId="3" hidden="1">{"standalone1",#N/A,FALSE,"DCFBase";"standalone2",#N/A,FALSE,"DCFBase"}</definedName>
    <definedName name="dafasdf_1_4" hidden="1">{"standalone1",#N/A,FALSE,"DCFBase";"standalone2",#N/A,FALSE,"DCFBase"}</definedName>
    <definedName name="dafasdf_1_5" localSheetId="3" hidden="1">{"standalone1",#N/A,FALSE,"DCFBase";"standalone2",#N/A,FALSE,"DCFBase"}</definedName>
    <definedName name="dafasdf_1_5" hidden="1">{"standalone1",#N/A,FALSE,"DCFBase";"standalone2",#N/A,FALSE,"DCFBase"}</definedName>
    <definedName name="dafasdf_2" localSheetId="3" hidden="1">{"standalone1",#N/A,FALSE,"DCFBase";"standalone2",#N/A,FALSE,"DCFBase"}</definedName>
    <definedName name="dafasdf_2" hidden="1">{"standalone1",#N/A,FALSE,"DCFBase";"standalone2",#N/A,FALSE,"DCFBase"}</definedName>
    <definedName name="dafasdf_2_1" localSheetId="3" hidden="1">{"standalone1",#N/A,FALSE,"DCFBase";"standalone2",#N/A,FALSE,"DCFBase"}</definedName>
    <definedName name="dafasdf_2_1" hidden="1">{"standalone1",#N/A,FALSE,"DCFBase";"standalone2",#N/A,FALSE,"DCFBase"}</definedName>
    <definedName name="dafasdf_2_2" localSheetId="3" hidden="1">{"standalone1",#N/A,FALSE,"DCFBase";"standalone2",#N/A,FALSE,"DCFBase"}</definedName>
    <definedName name="dafasdf_2_2" hidden="1">{"standalone1",#N/A,FALSE,"DCFBase";"standalone2",#N/A,FALSE,"DCFBase"}</definedName>
    <definedName name="dafasdf_2_3" localSheetId="3" hidden="1">{"standalone1",#N/A,FALSE,"DCFBase";"standalone2",#N/A,FALSE,"DCFBase"}</definedName>
    <definedName name="dafasdf_2_3" hidden="1">{"standalone1",#N/A,FALSE,"DCFBase";"standalone2",#N/A,FALSE,"DCFBase"}</definedName>
    <definedName name="dafasdf_2_4" localSheetId="3" hidden="1">{"standalone1",#N/A,FALSE,"DCFBase";"standalone2",#N/A,FALSE,"DCFBase"}</definedName>
    <definedName name="dafasdf_2_4" hidden="1">{"standalone1",#N/A,FALSE,"DCFBase";"standalone2",#N/A,FALSE,"DCFBase"}</definedName>
    <definedName name="dafasdf_2_5" localSheetId="3" hidden="1">{"standalone1",#N/A,FALSE,"DCFBase";"standalone2",#N/A,FALSE,"DCFBase"}</definedName>
    <definedName name="dafasdf_2_5" hidden="1">{"standalone1",#N/A,FALSE,"DCFBase";"standalone2",#N/A,FALSE,"DCFBase"}</definedName>
    <definedName name="dafasdf_3" localSheetId="3" hidden="1">{"standalone1",#N/A,FALSE,"DCFBase";"standalone2",#N/A,FALSE,"DCFBase"}</definedName>
    <definedName name="dafasdf_3" hidden="1">{"standalone1",#N/A,FALSE,"DCFBase";"standalone2",#N/A,FALSE,"DCFBase"}</definedName>
    <definedName name="dafasdf_3_1" localSheetId="3" hidden="1">{"standalone1",#N/A,FALSE,"DCFBase";"standalone2",#N/A,FALSE,"DCFBase"}</definedName>
    <definedName name="dafasdf_3_1" hidden="1">{"standalone1",#N/A,FALSE,"DCFBase";"standalone2",#N/A,FALSE,"DCFBase"}</definedName>
    <definedName name="dafasdf_3_2" localSheetId="3" hidden="1">{"standalone1",#N/A,FALSE,"DCFBase";"standalone2",#N/A,FALSE,"DCFBase"}</definedName>
    <definedName name="dafasdf_3_2" hidden="1">{"standalone1",#N/A,FALSE,"DCFBase";"standalone2",#N/A,FALSE,"DCFBase"}</definedName>
    <definedName name="dafasdf_3_3" localSheetId="3" hidden="1">{"standalone1",#N/A,FALSE,"DCFBase";"standalone2",#N/A,FALSE,"DCFBase"}</definedName>
    <definedName name="dafasdf_3_3" hidden="1">{"standalone1",#N/A,FALSE,"DCFBase";"standalone2",#N/A,FALSE,"DCFBase"}</definedName>
    <definedName name="dafasdf_3_4" localSheetId="3" hidden="1">{"standalone1",#N/A,FALSE,"DCFBase";"standalone2",#N/A,FALSE,"DCFBase"}</definedName>
    <definedName name="dafasdf_3_4" hidden="1">{"standalone1",#N/A,FALSE,"DCFBase";"standalone2",#N/A,FALSE,"DCFBase"}</definedName>
    <definedName name="dafasdf_3_5" localSheetId="3" hidden="1">{"standalone1",#N/A,FALSE,"DCFBase";"standalone2",#N/A,FALSE,"DCFBase"}</definedName>
    <definedName name="dafasdf_3_5" hidden="1">{"standalone1",#N/A,FALSE,"DCFBase";"standalone2",#N/A,FALSE,"DCFBase"}</definedName>
    <definedName name="dafasdf_4" localSheetId="3" hidden="1">{"standalone1",#N/A,FALSE,"DCFBase";"standalone2",#N/A,FALSE,"DCFBase"}</definedName>
    <definedName name="dafasdf_4" hidden="1">{"standalone1",#N/A,FALSE,"DCFBase";"standalone2",#N/A,FALSE,"DCFBase"}</definedName>
    <definedName name="dafasdf_4_1" localSheetId="3" hidden="1">{"standalone1",#N/A,FALSE,"DCFBase";"standalone2",#N/A,FALSE,"DCFBase"}</definedName>
    <definedName name="dafasdf_4_1" hidden="1">{"standalone1",#N/A,FALSE,"DCFBase";"standalone2",#N/A,FALSE,"DCFBase"}</definedName>
    <definedName name="dafasdf_4_2" localSheetId="3" hidden="1">{"standalone1",#N/A,FALSE,"DCFBase";"standalone2",#N/A,FALSE,"DCFBase"}</definedName>
    <definedName name="dafasdf_4_2" hidden="1">{"standalone1",#N/A,FALSE,"DCFBase";"standalone2",#N/A,FALSE,"DCFBase"}</definedName>
    <definedName name="dafasdf_4_3" localSheetId="3" hidden="1">{"standalone1",#N/A,FALSE,"DCFBase";"standalone2",#N/A,FALSE,"DCFBase"}</definedName>
    <definedName name="dafasdf_4_3" hidden="1">{"standalone1",#N/A,FALSE,"DCFBase";"standalone2",#N/A,FALSE,"DCFBase"}</definedName>
    <definedName name="dafasdf_4_4" localSheetId="3" hidden="1">{"standalone1",#N/A,FALSE,"DCFBase";"standalone2",#N/A,FALSE,"DCFBase"}</definedName>
    <definedName name="dafasdf_4_4" hidden="1">{"standalone1",#N/A,FALSE,"DCFBase";"standalone2",#N/A,FALSE,"DCFBase"}</definedName>
    <definedName name="dafasdf_4_5" localSheetId="3" hidden="1">{"standalone1",#N/A,FALSE,"DCFBase";"standalone2",#N/A,FALSE,"DCFBase"}</definedName>
    <definedName name="dafasdf_4_5" hidden="1">{"standalone1",#N/A,FALSE,"DCFBase";"standalone2",#N/A,FALSE,"DCFBase"}</definedName>
    <definedName name="dafasdf_5" localSheetId="3" hidden="1">{"standalone1",#N/A,FALSE,"DCFBase";"standalone2",#N/A,FALSE,"DCFBase"}</definedName>
    <definedName name="dafasdf_5" hidden="1">{"standalone1",#N/A,FALSE,"DCFBase";"standalone2",#N/A,FALSE,"DCFBase"}</definedName>
    <definedName name="dafasdf_5_1" localSheetId="3" hidden="1">{"standalone1",#N/A,FALSE,"DCFBase";"standalone2",#N/A,FALSE,"DCFBase"}</definedName>
    <definedName name="dafasdf_5_1" hidden="1">{"standalone1",#N/A,FALSE,"DCFBase";"standalone2",#N/A,FALSE,"DCFBase"}</definedName>
    <definedName name="dafasdf_5_2" localSheetId="3" hidden="1">{"standalone1",#N/A,FALSE,"DCFBase";"standalone2",#N/A,FALSE,"DCFBase"}</definedName>
    <definedName name="dafasdf_5_2" hidden="1">{"standalone1",#N/A,FALSE,"DCFBase";"standalone2",#N/A,FALSE,"DCFBase"}</definedName>
    <definedName name="dafasdf_5_3" localSheetId="3" hidden="1">{"standalone1",#N/A,FALSE,"DCFBase";"standalone2",#N/A,FALSE,"DCFBase"}</definedName>
    <definedName name="dafasdf_5_3" hidden="1">{"standalone1",#N/A,FALSE,"DCFBase";"standalone2",#N/A,FALSE,"DCFBase"}</definedName>
    <definedName name="dafasdf_5_4" localSheetId="3" hidden="1">{"standalone1",#N/A,FALSE,"DCFBase";"standalone2",#N/A,FALSE,"DCFBase"}</definedName>
    <definedName name="dafasdf_5_4" hidden="1">{"standalone1",#N/A,FALSE,"DCFBase";"standalone2",#N/A,FALSE,"DCFBase"}</definedName>
    <definedName name="dafasdf_5_5" localSheetId="3" hidden="1">{"standalone1",#N/A,FALSE,"DCFBase";"standalone2",#N/A,FALSE,"DCFBase"}</definedName>
    <definedName name="dafasdf_5_5" hidden="1">{"standalone1",#N/A,FALSE,"DCFBase";"standalone2",#N/A,FALSE,"DCFBase"}</definedName>
    <definedName name="dafdsa" localSheetId="3" hidden="1">{#N/A,#N/A,FALSE,"Aging Summary";#N/A,#N/A,FALSE,"Ratio Analysis";#N/A,#N/A,FALSE,"Test 120 Day Accts";#N/A,#N/A,FALSE,"Tickmarks"}</definedName>
    <definedName name="dafdsa" hidden="1">{#N/A,#N/A,FALSE,"Aging Summary";#N/A,#N/A,FALSE,"Ratio Analysis";#N/A,#N/A,FALSE,"Test 120 Day Accts";#N/A,#N/A,FALSE,"Tickmarks"}</definedName>
    <definedName name="dafdsaf" localSheetId="3" hidden="1">{"incomemth",#N/A,TRUE,"forecast00";"incomepercentmth",#N/A,TRUE,"forecast00";"balancemth",#N/A,TRUE,"forecast00";"cashmth",#N/A,TRUE,"forecast00";"covenantmth",#N/A,TRUE,"forecast00"}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localSheetId="3">{"qchm_dcf",#N/A,FALSE,"QCHMDCF2";"qchm_terminal",#N/A,FALSE,"QCHMDCF2"}</definedName>
    <definedName name="dafdsf">{"qchm_dcf",#N/A,FALSE,"QCHMDCF2";"qchm_terminal",#N/A,FALSE,"QCHMDCF2"}</definedName>
    <definedName name="dafsaf1" localSheetId="3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localSheetId="3" hidden="1">{#N/A,#N/A,FALSE,"Pharm";#N/A,#N/A,FALSE,"WWCM"}</definedName>
    <definedName name="dakfkjafgkeaj" hidden="1">{#N/A,#N/A,FALSE,"Pharm";#N/A,#N/A,FALSE,"WWCM"}</definedName>
    <definedName name="dakfkjafgkeaj_1" localSheetId="3" hidden="1">{#N/A,#N/A,FALSE,"Pharm";#N/A,#N/A,FALSE,"WWCM"}</definedName>
    <definedName name="dakfkjafgkeaj_1" hidden="1">{#N/A,#N/A,FALSE,"Pharm";#N/A,#N/A,FALSE,"WWCM"}</definedName>
    <definedName name="dakfkjafgkeaj_2" localSheetId="3" hidden="1">{#N/A,#N/A,FALSE,"Pharm";#N/A,#N/A,FALSE,"WWCM"}</definedName>
    <definedName name="dakfkjafgkeaj_2" hidden="1">{#N/A,#N/A,FALSE,"Pharm";#N/A,#N/A,FALSE,"WWCM"}</definedName>
    <definedName name="dakfkjafgkeaj_3" localSheetId="3" hidden="1">{#N/A,#N/A,FALSE,"Pharm";#N/A,#N/A,FALSE,"WWCM"}</definedName>
    <definedName name="dakfkjafgkeaj_3" hidden="1">{#N/A,#N/A,FALSE,"Pharm";#N/A,#N/A,FALSE,"WWCM"}</definedName>
    <definedName name="dakfkjafgkeaj_4" localSheetId="3" hidden="1">{#N/A,#N/A,FALSE,"Pharm";#N/A,#N/A,FALSE,"WWCM"}</definedName>
    <definedName name="dakfkjafgkeaj_4" hidden="1">{#N/A,#N/A,FALSE,"Pharm";#N/A,#N/A,FALSE,"WWCM"}</definedName>
    <definedName name="dan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localSheetId="3" hidden="1">{#N/A,#N/A,FALSE,"Sheet1"}</definedName>
    <definedName name="dare" hidden="1">{#N/A,#N/A,FALSE,"Sheet1"}</definedName>
    <definedName name="Dark_image_ratio">#REF!</definedName>
    <definedName name="das" localSheetId="3" hidden="1">{#N/A,#N/A,FALSE,"Produkte Erw.";#N/A,#N/A,FALSE,"Produkte Plan";#N/A,#N/A,FALSE,"Leistungen Erw.";#N/A,#N/A,FALSE,"Leistungen Plan";#N/A,#N/A,FALSE,"KA Allg.Kosten (2)";#N/A,#N/A,FALSE,"KA All.Kosten"}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 localSheetId="3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 localSheetId="4">'[120]maazan bochan'!$A$2:$D$299</definedName>
    <definedName name="_xlnm.Database">#REF!</definedName>
    <definedName name="Database_MI" localSheetId="4">[121]TRAVEL96!#REF!</definedName>
    <definedName name="Database_MI">#REF!</definedName>
    <definedName name="Database_PL">#REF!</definedName>
    <definedName name="DataDescription" localSheetId="4">[45]Workings!$D$8:$O$8</definedName>
    <definedName name="DataDescription">#REF!</definedName>
    <definedName name="datadownfour" localSheetId="4" hidden="1">'[122]WP_Hist ABC'!#REF!</definedName>
    <definedName name="datadownfour" hidden="1">#REF!</definedName>
    <definedName name="datadownone" localSheetId="4" hidden="1">'[122]WP_Hist ABC'!#REF!</definedName>
    <definedName name="datadownone" hidden="1">#REF!</definedName>
    <definedName name="datadownthree" localSheetId="4" hidden="1">'[122]WP_Hist ABC'!#REF!</definedName>
    <definedName name="datadownthree" hidden="1">#REF!</definedName>
    <definedName name="datadowntwo" localSheetId="4" hidden="1">'[122]WP_Hist ABC'!#REF!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[123]Salaries!$A$2:$AZ$1254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localSheetId="4" hidden="1">'[122]WP_Hist ABC'!#REF!</definedName>
    <definedName name="datatoggle" hidden="1">#REF!</definedName>
    <definedName name="datatoggletwo" localSheetId="4" hidden="1">'[122]WP_Hist ABC'!#REF!</definedName>
    <definedName name="datatoggletwo" hidden="1">#REF!</definedName>
    <definedName name="DataValDate" localSheetId="4" hidden="1">'[122]WP_Hist ABC'!#REF!</definedName>
    <definedName name="DataValDate" hidden="1">#REF!</definedName>
    <definedName name="datavaldate2" localSheetId="4" hidden="1">'[122]WP_Hist ABC'!#REF!</definedName>
    <definedName name="datavaldate2" hidden="1">#REF!</definedName>
    <definedName name="datavaldate3" localSheetId="4" hidden="1">'[122]WP_Hist ABC'!#REF!</definedName>
    <definedName name="datavaldate3" hidden="1">#REF!</definedName>
    <definedName name="Date">#REF!</definedName>
    <definedName name="date_for_vesting_calc.">#REF!</definedName>
    <definedName name="Date_Headings" localSheetId="3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 localSheetId="3">OFFSET(INDEX(DateValRange,MATCH(EOMONTH(CurYrStartDate,-2)+1,DateValRange,0),1),,,13,1)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localSheetId="3" hidden="1">{"'Form'!$A$2:$J$81"}</definedName>
    <definedName name="dave" hidden="1">{"'Form'!$A$2:$J$81"}</definedName>
    <definedName name="Day">#REF!</definedName>
    <definedName name="Days" localSheetId="4">[124]Parameters!$E$8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 localSheetId="3">{0,0,0,0;0,0,0,0;0,0,0,0;0,0,0,0;0,0,0,0}</definedName>
    <definedName name="dbdghdg">{0,0,0,0;0,0,0,0;0,0,0,0;0,0,0,0;0,0,0,0}</definedName>
    <definedName name="DBE">#REF!</definedName>
    <definedName name="dbed" localSheetId="3" hidden="1">{"histincome",#N/A,FALSE,"hyfins";"closing balance",#N/A,FALSE,"hyfins"}</definedName>
    <definedName name="dbed" hidden="1">{"histincome",#N/A,FALSE,"hyfins";"closing balance",#N/A,FALSE,"hyfins"}</definedName>
    <definedName name="DBEST" hidden="1">#REF!</definedName>
    <definedName name="dbf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FWSIIIb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 localSheetId="4">'[125]Cf and Equity Calc'!#REF!</definedName>
    <definedName name="dd">#REF!</definedName>
    <definedName name="dd_1" localSheetId="3" hidden="1">{#N/A,#N/A,FALSE,"Pharm";#N/A,#N/A,FALSE,"WWCM"}</definedName>
    <definedName name="dd_1" hidden="1">{#N/A,#N/A,FALSE,"Pharm";#N/A,#N/A,FALSE,"WWCM"}</definedName>
    <definedName name="dd_2" localSheetId="3" hidden="1">{#N/A,#N/A,FALSE,"Pharm";#N/A,#N/A,FALSE,"WWCM"}</definedName>
    <definedName name="dd_2" hidden="1">{#N/A,#N/A,FALSE,"Pharm";#N/A,#N/A,FALSE,"WWCM"}</definedName>
    <definedName name="dd_3" localSheetId="3" hidden="1">{#N/A,#N/A,FALSE,"Pharm";#N/A,#N/A,FALSE,"WWCM"}</definedName>
    <definedName name="dd_3" hidden="1">{#N/A,#N/A,FALSE,"Pharm";#N/A,#N/A,FALSE,"WWCM"}</definedName>
    <definedName name="dd_4" localSheetId="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 localSheetId="4" hidden="1">{#N/A,#N/A,FALSE,"מאזן בוחן";"כל_מאזן_בוחן",#N/A,FALSE,"מאזן בוחן"}</definedName>
    <definedName name="ddd" localSheetId="3">{"adj95mult",#N/A,FALSE,"COMPCO";"adj95est",#N/A,FALSE,"COMPCO"}</definedName>
    <definedName name="ddd">{"adj95mult",#N/A,FALSE,"COMPCO";"adj95est",#N/A,FALSE,"COMPCO"}</definedName>
    <definedName name="ddd_1" localSheetId="3" hidden="1">{#N/A,#N/A,FALSE,"Pharm";#N/A,#N/A,FALSE,"WWCM"}</definedName>
    <definedName name="ddd_1" hidden="1">{#N/A,#N/A,FALSE,"Pharm";#N/A,#N/A,FALSE,"WWCM"}</definedName>
    <definedName name="ddd_2" localSheetId="3" hidden="1">{#N/A,#N/A,FALSE,"Pharm";#N/A,#N/A,FALSE,"WWCM"}</definedName>
    <definedName name="ddd_2" hidden="1">{#N/A,#N/A,FALSE,"Pharm";#N/A,#N/A,FALSE,"WWCM"}</definedName>
    <definedName name="ddd_3" localSheetId="3" hidden="1">{#N/A,#N/A,FALSE,"Pharm";#N/A,#N/A,FALSE,"WWCM"}</definedName>
    <definedName name="ddd_3" hidden="1">{#N/A,#N/A,FALSE,"Pharm";#N/A,#N/A,FALSE,"WWCM"}</definedName>
    <definedName name="ddd_4" localSheetId="3" hidden="1">{#N/A,#N/A,FALSE,"Pharm";#N/A,#N/A,FALSE,"WWCM"}</definedName>
    <definedName name="ddd_4" hidden="1">{#N/A,#N/A,FALSE,"Pharm";#N/A,#N/A,FALSE,"WWCM"}</definedName>
    <definedName name="dddaz" localSheetId="3" hidden="1">{#N/A,#N/A,FALSE,"Pharm";#N/A,#N/A,FALSE,"WWCM"}</definedName>
    <definedName name="dddaz" hidden="1">{#N/A,#N/A,FALSE,"Pharm";#N/A,#N/A,FALSE,"WWCM"}</definedName>
    <definedName name="dddaz_1" localSheetId="3" hidden="1">{#N/A,#N/A,FALSE,"Pharm";#N/A,#N/A,FALSE,"WWCM"}</definedName>
    <definedName name="dddaz_1" hidden="1">{#N/A,#N/A,FALSE,"Pharm";#N/A,#N/A,FALSE,"WWCM"}</definedName>
    <definedName name="dddaz_2" localSheetId="3" hidden="1">{#N/A,#N/A,FALSE,"Pharm";#N/A,#N/A,FALSE,"WWCM"}</definedName>
    <definedName name="dddaz_2" hidden="1">{#N/A,#N/A,FALSE,"Pharm";#N/A,#N/A,FALSE,"WWCM"}</definedName>
    <definedName name="dddaz_3" localSheetId="3" hidden="1">{#N/A,#N/A,FALSE,"Pharm";#N/A,#N/A,FALSE,"WWCM"}</definedName>
    <definedName name="dddaz_3" hidden="1">{#N/A,#N/A,FALSE,"Pharm";#N/A,#N/A,FALSE,"WWCM"}</definedName>
    <definedName name="dddaz_4" localSheetId="3" hidden="1">{#N/A,#N/A,FALSE,"Pharm";#N/A,#N/A,FALSE,"WWCM"}</definedName>
    <definedName name="dddaz_4" hidden="1">{#N/A,#N/A,FALSE,"Pharm";#N/A,#N/A,FALSE,"WWCM"}</definedName>
    <definedName name="dddd" localSheetId="3">{"'NPCGUIDELINES'!$A$1:$J$41"}</definedName>
    <definedName name="dddd">{"'NPCGUIDELINES'!$A$1:$J$41"}</definedName>
    <definedName name="ddddd" localSheetId="3" hidden="1">{#N/A,#N/A,FALSE,"Pooling";#N/A,#N/A,FALSE,"income";#N/A,#N/A,FALSE,"valuation"}</definedName>
    <definedName name="ddddd" hidden="1">{#N/A,#N/A,FALSE,"Pooling";#N/A,#N/A,FALSE,"income";#N/A,#N/A,FALSE,"valuation"}</definedName>
    <definedName name="dddddd" localSheetId="3" hidden="1">{#N/A,#N/A,FALSE,"A_D";#N/A,#N/A,FALSE,"WACC";#N/A,#N/A,FALSE,"DCF";#N/A,#N/A,FALSE,"A";#N/A,#N/A,FALSE,"LBO";#N/A,#N/A,FALSE,"C";#N/A,#N/A,FALSE,"impd";#N/A,#N/A,FALSE,"comps"}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localSheetId="3" hidden="1">{#N/A,#N/A,FALSE,"Pharm";#N/A,#N/A,FALSE,"WWCM"}</definedName>
    <definedName name="dddddd_1" hidden="1">{#N/A,#N/A,FALSE,"Pharm";#N/A,#N/A,FALSE,"WWCM"}</definedName>
    <definedName name="dddddd_2" localSheetId="3" hidden="1">{#N/A,#N/A,FALSE,"Pharm";#N/A,#N/A,FALSE,"WWCM"}</definedName>
    <definedName name="dddddd_2" hidden="1">{#N/A,#N/A,FALSE,"Pharm";#N/A,#N/A,FALSE,"WWCM"}</definedName>
    <definedName name="dddddd_3" localSheetId="3" hidden="1">{#N/A,#N/A,FALSE,"Pharm";#N/A,#N/A,FALSE,"WWCM"}</definedName>
    <definedName name="dddddd_3" hidden="1">{#N/A,#N/A,FALSE,"Pharm";#N/A,#N/A,FALSE,"WWCM"}</definedName>
    <definedName name="dddddd_4" localSheetId="3" hidden="1">{#N/A,#N/A,FALSE,"Pharm";#N/A,#N/A,FALSE,"WWCM"}</definedName>
    <definedName name="dddddd_4" hidden="1">{#N/A,#N/A,FALSE,"Pharm";#N/A,#N/A,FALSE,"WWCM"}</definedName>
    <definedName name="dddddda" localSheetId="3" hidden="1">{"Summary Schedule",#N/A,FALSE,"Sheet1";"Divisional Support",#N/A,FALSE,"Sheet2";"Corporate Support",#N/A,FALSE,"Sheet3"}</definedName>
    <definedName name="dddddda" hidden="1">{"Summary Schedule",#N/A,FALSE,"Sheet1";"Divisional Support",#N/A,FALSE,"Sheet2";"Corporate Support",#N/A,FALSE,"Sheet3"}</definedName>
    <definedName name="ddddddd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localSheetId="3" hidden="1">{#N/A,#N/A,FALSE,"Aging Summary";#N/A,#N/A,FALSE,"Ratio Analysis";#N/A,#N/A,FALSE,"Test 120 Day Accts";#N/A,#N/A,FALSE,"Tickmarks"}</definedName>
    <definedName name="dddddddd" hidden="1">{#N/A,#N/A,FALSE,"Aging Summary";#N/A,#N/A,FALSE,"Ratio Analysis";#N/A,#N/A,FALSE,"Test 120 Day Accts";#N/A,#N/A,FALSE,"Tickmarks"}</definedName>
    <definedName name="ddddddddd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localSheetId="4" hidden="1">{#N/A,#N/A,FALSE,"AD_Purchase";#N/A,#N/A,FALSE,"Credit";#N/A,#N/A,FALSE,"PF Acquisition";#N/A,#N/A,FALSE,"PF Offering"}</definedName>
    <definedName name="dddddddddd" localSheetId="3" hidden="1">{#N/A,#N/A,FALSE,"AD_Purchase";#N/A,#N/A,FALSE,"Credit";#N/A,#N/A,FALSE,"PF Acquisition";#N/A,#N/A,FALSE,"PF Offering"}</definedName>
    <definedName name="dddddddddd" hidden="1">{#N/A,#N/A,FALSE,"AD_Purchase";#N/A,#N/A,FALSE,"Credit";#N/A,#N/A,FALSE,"PF Acquisition";#N/A,#N/A,FALSE,"PF Offering"}</definedName>
    <definedName name="ddddddddddd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localSheetId="3" hidden="1">{"P and L Detail Page 1",#N/A,FALSE,"Data";"P and L Detail Page 2",#N/A,FALSE,"Data"}</definedName>
    <definedName name="ddddddddddddddddddd" hidden="1">{"P and L Detail Page 1",#N/A,FALSE,"Data";"P and L Detail Page 2",#N/A,FALSE,"Data"}</definedName>
    <definedName name="ddde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localSheetId="3" hidden="1">{#N/A,#N/A,FALSE,"Finanzbedarsrechnung"}</definedName>
    <definedName name="ddee" hidden="1">{#N/A,#N/A,FALSE,"Finanzbedarsrechnung"}</definedName>
    <definedName name="ddf" hidden="1">#REF!</definedName>
    <definedName name="ddfffd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localSheetId="3" hidden="1">{#N/A,#N/A,FALSE,"Sheet1"}</definedName>
    <definedName name="ddsds" hidden="1">{#N/A,#N/A,FALSE,"Sheet1"}</definedName>
    <definedName name="ddx" localSheetId="3" hidden="1">{"YD LAPO2",#N/A,FALSE,"YTD";"YD LPH2",#N/A,FALSE,"YTD";"YD LOUISIANA",#N/A,FALSE,"YTD";"YD GENERALH2",#N/A,FALSE,"YTD";"YD PRS",#N/A,FALSE,"YTD";"YD PACKAGE",#N/A,FALSE,"YTD";"YD OTHER",#N/A,FALSE,"YTD"}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localSheetId="3" hidden="1">{#N/A,#N/A,FALSE,"Cover";#N/A,#N/A,FALSE,"LUMI";#N/A,#N/A,FALSE,"COMD";#N/A,#N/A,FALSE,"Valuation";#N/A,#N/A,FALSE,"Assumptions";#N/A,#N/A,FALSE,"Pooling";#N/A,#N/A,FALSE,"BalanceSheet"}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localSheetId="3" hidden="1">{#N/A,#N/A,FALSE,"Assessment";#N/A,#N/A,FALSE,"Staffing";#N/A,#N/A,FALSE,"Hires";#N/A,#N/A,FALSE,"Assumptions"}</definedName>
    <definedName name="de_1" hidden="1">{#N/A,#N/A,FALSE,"Assessment";#N/A,#N/A,FALSE,"Staffing";#N/A,#N/A,FALSE,"Hires";#N/A,#N/A,FALSE,"Assumptions"}</definedName>
    <definedName name="de_1_1" localSheetId="3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localSheetId="3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localSheetId="3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localSheetId="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localSheetId="3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localSheetId="3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localSheetId="3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localSheetId="3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localSheetId="3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localSheetId="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localSheetId="3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localSheetId="3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localSheetId="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localSheetId="3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localSheetId="3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localSheetId="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localSheetId="3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localSheetId="3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localSheetId="3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localSheetId="3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localSheetId="3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localSheetId="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localSheetId="3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localSheetId="3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localSheetId="3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localSheetId="3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localSheetId="3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localSheetId="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localSheetId="3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localSheetId="3" hidden="1">{"FY03_Assets",#N/A,FALSE,"Fin Stmt Budget";"FY03_Liabilities",#N/A,FALSE,"Fin Stmt Budget";"FY03_Inc_Stmt",#N/A,FALSE,"Fin Stmt Budget";"FY03_SOCF",#N/A,FALSE,"Fin Stmt Budget"}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localSheetId="4" hidden="1">{"print 1.6",#N/A,FALSE,"Sheet1";"print 2.6",#N/A,FALSE,"Sheet1";"print 3.6",#N/A,FALSE,"Sheet1";"print 4.6",#N/A,FALSE,"Sheet1";"print 5.6",#N/A,FALSE,"Sheet1";"print 6.6",#N/A,FALSE,"Sheet1"}</definedName>
    <definedName name="Debt_1" localSheetId="3" hidden="1">{"print 1.6",#N/A,FALSE,"Sheet1";"print 2.6",#N/A,FALSE,"Sheet1";"print 3.6",#N/A,FALSE,"Sheet1";"print 4.6",#N/A,FALSE,"Sheet1";"print 5.6",#N/A,FALSE,"Sheet1";"print 6.6",#N/A,FALSE,"Sheet1"}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localSheetId="4" hidden="1">'[122]WP_Hist ABC'!#REF!</definedName>
    <definedName name="debtpref" hidden="1">#REF!</definedName>
    <definedName name="DebtPrice1">#REF!</definedName>
    <definedName name="DebtPrice2">#REF!</definedName>
    <definedName name="Debtr" localSheetId="3" hidden="1">{#N/A,#N/A,FALSE,"FREE"}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 localSheetId="4">[45]Workings!$D$952:$O$952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 localSheetId="4">'[43]P&amp;L Breakdown'!$T:$T</definedName>
    <definedName name="DEC_BUD">#REF!</definedName>
    <definedName name="DEC_TB" localSheetId="4">[43]TB!$Q:$Q</definedName>
    <definedName name="DEC_TB">#REF!</definedName>
    <definedName name="Dec95JobSched" localSheetId="4" hidden="1">{#N/A,#N/A,FALSE,"Job Sched"}</definedName>
    <definedName name="Dec95JobSched" localSheetId="3" hidden="1">{#N/A,#N/A,FALSE,"Job Sched"}</definedName>
    <definedName name="Dec95JobSched" hidden="1">{#N/A,#N/A,FALSE,"Job Sched"}</definedName>
    <definedName name="december">#REF!</definedName>
    <definedName name="december_99" localSheetId="4">'[126]מדדים ודולר'!#REF!</definedName>
    <definedName name="december_99">#REF!</definedName>
    <definedName name="ded" localSheetId="3" hidden="1">{#N/A,#N/A,TRUE,"Julio";#N/A,#N/A,TRUE,"Agosto";#N/A,#N/A,TRUE,"BHCo";#N/A,#N/A,TRUE,"Abril";#N/A,#N/A,TRUE,"Pro Forma"}</definedName>
    <definedName name="ded" hidden="1">{#N/A,#N/A,TRUE,"Julio";#N/A,#N/A,TRUE,"Agosto";#N/A,#N/A,TRUE,"BHCo";#N/A,#N/A,TRUE,"Abril";#N/A,#N/A,TRUE,"Pro Forma"}</definedName>
    <definedName name="dede" localSheetId="3" hidden="1">{#N/A,#N/A,FALSE,"Pharm";#N/A,#N/A,FALSE,"WWCM"}</definedName>
    <definedName name="dede" hidden="1">{#N/A,#N/A,FALSE,"Pharm";#N/A,#N/A,FALSE,"WWCM"}</definedName>
    <definedName name="dede_1" localSheetId="3" hidden="1">{#N/A,#N/A,FALSE,"Pharm";#N/A,#N/A,FALSE,"WWCM"}</definedName>
    <definedName name="dede_1" hidden="1">{#N/A,#N/A,FALSE,"Pharm";#N/A,#N/A,FALSE,"WWCM"}</definedName>
    <definedName name="dede_2" localSheetId="3" hidden="1">{#N/A,#N/A,FALSE,"Pharm";#N/A,#N/A,FALSE,"WWCM"}</definedName>
    <definedName name="dede_2" hidden="1">{#N/A,#N/A,FALSE,"Pharm";#N/A,#N/A,FALSE,"WWCM"}</definedName>
    <definedName name="dede_3" localSheetId="3" hidden="1">{#N/A,#N/A,FALSE,"Pharm";#N/A,#N/A,FALSE,"WWCM"}</definedName>
    <definedName name="dede_3" hidden="1">{#N/A,#N/A,FALSE,"Pharm";#N/A,#N/A,FALSE,"WWCM"}</definedName>
    <definedName name="dede_4" localSheetId="3" hidden="1">{#N/A,#N/A,FALSE,"Pharm";#N/A,#N/A,FALSE,"WWCM"}</definedName>
    <definedName name="dede_4" hidden="1">{#N/A,#N/A,FALSE,"Pharm";#N/A,#N/A,FALSE,"WWCM"}</definedName>
    <definedName name="DEDED" localSheetId="3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_1" localSheetId="3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localSheetId="3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localSheetId="3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localSheetId="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localSheetId="3" hidden="1">{#N/A,#N/A,FALSE,"Pharm";#N/A,#N/A,FALSE,"WWCM"}</definedName>
    <definedName name="DEDEDZE" hidden="1">{#N/A,#N/A,FALSE,"Pharm";#N/A,#N/A,FALSE,"WWCM"}</definedName>
    <definedName name="DEDEDZE_1" localSheetId="3" hidden="1">{#N/A,#N/A,FALSE,"Pharm";#N/A,#N/A,FALSE,"WWCM"}</definedName>
    <definedName name="DEDEDZE_1" hidden="1">{#N/A,#N/A,FALSE,"Pharm";#N/A,#N/A,FALSE,"WWCM"}</definedName>
    <definedName name="DEDEDZE_2" localSheetId="3" hidden="1">{#N/A,#N/A,FALSE,"Pharm";#N/A,#N/A,FALSE,"WWCM"}</definedName>
    <definedName name="DEDEDZE_2" hidden="1">{#N/A,#N/A,FALSE,"Pharm";#N/A,#N/A,FALSE,"WWCM"}</definedName>
    <definedName name="DEDEDZE_3" localSheetId="3" hidden="1">{#N/A,#N/A,FALSE,"Pharm";#N/A,#N/A,FALSE,"WWCM"}</definedName>
    <definedName name="DEDEDZE_3" hidden="1">{#N/A,#N/A,FALSE,"Pharm";#N/A,#N/A,FALSE,"WWCM"}</definedName>
    <definedName name="DEDEDZE_4" localSheetId="3" hidden="1">{#N/A,#N/A,FALSE,"Pharm";#N/A,#N/A,FALSE,"WWCM"}</definedName>
    <definedName name="DEDEDZE_4" hidden="1">{#N/A,#N/A,FALSE,"Pharm";#N/A,#N/A,FALSE,"WWCM"}</definedName>
    <definedName name="DEDZD" localSheetId="3" hidden="1">{#N/A,#N/A,FALSE,"Pharm";#N/A,#N/A,FALSE,"WWCM"}</definedName>
    <definedName name="DEDZD" hidden="1">{#N/A,#N/A,FALSE,"Pharm";#N/A,#N/A,FALSE,"WWCM"}</definedName>
    <definedName name="DEDZD_1" localSheetId="3" hidden="1">{#N/A,#N/A,FALSE,"Pharm";#N/A,#N/A,FALSE,"WWCM"}</definedName>
    <definedName name="DEDZD_1" hidden="1">{#N/A,#N/A,FALSE,"Pharm";#N/A,#N/A,FALSE,"WWCM"}</definedName>
    <definedName name="DEDZD_2" localSheetId="3" hidden="1">{#N/A,#N/A,FALSE,"Pharm";#N/A,#N/A,FALSE,"WWCM"}</definedName>
    <definedName name="DEDZD_2" hidden="1">{#N/A,#N/A,FALSE,"Pharm";#N/A,#N/A,FALSE,"WWCM"}</definedName>
    <definedName name="DEDZD_3" localSheetId="3" hidden="1">{#N/A,#N/A,FALSE,"Pharm";#N/A,#N/A,FALSE,"WWCM"}</definedName>
    <definedName name="DEDZD_3" hidden="1">{#N/A,#N/A,FALSE,"Pharm";#N/A,#N/A,FALSE,"WWCM"}</definedName>
    <definedName name="DEDZD_4" localSheetId="3" hidden="1">{#N/A,#N/A,FALSE,"Pharm";#N/A,#N/A,FALSE,"WWCM"}</definedName>
    <definedName name="DEDZD_4" hidden="1">{#N/A,#N/A,FALSE,"Pharm";#N/A,#N/A,FALSE,"WWCM"}</definedName>
    <definedName name="dee" localSheetId="3" hidden="1">{#N/A,#N/A,FALSE,"Trading-Mult ";#N/A,#N/A,FALSE,"Trading-Cap";#N/A,#N/A,FALSE,"Trading-Inc";#N/A,#N/A,FALSE,"Cash Flow";#N/A,#N/A,FALSE,"M&amp;A info"}</definedName>
    <definedName name="dee" hidden="1">{#N/A,#N/A,FALSE,"Trading-Mult ";#N/A,#N/A,FALSE,"Trading-Cap";#N/A,#N/A,FALSE,"Trading-Inc";#N/A,#N/A,FALSE,"Cash Flow";#N/A,#N/A,FALSE,"M&amp;A info"}</definedName>
    <definedName name="DEE_1" localSheetId="3" hidden="1">{#N/A,#N/A,FALSE,"Pharm";#N/A,#N/A,FALSE,"WWCM"}</definedName>
    <definedName name="DEE_1" hidden="1">{#N/A,#N/A,FALSE,"Pharm";#N/A,#N/A,FALSE,"WWCM"}</definedName>
    <definedName name="DEE_2" localSheetId="3" hidden="1">{#N/A,#N/A,FALSE,"Pharm";#N/A,#N/A,FALSE,"WWCM"}</definedName>
    <definedName name="DEE_2" hidden="1">{#N/A,#N/A,FALSE,"Pharm";#N/A,#N/A,FALSE,"WWCM"}</definedName>
    <definedName name="DEE_3" localSheetId="3" hidden="1">{#N/A,#N/A,FALSE,"Pharm";#N/A,#N/A,FALSE,"WWCM"}</definedName>
    <definedName name="DEE_3" hidden="1">{#N/A,#N/A,FALSE,"Pharm";#N/A,#N/A,FALSE,"WWCM"}</definedName>
    <definedName name="DEE_4" localSheetId="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localSheetId="3" hidden="1">{"schedule",#N/A,FALSE,"Sum Op's";"input area",#N/A,FALSE,"Sum Op's"}</definedName>
    <definedName name="deleteme" hidden="1">{"schedule",#N/A,FALSE,"Sum Op's";"input area",#N/A,FALSE,"Sum Op's"}</definedName>
    <definedName name="deleteme1" localSheetId="3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'[48]GL-PC'!#REF!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localSheetId="4" hidden="1">{#N/A,#N/A,FALSE,"91NOLCB";#N/A,#N/A,FALSE,"92NOLCB";#N/A,#N/A,FALSE,"93NOLCB"}</definedName>
    <definedName name="dennis" localSheetId="3" hidden="1">{#N/A,#N/A,FALSE,"91NOLCB";#N/A,#N/A,FALSE,"92NOLCB";#N/A,#N/A,FALSE,"93NOLCB"}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 localSheetId="4">[53]data!$U$3</definedName>
    <definedName name="Department">#REF!</definedName>
    <definedName name="DepartmentCost">[127]Parameters!$F$2:$G$35</definedName>
    <definedName name="DepartmentList">[127]Parameters!$F$3:$F$35</definedName>
    <definedName name="DepartmentName">[108]DepartmentList!$A$2:$A$1048576</definedName>
    <definedName name="Depereciation" localSheetId="3">{"'Furniture&amp; O.E'!$A$4:$D$27"}</definedName>
    <definedName name="Depereciation">{"'Furniture&amp; O.E'!$A$4:$D$27"}</definedName>
    <definedName name="Depletion">#REF!</definedName>
    <definedName name="deposit_interest" localSheetId="4">'[128]פקדונות וניירות ערך'!$L$12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'[48]GL-PC'!#REF!</definedName>
    <definedName name="Depreciation_Product_sys_above_10_COGS">'[48]GL-PC'!#REF!</definedName>
    <definedName name="Depreciation_CONNECT_sys">'[48]GL-PC'!#REF!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 localSheetId="3">'Company Name COGS+OPEX Build'!DeprPrint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localSheetId="3" hidden="1">{"TOTTEXAS",#N/A,FALSE,"CM"}</definedName>
    <definedName name="devc" hidden="1">{"TOTTEXAS",#N/A,FALSE,"CM"}</definedName>
    <definedName name="DEVCOMPUTER">#REF!</definedName>
    <definedName name="develop_rate">#REF!</definedName>
    <definedName name="Development_services">'[48]GL-PC'!#REF!</definedName>
    <definedName name="DEVRYINST">#REF!</definedName>
    <definedName name="devsoftware">#REF!</definedName>
    <definedName name="DEZLFEZKLHF" localSheetId="3" hidden="1">{#N/A,#N/A,FALSE,"Pharm";#N/A,#N/A,FALSE,"WWCM"}</definedName>
    <definedName name="DEZLFEZKLHF" hidden="1">{#N/A,#N/A,FALSE,"Pharm";#N/A,#N/A,FALSE,"WWCM"}</definedName>
    <definedName name="DEZLFEZKLHF_1" localSheetId="3" hidden="1">{#N/A,#N/A,FALSE,"Pharm";#N/A,#N/A,FALSE,"WWCM"}</definedName>
    <definedName name="DEZLFEZKLHF_1" hidden="1">{#N/A,#N/A,FALSE,"Pharm";#N/A,#N/A,FALSE,"WWCM"}</definedName>
    <definedName name="DEZLFEZKLHF_2" localSheetId="3" hidden="1">{#N/A,#N/A,FALSE,"Pharm";#N/A,#N/A,FALSE,"WWCM"}</definedName>
    <definedName name="DEZLFEZKLHF_2" hidden="1">{#N/A,#N/A,FALSE,"Pharm";#N/A,#N/A,FALSE,"WWCM"}</definedName>
    <definedName name="DEZLFEZKLHF_3" localSheetId="3" hidden="1">{#N/A,#N/A,FALSE,"Pharm";#N/A,#N/A,FALSE,"WWCM"}</definedName>
    <definedName name="DEZLFEZKLHF_3" hidden="1">{#N/A,#N/A,FALSE,"Pharm";#N/A,#N/A,FALSE,"WWCM"}</definedName>
    <definedName name="DEZLFEZKLHF_4" localSheetId="3" hidden="1">{#N/A,#N/A,FALSE,"Pharm";#N/A,#N/A,FALSE,"WWCM"}</definedName>
    <definedName name="DEZLFEZKLHF_4" hidden="1">{#N/A,#N/A,FALSE,"Pharm";#N/A,#N/A,FALSE,"WWCM"}</definedName>
    <definedName name="df" localSheetId="3" hidden="1">{"Page1",#N/A,FALSE,"CompCo";"Page2",#N/A,FALSE,"CompCo"}</definedName>
    <definedName name="df" hidden="1">{"Page1",#N/A,FALSE,"CompCo";"Page2",#N/A,FALSE,"CompCo"}</definedName>
    <definedName name="dfa" localSheetId="3">{"Acq_matrix",#N/A,FALSE,"Acquisition Matrix"}</definedName>
    <definedName name="dfa">{"Acq_matrix",#N/A,FALSE,"Acquisition Matrix"}</definedName>
    <definedName name="dfafa" hidden="1">#N/A</definedName>
    <definedName name="DFASGFSADGF" localSheetId="3" hidden="1">{#N/A,#N/A,FALSE,"Aging Summary";#N/A,#N/A,FALSE,"Ratio Analysis";#N/A,#N/A,FALSE,"Test 120 Day Accts";#N/A,#N/A,FALSE,"Tickmarks"}</definedName>
    <definedName name="DFASGFSADGF" hidden="1">{#N/A,#N/A,FALSE,"Aging Summary";#N/A,#N/A,FALSE,"Ratio Analysis";#N/A,#N/A,FALSE,"Test 120 Day Accts";#N/A,#N/A,FALSE,"Tickmarks"}</definedName>
    <definedName name="dfd" localSheetId="3" hidden="1">{"FCB_ALL",#N/A,FALSE,"FCB";"GREY_ALL",#N/A,FALSE,"GREY"}</definedName>
    <definedName name="dfd" hidden="1">{"FCB_ALL",#N/A,FALSE,"FCB";"GREY_ALL",#N/A,FALSE,"GREY"}</definedName>
    <definedName name="dfdas" localSheetId="3" hidden="1">{"FCB_ALL",#N/A,FALSE,"FCB";"GREY_ALL",#N/A,FALSE,"GREY"}</definedName>
    <definedName name="dfdas" hidden="1">{"FCB_ALL",#N/A,FALSE,"FCB";"GREY_ALL",#N/A,FALSE,"GREY"}</definedName>
    <definedName name="dfdasf" localSheetId="3" hidden="1">{#N/A,#N/A,FALSE,"Aging Summary";#N/A,#N/A,FALSE,"Ratio Analysis";#N/A,#N/A,FALSE,"Test 120 Day Accts";#N/A,#N/A,FALSE,"Tickmarks"}</definedName>
    <definedName name="dfdasf" hidden="1">{#N/A,#N/A,FALSE,"Aging Summary";#N/A,#N/A,FALSE,"Ratio Analysis";#N/A,#N/A,FALSE,"Test 120 Day Accts";#N/A,#N/A,FALSE,"Tickmarks"}</definedName>
    <definedName name="DFDD" localSheetId="3" hidden="1">{#N/A,#N/A,FALSE,"REPORT"}</definedName>
    <definedName name="DFDD" hidden="1">{#N/A,#N/A,FALSE,"REPORT"}</definedName>
    <definedName name="DFDD_1" localSheetId="3" hidden="1">{#N/A,#N/A,FALSE,"REPORT"}</definedName>
    <definedName name="DFDD_1" hidden="1">{#N/A,#N/A,FALSE,"REPORT"}</definedName>
    <definedName name="DFDD_2" localSheetId="3" hidden="1">{#N/A,#N/A,FALSE,"REPORT"}</definedName>
    <definedName name="DFDD_2" hidden="1">{#N/A,#N/A,FALSE,"REPORT"}</definedName>
    <definedName name="DFDD_3" localSheetId="3" hidden="1">{#N/A,#N/A,FALSE,"REPORT"}</definedName>
    <definedName name="DFDD_3" hidden="1">{#N/A,#N/A,FALSE,"REPORT"}</definedName>
    <definedName name="DFDD_4" localSheetId="3" hidden="1">{#N/A,#N/A,FALSE,"REPORT"}</definedName>
    <definedName name="DFDD_4" hidden="1">{#N/A,#N/A,FALSE,"REPORT"}</definedName>
    <definedName name="dfdddf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 localSheetId="3">{"'Directory'!$A$72:$E$91"}</definedName>
    <definedName name="dfddf">{"'Directory'!$A$72:$E$91"}</definedName>
    <definedName name="df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localSheetId="3" hidden="1">{#N/A,#N/A,FALSE,"sum-don";#N/A,#N/A,FALSE,"inc-don"}</definedName>
    <definedName name="dfdfcfxd" hidden="1">{#N/A,#N/A,FALSE,"sum-don";#N/A,#N/A,FALSE,"inc-don"}</definedName>
    <definedName name="dfdfd" localSheetId="3" hidden="1">{"FCB_ALL",#N/A,FALSE,"FCB";"GREY_ALL",#N/A,FALSE,"GREY"}</definedName>
    <definedName name="dfdfd" hidden="1">{"FCB_ALL",#N/A,FALSE,"FCB";"GREY_ALL",#N/A,FALSE,"GREY"}</definedName>
    <definedName name="dfdfdf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localSheetId="3" hidden="1">{#N/A,#N/A,FALSE,"AD_Purchase";#N/A,#N/A,FALSE,"Credit";#N/A,#N/A,FALSE,"PF Acquisition";#N/A,#N/A,FALSE,"PF Offering"}</definedName>
    <definedName name="dfdfdfd" hidden="1">{#N/A,#N/A,FALSE,"AD_Purchase";#N/A,#N/A,FALSE,"Credit";#N/A,#N/A,FALSE,"PF Acquisition";#N/A,#N/A,FALSE,"PF Offering"}</definedName>
    <definedName name="dfdfdfdddf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 localSheetId="3">{"'1-TheatreBkgs'!$A$1:$L$102"}</definedName>
    <definedName name="dfdg">{"'1-TheatreBkgs'!$A$1:$L$102"}</definedName>
    <definedName name="dfe" hidden="1">#REF!</definedName>
    <definedName name="df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3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 localSheetId="3">{"'1-TheatreBkgs'!$A$1:$L$102"}</definedName>
    <definedName name="dfgf">{"'1-TheatreBkgs'!$A$1:$L$102"}</definedName>
    <definedName name="dfgfd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localSheetId="3" hidden="1">{#N/A,#N/A,FALSE,"Produkte Erw.";#N/A,#N/A,FALSE,"Produkte Plan";#N/A,#N/A,FALSE,"Leistungen Erw.";#N/A,#N/A,FALSE,"Leistungen Plan";#N/A,#N/A,FALSE,"KA Allg.Kosten (2)";#N/A,#N/A,FALSE,"KA All.Kosten"}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localSheetId="3" hidden="1">{#N/A,"PURCHM",FALSE,"Business Analysis";#N/A,"SPADD",FALSE,"Business Analysis"}</definedName>
    <definedName name="dfgh" hidden="1">{#N/A,"PURCHM",FALSE,"Business Analysis";#N/A,"SPADD",FALSE,"Business Analysis"}</definedName>
    <definedName name="dfgh_1" localSheetId="3" hidden="1">{"Frequency Graph",#N/A,FALSE,"Trend";"Loss Cost Graph",#N/A,FALSE,"Trend";"Severity Trend Graph",#N/A,FALSE,"Trend"}</definedName>
    <definedName name="dfgh_1" hidden="1">{"Frequency Graph",#N/A,FALSE,"Trend";"Loss Cost Graph",#N/A,FALSE,"Trend";"Severity Trend Graph",#N/A,FALSE,"Trend"}</definedName>
    <definedName name="dfgh_1_1" localSheetId="3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localSheetId="3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localSheetId="3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localSheetId="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localSheetId="3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localSheetId="3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localSheetId="3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localSheetId="3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localSheetId="3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localSheetId="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localSheetId="3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localSheetId="3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localSheetId="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localSheetId="3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localSheetId="3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localSheetId="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localSheetId="3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localSheetId="3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localSheetId="3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localSheetId="3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localSheetId="3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localSheetId="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localSheetId="3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localSheetId="3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localSheetId="3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localSheetId="3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localSheetId="3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localSheetId="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localSheetId="3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localSheetId="3" hidden="1">{#N/A,#N/A,FALSE,"Umsatz 99";#N/A,#N/A,FALSE,"ER 99 "}</definedName>
    <definedName name="dfghdfhdg" hidden="1">{#N/A,#N/A,FALSE,"Umsatz 99";#N/A,#N/A,FALSE,"ER 99 "}</definedName>
    <definedName name="dfghfd" localSheetId="3" hidden="1">{#N/A,#N/A,FALSE,"PMTABB";#N/A,#N/A,FALSE,"PMTABB"}</definedName>
    <definedName name="dfghfd" hidden="1">{#N/A,#N/A,FALSE,"PMTABB";#N/A,#N/A,FALSE,"PMTABB"}</definedName>
    <definedName name="dfhgfgdjgd" localSheetId="3">{"Matrix",#N/A,FALSE,"ACQMTRX";"Fees",#N/A,FALSE,"ACQMTRX"}</definedName>
    <definedName name="dfhgfgdjgd">{"Matrix",#N/A,FALSE,"ACQMTRX";"Fees",#N/A,FALSE,"ACQMTRX"}</definedName>
    <definedName name="DFHGH" localSheetId="3" hidden="1">{#N/A,#N/A,FALSE,"PGW"}</definedName>
    <definedName name="DFHGH" hidden="1">{#N/A,#N/A,FALSE,"PGW"}</definedName>
    <definedName name="DFHJ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dk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localSheetId="3" hidden="1">{"incomemth",#N/A,TRUE,"forecast00";"incomepercentmth",#N/A,TRUE,"forecast00";"balancemth",#N/A,TRUE,"forecast00";"cashmth",#N/A,TRUE,"forecast00";"covenantmth",#N/A,TRUE,"forecast00"}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localSheetId="3" hidden="1">{"bs",#N/A,FALSE,"SCF"}</definedName>
    <definedName name="dfjl" hidden="1">{"bs",#N/A,FALSE,"SCF"}</definedName>
    <definedName name="dfjsld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localSheetId="3" hidden="1">{#N/A,#N/A,FALSE,"Pharm";#N/A,#N/A,FALSE,"WWCM"}</definedName>
    <definedName name="dfr" hidden="1">{#N/A,#N/A,FALSE,"Pharm";#N/A,#N/A,FALSE,"WWCM"}</definedName>
    <definedName name="dfr_1" localSheetId="3" hidden="1">{#N/A,#N/A,FALSE,"Pharm";#N/A,#N/A,FALSE,"WWCM"}</definedName>
    <definedName name="dfr_1" hidden="1">{#N/A,#N/A,FALSE,"Pharm";#N/A,#N/A,FALSE,"WWCM"}</definedName>
    <definedName name="dfr_2" localSheetId="3" hidden="1">{#N/A,#N/A,FALSE,"Pharm";#N/A,#N/A,FALSE,"WWCM"}</definedName>
    <definedName name="dfr_2" hidden="1">{#N/A,#N/A,FALSE,"Pharm";#N/A,#N/A,FALSE,"WWCM"}</definedName>
    <definedName name="dfr_3" localSheetId="3" hidden="1">{#N/A,#N/A,FALSE,"Pharm";#N/A,#N/A,FALSE,"WWCM"}</definedName>
    <definedName name="dfr_3" hidden="1">{#N/A,#N/A,FALSE,"Pharm";#N/A,#N/A,FALSE,"WWCM"}</definedName>
    <definedName name="dfr_4" localSheetId="3" hidden="1">{#N/A,#N/A,FALSE,"Pharm";#N/A,#N/A,FALSE,"WWCM"}</definedName>
    <definedName name="dfr_4" hidden="1">{#N/A,#N/A,FALSE,"Pharm";#N/A,#N/A,FALSE,"WWCM"}</definedName>
    <definedName name="dfre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localSheetId="3" hidden="1">{#N/A,#N/A,FALSE,"inc state";#N/A,#N/A,FALSE,"Products";#N/A,#N/A,FALSE,"bal sht"}</definedName>
    <definedName name="dfs" hidden="1">{#N/A,#N/A,FALSE,"inc state";#N/A,#N/A,FALSE,"Products";#N/A,#N/A,FALSE,"bal sht"}</definedName>
    <definedName name="DFSA" localSheetId="3" hidden="1">{"'top60compare'!$A$1:$J$123"}</definedName>
    <definedName name="DFSA" hidden="1">{"'top60compare'!$A$1:$J$123"}</definedName>
    <definedName name="df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localSheetId="3" hidden="1">{#N/A,#N/A,FALSE,"TOWNSHIP"}</definedName>
    <definedName name="dfsdfsdfs" hidden="1">{#N/A,#N/A,FALSE,"TOWNSHIP"}</definedName>
    <definedName name="dfsdfsfsdfsf" localSheetId="3" hidden="1">{#N/A,#N/A,FALSE,"PMTABB";#N/A,#N/A,FALSE,"PMTABB"}</definedName>
    <definedName name="dfsdfsfsdfsf" hidden="1">{#N/A,#N/A,FALSE,"PMTABB";#N/A,#N/A,FALSE,"PMTABB"}</definedName>
    <definedName name="dfsfa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localSheetId="3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dg" localSheetId="3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ss" localSheetId="3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f">#REF!</definedName>
    <definedName name="dgfasgag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localSheetId="3" hidden="1">{#N/A,#N/A,FALSE,"Produkte Erw.";#N/A,#N/A,FALSE,"Produkte Plan";#N/A,#N/A,FALSE,"Leistungen Erw.";#N/A,#N/A,FALSE,"Leistungen Plan";#N/A,#N/A,FALSE,"KA Allg.Kosten (2)";#N/A,#N/A,FALSE,"KA All.Kosten"}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localSheetId="3" hidden="1">{"division at glance",#N/A,FALSE,"02-04 Qtr per Div";"division model",#N/A,FALSE,"02-04 Qtr per Div";"doron at glance",#N/A,FALSE,"02-04 Qtr per Div";"doron model",#N/A,FALSE,"02-04 Qtr per Div"}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localSheetId="3" hidden="1">{#N/A,#N/A,FALSE,"summary";#N/A,#N/A,FALSE,"Input"}</definedName>
    <definedName name="DH" hidden="1">{#N/A,#N/A,FALSE,"summary";#N/A,#N/A,FALSE,"Input"}</definedName>
    <definedName name="Diag_DCF" localSheetId="3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3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localSheetId="4" hidden="1">{"Salesass",#N/A,FALSE,"assumpt"}</definedName>
    <definedName name="Did" localSheetId="3" hidden="1">{"Salesass",#N/A,FALSE,"assumpt"}</definedName>
    <definedName name="Did" hidden="1">{"Salesass",#N/A,FALSE,"assumpt"}</definedName>
    <definedName name="die" hidden="1">#REF!</definedName>
    <definedName name="dietplan" localSheetId="3">{"'1-TheatreBkgs'!$A$1:$L$102"}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localSheetId="3" hidden="1">{#N/A,#N/A,FALSE,"ALM-ASISC"}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 localSheetId="4">'[129]job dis'!$A$1:$H$489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 localSheetId="4">'[80]Customer Support Group'!$A$2:$F$18</definedName>
    <definedName name="DiskOnChip_BU">#REF!</definedName>
    <definedName name="dispanel" hidden="1">#REF!</definedName>
    <definedName name="DispCostTable">#REF!</definedName>
    <definedName name="display">[130]!display</definedName>
    <definedName name="display_area_2" hidden="1">#REF!</definedName>
    <definedName name="DisplaySelectedSheetsMacroButton">#REF!</definedName>
    <definedName name="DISPOSAL">#REF!</definedName>
    <definedName name="dist" localSheetId="4">[18]Model!#REF!</definedName>
    <definedName name="dist">#REF!</definedName>
    <definedName name="Distributionexp" localSheetId="4">[18]Model!#REF!</definedName>
    <definedName name="Distributionexp">#REF!</definedName>
    <definedName name="distributor">#REF!</definedName>
    <definedName name="diststş">#REF!</definedName>
    <definedName name="div">#REF!</definedName>
    <definedName name="Div_Industrial" localSheetId="3">{"adj95mult",#N/A,FALSE,"COMPCO";"adj95est",#N/A,FALSE,"COMPCO"}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[Company Name]" localSheetId="3">#REF!</definedName>
    <definedName name="divider[Company Name]" localSheetId="2">#REF!</definedName>
    <definedName name="divider[Company Name]">#REF!</definedName>
    <definedName name="DIVIS">#REF!</definedName>
    <definedName name="division_1">#REF!</definedName>
    <definedName name="DivisionList">[127]Parameters!$I$3:$I$9</definedName>
    <definedName name="DivPayoutRatio">#REF!</definedName>
    <definedName name="DivYield">#REF!</definedName>
    <definedName name="djd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localSheetId="3" hidden="1">{#N/A,#N/A,FALSE,"Other";#N/A,#N/A,FALSE,"Ace";#N/A,#N/A,FALSE,"Derm"}</definedName>
    <definedName name="djksljd" hidden="1">{#N/A,#N/A,FALSE,"Other";#N/A,#N/A,FALSE,"Ace";#N/A,#N/A,FALSE,"Derm"}</definedName>
    <definedName name="djksljd_1" localSheetId="3" hidden="1">{#N/A,#N/A,FALSE,"Other";#N/A,#N/A,FALSE,"Ace";#N/A,#N/A,FALSE,"Derm"}</definedName>
    <definedName name="djksljd_1" hidden="1">{#N/A,#N/A,FALSE,"Other";#N/A,#N/A,FALSE,"Ace";#N/A,#N/A,FALSE,"Derm"}</definedName>
    <definedName name="djksljd_2" localSheetId="3" hidden="1">{#N/A,#N/A,FALSE,"Other";#N/A,#N/A,FALSE,"Ace";#N/A,#N/A,FALSE,"Derm"}</definedName>
    <definedName name="djksljd_2" hidden="1">{#N/A,#N/A,FALSE,"Other";#N/A,#N/A,FALSE,"Ace";#N/A,#N/A,FALSE,"Derm"}</definedName>
    <definedName name="djksljd_3" localSheetId="3" hidden="1">{#N/A,#N/A,FALSE,"Other";#N/A,#N/A,FALSE,"Ace";#N/A,#N/A,FALSE,"Derm"}</definedName>
    <definedName name="djksljd_3" hidden="1">{#N/A,#N/A,FALSE,"Other";#N/A,#N/A,FALSE,"Ace";#N/A,#N/A,FALSE,"Derm"}</definedName>
    <definedName name="djksljd_4" localSheetId="3" hidden="1">{#N/A,#N/A,FALSE,"Other";#N/A,#N/A,FALSE,"Ace";#N/A,#N/A,FALSE,"Derm"}</definedName>
    <definedName name="djksljd_4" hidden="1">{#N/A,#N/A,FALSE,"Other";#N/A,#N/A,FALSE,"Ace";#N/A,#N/A,FALSE,"Derm"}</definedName>
    <definedName name="d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localSheetId="3" hidden="1">{#N/A,#N/A,FALSE,"ALM-ASISC"}</definedName>
    <definedName name="dkdkdls" hidden="1">{#N/A,#N/A,FALSE,"ALM-ASISC"}</definedName>
    <definedName name="dkfjdfNew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localSheetId="3" hidden="1">{#N/A,#N/A,FALSE,"Pharm";#N/A,#N/A,FALSE,"WWCM"}</definedName>
    <definedName name="dkgahirghigf" hidden="1">{#N/A,#N/A,FALSE,"Pharm";#N/A,#N/A,FALSE,"WWCM"}</definedName>
    <definedName name="dkgahirghigf_1" localSheetId="3" hidden="1">{#N/A,#N/A,FALSE,"Pharm";#N/A,#N/A,FALSE,"WWCM"}</definedName>
    <definedName name="dkgahirghigf_1" hidden="1">{#N/A,#N/A,FALSE,"Pharm";#N/A,#N/A,FALSE,"WWCM"}</definedName>
    <definedName name="dkgahirghigf_2" localSheetId="3" hidden="1">{#N/A,#N/A,FALSE,"Pharm";#N/A,#N/A,FALSE,"WWCM"}</definedName>
    <definedName name="dkgahirghigf_2" hidden="1">{#N/A,#N/A,FALSE,"Pharm";#N/A,#N/A,FALSE,"WWCM"}</definedName>
    <definedName name="dkgahirghigf_3" localSheetId="3" hidden="1">{#N/A,#N/A,FALSE,"Pharm";#N/A,#N/A,FALSE,"WWCM"}</definedName>
    <definedName name="dkgahirghigf_3" hidden="1">{#N/A,#N/A,FALSE,"Pharm";#N/A,#N/A,FALSE,"WWCM"}</definedName>
    <definedName name="dkgahirghigf_4" localSheetId="3" hidden="1">{#N/A,#N/A,FALSE,"Pharm";#N/A,#N/A,FALSE,"WWCM"}</definedName>
    <definedName name="dkgahirghigf_4" hidden="1">{#N/A,#N/A,FALSE,"Pharm";#N/A,#N/A,FALSE,"WWCM"}</definedName>
    <definedName name="dkj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localSheetId="3" hidden="1">{#N/A,#N/A,FALSE,"Sheet1"}</definedName>
    <definedName name="dl" hidden="1">{#N/A,#N/A,FALSE,"Sheet1"}</definedName>
    <definedName name="dlasdlalsdl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 localSheetId="4">'[59]מאזן ורוו"ה'!#REF!</definedName>
    <definedName name="dlr12_94">#REF!</definedName>
    <definedName name="dlr12_95" localSheetId="4">'[59]מאזן ורוו"ה'!#REF!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 localSheetId="4">'[65]Budget New'!#REF!</definedName>
    <definedName name="DOC_BU">#REF!</definedName>
    <definedName name="DOC_General" localSheetId="4">'[65]Budget New'!#REF!</definedName>
    <definedName name="DOC_General">#REF!</definedName>
    <definedName name="DOC_Mkt" localSheetId="4">'[65]Budget New'!#REF!</definedName>
    <definedName name="DOC_Mkt">#REF!</definedName>
    <definedName name="DOC_RandD" localSheetId="4">'[65]Budget New'!#REF!</definedName>
    <definedName name="DOC_RandD">#REF!</definedName>
    <definedName name="DOC_Total" localSheetId="4">'[65]Budget New'!#REF!</definedName>
    <definedName name="DOC_Total">#REF!</definedName>
    <definedName name="DoCoMo" localSheetId="3" hidden="1">{"test2",#N/A,TRUE,"Prices"}</definedName>
    <definedName name="DoCoMo" hidden="1">{"test2",#N/A,TRUE,"Prices"}</definedName>
    <definedName name="DoCoMo_1" localSheetId="3" hidden="1">{"test2",#N/A,TRUE,"Prices"}</definedName>
    <definedName name="DoCoMo_1" hidden="1">{"test2",#N/A,TRUE,"Prices"}</definedName>
    <definedName name="DoCoMo_1_1" localSheetId="3" hidden="1">{"test2",#N/A,TRUE,"Prices"}</definedName>
    <definedName name="DoCoMo_1_1" hidden="1">{"test2",#N/A,TRUE,"Prices"}</definedName>
    <definedName name="DoCoMo_1_2" localSheetId="3" hidden="1">{"test2",#N/A,TRUE,"Prices"}</definedName>
    <definedName name="DoCoMo_1_2" hidden="1">{"test2",#N/A,TRUE,"Prices"}</definedName>
    <definedName name="DoCoMo_1_3" localSheetId="3" hidden="1">{"test2",#N/A,TRUE,"Prices"}</definedName>
    <definedName name="DoCoMo_1_3" hidden="1">{"test2",#N/A,TRUE,"Prices"}</definedName>
    <definedName name="DoCoMo_1_4" localSheetId="3" hidden="1">{"test2",#N/A,TRUE,"Prices"}</definedName>
    <definedName name="DoCoMo_1_4" hidden="1">{"test2",#N/A,TRUE,"Prices"}</definedName>
    <definedName name="DoCoMo_1_5" localSheetId="3" hidden="1">{"test2",#N/A,TRUE,"Prices"}</definedName>
    <definedName name="DoCoMo_1_5" hidden="1">{"test2",#N/A,TRUE,"Prices"}</definedName>
    <definedName name="DoCoMo_2" localSheetId="3" hidden="1">{"test2",#N/A,TRUE,"Prices"}</definedName>
    <definedName name="DoCoMo_2" hidden="1">{"test2",#N/A,TRUE,"Prices"}</definedName>
    <definedName name="DoCoMo_2_1" localSheetId="3" hidden="1">{"test2",#N/A,TRUE,"Prices"}</definedName>
    <definedName name="DoCoMo_2_1" hidden="1">{"test2",#N/A,TRUE,"Prices"}</definedName>
    <definedName name="DoCoMo_2_2" localSheetId="3" hidden="1">{"test2",#N/A,TRUE,"Prices"}</definedName>
    <definedName name="DoCoMo_2_2" hidden="1">{"test2",#N/A,TRUE,"Prices"}</definedName>
    <definedName name="DoCoMo_2_3" localSheetId="3" hidden="1">{"test2",#N/A,TRUE,"Prices"}</definedName>
    <definedName name="DoCoMo_2_3" hidden="1">{"test2",#N/A,TRUE,"Prices"}</definedName>
    <definedName name="DoCoMo_2_4" localSheetId="3" hidden="1">{"test2",#N/A,TRUE,"Prices"}</definedName>
    <definedName name="DoCoMo_2_4" hidden="1">{"test2",#N/A,TRUE,"Prices"}</definedName>
    <definedName name="DoCoMo_2_5" localSheetId="3" hidden="1">{"test2",#N/A,TRUE,"Prices"}</definedName>
    <definedName name="DoCoMo_2_5" hidden="1">{"test2",#N/A,TRUE,"Prices"}</definedName>
    <definedName name="DoCoMo_3" localSheetId="3" hidden="1">{"test2",#N/A,TRUE,"Prices"}</definedName>
    <definedName name="DoCoMo_3" hidden="1">{"test2",#N/A,TRUE,"Prices"}</definedName>
    <definedName name="DoCoMo_3_1" localSheetId="3" hidden="1">{"test2",#N/A,TRUE,"Prices"}</definedName>
    <definedName name="DoCoMo_3_1" hidden="1">{"test2",#N/A,TRUE,"Prices"}</definedName>
    <definedName name="DoCoMo_3_2" localSheetId="3" hidden="1">{"test2",#N/A,TRUE,"Prices"}</definedName>
    <definedName name="DoCoMo_3_2" hidden="1">{"test2",#N/A,TRUE,"Prices"}</definedName>
    <definedName name="DoCoMo_3_3" localSheetId="3" hidden="1">{"test2",#N/A,TRUE,"Prices"}</definedName>
    <definedName name="DoCoMo_3_3" hidden="1">{"test2",#N/A,TRUE,"Prices"}</definedName>
    <definedName name="DoCoMo_3_4" localSheetId="3" hidden="1">{"test2",#N/A,TRUE,"Prices"}</definedName>
    <definedName name="DoCoMo_3_4" hidden="1">{"test2",#N/A,TRUE,"Prices"}</definedName>
    <definedName name="DoCoMo_3_5" localSheetId="3" hidden="1">{"test2",#N/A,TRUE,"Prices"}</definedName>
    <definedName name="DoCoMo_3_5" hidden="1">{"test2",#N/A,TRUE,"Prices"}</definedName>
    <definedName name="DoCoMo_4" localSheetId="3" hidden="1">{"test2",#N/A,TRUE,"Prices"}</definedName>
    <definedName name="DoCoMo_4" hidden="1">{"test2",#N/A,TRUE,"Prices"}</definedName>
    <definedName name="DoCoMo_4_1" localSheetId="3" hidden="1">{"test2",#N/A,TRUE,"Prices"}</definedName>
    <definedName name="DoCoMo_4_1" hidden="1">{"test2",#N/A,TRUE,"Prices"}</definedName>
    <definedName name="DoCoMo_4_2" localSheetId="3" hidden="1">{"test2",#N/A,TRUE,"Prices"}</definedName>
    <definedName name="DoCoMo_4_2" hidden="1">{"test2",#N/A,TRUE,"Prices"}</definedName>
    <definedName name="DoCoMo_4_3" localSheetId="3" hidden="1">{"test2",#N/A,TRUE,"Prices"}</definedName>
    <definedName name="DoCoMo_4_3" hidden="1">{"test2",#N/A,TRUE,"Prices"}</definedName>
    <definedName name="DoCoMo_4_4" localSheetId="3" hidden="1">{"test2",#N/A,TRUE,"Prices"}</definedName>
    <definedName name="DoCoMo_4_4" hidden="1">{"test2",#N/A,TRUE,"Prices"}</definedName>
    <definedName name="DoCoMo_4_5" localSheetId="3" hidden="1">{"test2",#N/A,TRUE,"Prices"}</definedName>
    <definedName name="DoCoMo_4_5" hidden="1">{"test2",#N/A,TRUE,"Prices"}</definedName>
    <definedName name="DoCoMo_5" localSheetId="3" hidden="1">{"test2",#N/A,TRUE,"Prices"}</definedName>
    <definedName name="DoCoMo_5" hidden="1">{"test2",#N/A,TRUE,"Prices"}</definedName>
    <definedName name="DoCoMo_5_1" localSheetId="3" hidden="1">{"test2",#N/A,TRUE,"Prices"}</definedName>
    <definedName name="DoCoMo_5_1" hidden="1">{"test2",#N/A,TRUE,"Prices"}</definedName>
    <definedName name="DoCoMo_5_2" localSheetId="3" hidden="1">{"test2",#N/A,TRUE,"Prices"}</definedName>
    <definedName name="DoCoMo_5_2" hidden="1">{"test2",#N/A,TRUE,"Prices"}</definedName>
    <definedName name="DoCoMo_5_3" localSheetId="3" hidden="1">{"test2",#N/A,TRUE,"Prices"}</definedName>
    <definedName name="DoCoMo_5_3" hidden="1">{"test2",#N/A,TRUE,"Prices"}</definedName>
    <definedName name="DoCoMo_5_4" localSheetId="3" hidden="1">{"test2",#N/A,TRUE,"Prices"}</definedName>
    <definedName name="DoCoMo_5_4" hidden="1">{"test2",#N/A,TRUE,"Prices"}</definedName>
    <definedName name="DoCoMo_5_5" localSheetId="3" hidden="1">{"test2",#N/A,TRUE,"Prices"}</definedName>
    <definedName name="DoCoMo_5_5" hidden="1">{"test2",#N/A,TRUE,"Prices"}</definedName>
    <definedName name="DOCRandD" localSheetId="4">'[65]Budget New'!#REF!</definedName>
    <definedName name="DOCRandD">#REF!</definedName>
    <definedName name="DOCRD" localSheetId="4">'[65]Budget New'!#REF!</definedName>
    <definedName name="DOCRD">#REF!</definedName>
    <definedName name="DocType" localSheetId="3">Word</definedName>
    <definedName name="DocType">Word</definedName>
    <definedName name="DOCUMENTATION">#REF!</definedName>
    <definedName name="dog" localSheetId="4" hidden="1">{#N/A,#N/A,FALSE,"91NOLCB";#N/A,#N/A,FALSE,"92NOLCB";#N/A,#N/A,FALSE,"93NOLCB"}</definedName>
    <definedName name="dog" localSheetId="3" hidden="1">{#N/A,#N/A,FALSE,"91NOLCB";#N/A,#N/A,FALSE,"92NOLCB";#N/A,#N/A,FALSE,"93NOLCB"}</definedName>
    <definedName name="dog" hidden="1">{#N/A,#N/A,FALSE,"91NOLCB";#N/A,#N/A,FALSE,"92NOLCB";#N/A,#N/A,FALSE,"93NOLCB"}</definedName>
    <definedName name="doh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 localSheetId="4">'[58]מאזן ורוו"ה'!$S$8</definedName>
    <definedName name="DOLAR12_96">#REF!</definedName>
    <definedName name="dolar1297">'[131]שע"ח'!$C$18</definedName>
    <definedName name="DOLAR1299">#REF!</definedName>
    <definedName name="DOLAR2003">#REF!</definedName>
    <definedName name="dolar3.98">[132]הרכבה!#REF!</definedName>
    <definedName name="dolaravg">#REF!</definedName>
    <definedName name="dolaravg0399">#REF!</definedName>
    <definedName name="dolaravg998">#REF!</definedName>
    <definedName name="dolarend">[133]מדדים!$E$29</definedName>
    <definedName name="dolarend0399">#REF!</definedName>
    <definedName name="dolarend0998">#REF!</definedName>
    <definedName name="dolarend1298">#REF!</definedName>
    <definedName name="DOLLAR" localSheetId="4">'[134]R&amp;D BUDGET'!$O$1</definedName>
    <definedName name="Dollar">#REF!</definedName>
    <definedName name="DOLLAR_AMOUNT">[135]מ.ב!#REF!</definedName>
    <definedName name="Dollar_NIS_Rate" localSheetId="4">'[136]International Employee List'!#REF!</definedName>
    <definedName name="Dollar_NIS_Rate">#REF!</definedName>
    <definedName name="Dollar_Threshold">#REF!</definedName>
    <definedName name="Dollar95">'[137]Income Statement'!$C$25</definedName>
    <definedName name="dollar96">'[137]Income Statement'!$G$25</definedName>
    <definedName name="dollarend900">[138]מדדים!$C$41</definedName>
    <definedName name="dollareurorate">#REF!</definedName>
    <definedName name="dollarfranc">#REF!</definedName>
    <definedName name="Dollars">#REF!</definedName>
    <definedName name="Domain">[12]מחירון!#REF!</definedName>
    <definedName name="Domain_EXTRA">[12]מחירון!#REF!</definedName>
    <definedName name="Domain_EXTRA_עיסקי">[139]מחירון!$P$60</definedName>
    <definedName name="Domain_עסקי">[140]מחירון!$M$53:$P$59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'[48]GL-PC'!#REF!</definedName>
    <definedName name="DONNA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localSheetId="4" hidden="1">{"sch56",#N/A,FALSE,"savings";"sch64",#N/A,FALSE,"savings"}</definedName>
    <definedName name="doron" localSheetId="3" hidden="1">{"sch56",#N/A,FALSE,"savings";"sch64",#N/A,FALSE,"savings"}</definedName>
    <definedName name="doron" hidden="1">{"sch56",#N/A,FALSE,"savings";"sch64",#N/A,FALSE,"savings"}</definedName>
    <definedName name="dos" localSheetId="3" hidden="1">{#N/A,#N/A,TRUE,"Portada";#N/A,#N/A,TRUE,"Indice"}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localSheetId="3" hidden="1">{"'Leading KPI'!$A$1:$P$33","'Leading KPI'!$A$1:$P$33"}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 localSheetId="3">{"'Sheet1'!$A$1:$AI$34","'Sheet1'!$A$1:$AI$31","'Sheet1'!$B$2:$AM$25"}</definedName>
    <definedName name="dpts">{"'Sheet1'!$A$1:$AI$34","'Sheet1'!$A$1:$AI$31","'Sheet1'!$B$2:$AM$25"}</definedName>
    <definedName name="dq">#REF!</definedName>
    <definedName name="dq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localSheetId="3" hidden="1">{"comp1",#N/A,FALSE,"COMPS";"footnotes",#N/A,FALSE,"COMPS"}</definedName>
    <definedName name="dre" hidden="1">{"comp1",#N/A,FALSE,"COMPS";"footnotes",#N/A,FALSE,"COMPS"}</definedName>
    <definedName name="DRes" localSheetId="3" hidden="1">{"'April 24'!$J$11"}</definedName>
    <definedName name="DRes" hidden="1">{"'April 24'!$J$11"}</definedName>
    <definedName name="dreyer" localSheetId="3" hidden="1">{"FCB_ALL",#N/A,FALSE,"FCB"}</definedName>
    <definedName name="dreyer" hidden="1">{"FCB_ALL",#N/A,FALSE,"FCB"}</definedName>
    <definedName name="drfhr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sLicenseNum">#REF!</definedName>
    <definedName name="drlFilter">#REF!</definedName>
    <definedName name="DRM">'[1]טורים 98'!$GT$89</definedName>
    <definedName name="drw" localSheetId="3" hidden="1">{"PAGE 1",#N/A,FALSE,"COS";"PAGE 2",#N/A,FALSE,"COS";"PAGE 3",#N/A,FALSE,"COS"}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localSheetId="3" hidden="1">{#N/A,#N/A,FALSE,"Aging Summary";#N/A,#N/A,FALSE,"Ratio Analysis";#N/A,#N/A,FALSE,"Test 120 Day Accts";#N/A,#N/A,FALSE,"Tickmarks"}</definedName>
    <definedName name="DSAFADSF" hidden="1">{#N/A,#N/A,FALSE,"Aging Summary";#N/A,#N/A,FALSE,"Ratio Analysis";#N/A,#N/A,FALSE,"Test 120 Day Accts";#N/A,#N/A,FALSE,"Tickmarks"}</definedName>
    <definedName name="dsafd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localSheetId="4" hidden="1">Дог-[42]Име!$A$1</definedName>
    <definedName name="dsasadsad" localSheetId="3" hidden="1">______feb05-#REF!</definedName>
    <definedName name="dsasadsad" hidden="1">______feb05-#REF!</definedName>
    <definedName name="dsched">#REF!</definedName>
    <definedName name="DSD" hidden="1">#REF!</definedName>
    <definedName name="dsdafgsa" localSheetId="3" hidden="1">{"Performance Details",#N/A,FALSE,"Current Yr";"Performance Details",#N/A,FALSE,"Budget";"Performance Details",#N/A,FALSE,"Prior Year"}</definedName>
    <definedName name="dsdafgsa" hidden="1">{"Performance Details",#N/A,FALSE,"Current Yr";"Performance Details",#N/A,FALSE,"Budget";"Performance Details",#N/A,FALSE,"Prior Year"}</definedName>
    <definedName name="dsdda" localSheetId="3" hidden="1">{"mgmt forecast",#N/A,FALSE,"Mgmt Forecast";"dcf table",#N/A,FALSE,"Mgmt Forecast";"sensitivity",#N/A,FALSE,"Mgmt Forecast";"table inputs",#N/A,FALSE,"Mgmt Forecast";"calculations",#N/A,FALSE,"Mgmt Forecast"}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localSheetId="3" hidden="1">{#N/A,#N/A,FALSE,"ALM-ASISC"}</definedName>
    <definedName name="DSDS" hidden="1">{#N/A,#N/A,FALSE,"ALM-ASISC"}</definedName>
    <definedName name="dse" localSheetId="3" hidden="1">{"YTDACT",#N/A,FALSE,"YTD Cum";"YTDBUD",#N/A,FALSE,"YTD Cum";"YTDPRIOR",#N/A,FALSE,"YTD Cum"}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localSheetId="3" hidden="1">{#N/A,#N/A,FALSE,"PMTABB";#N/A,#N/A,FALSE,"PMTABB"}</definedName>
    <definedName name="dsfgdfklhglkdflkglkjh" hidden="1">{#N/A,#N/A,FALSE,"PMTABB";#N/A,#N/A,FALSE,"PMTABB"}</definedName>
    <definedName name="dsfsdfdsf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localSheetId="3" hidden="1">{"detail",#N/A,FALSE,"mfg";"summary",#N/A,FALSE,"mfg"}</definedName>
    <definedName name="dsfsf" hidden="1">{"detail",#N/A,FALSE,"mfg";"summary",#N/A,FALSE,"mfg"}</definedName>
    <definedName name="dsfsffss" localSheetId="3" hidden="1">{#N/A,#N/A,FALSE,"Pharm";#N/A,#N/A,FALSE,"WWCM"}</definedName>
    <definedName name="dsfsffss" hidden="1">{#N/A,#N/A,FALSE,"Pharm";#N/A,#N/A,FALSE,"WWCM"}</definedName>
    <definedName name="dsfsffss_1" localSheetId="3" hidden="1">{#N/A,#N/A,FALSE,"Pharm";#N/A,#N/A,FALSE,"WWCM"}</definedName>
    <definedName name="dsfsffss_1" hidden="1">{#N/A,#N/A,FALSE,"Pharm";#N/A,#N/A,FALSE,"WWCM"}</definedName>
    <definedName name="dsfsffss_2" localSheetId="3" hidden="1">{#N/A,#N/A,FALSE,"Pharm";#N/A,#N/A,FALSE,"WWCM"}</definedName>
    <definedName name="dsfsffss_2" hidden="1">{#N/A,#N/A,FALSE,"Pharm";#N/A,#N/A,FALSE,"WWCM"}</definedName>
    <definedName name="dsfsffss_3" localSheetId="3" hidden="1">{#N/A,#N/A,FALSE,"Pharm";#N/A,#N/A,FALSE,"WWCM"}</definedName>
    <definedName name="dsfsffss_3" hidden="1">{#N/A,#N/A,FALSE,"Pharm";#N/A,#N/A,FALSE,"WWCM"}</definedName>
    <definedName name="dsfsffss_4" localSheetId="3" hidden="1">{#N/A,#N/A,FALSE,"Pharm";#N/A,#N/A,FALSE,"WWCM"}</definedName>
    <definedName name="dsfsffss_4" hidden="1">{#N/A,#N/A,FALSE,"Pharm";#N/A,#N/A,FALSE,"WWCM"}</definedName>
    <definedName name="dsg" localSheetId="3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fhgfv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localSheetId="3" hidden="1">{"Test",#N/A,FALSE,"Index";#N/A,"RISK",FALSE,"MarketProjection"}</definedName>
    <definedName name="dsgghjk" hidden="1">{"Test",#N/A,FALSE,"Index";#N/A,"RISK",FALSE,"MarketProjection"}</definedName>
    <definedName name="dsgghjk_1" localSheetId="3" hidden="1">{"Test",#N/A,FALSE,"Index";#N/A,"RISK",FALSE,"MarketProjection"}</definedName>
    <definedName name="dsgghjk_1" hidden="1">{"Test",#N/A,FALSE,"Index";#N/A,"RISK",FALSE,"MarketProjection"}</definedName>
    <definedName name="DSJFAOF" localSheetId="3" hidden="1">{#N/A,#N/A,FALSE,"ALM-ASISC"}</definedName>
    <definedName name="DSJFAOF" hidden="1">{#N/A,#N/A,FALSE,"ALM-ASISC"}</definedName>
    <definedName name="dsjk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localSheetId="3" hidden="1">{#N/A,#N/A,FALSE,"ACQ_GRAPHS";#N/A,#N/A,FALSE,"T_1 GRAPHS";#N/A,#N/A,FALSE,"T_2 GRAPHS";#N/A,#N/A,FALSE,"COMB_GRAPHS"}</definedName>
    <definedName name="dss" hidden="1">{#N/A,#N/A,FALSE,"ACQ_GRAPHS";#N/A,#N/A,FALSE,"T_1 GRAPHS";#N/A,#N/A,FALSE,"T_2 GRAPHS";#N/A,#N/A,FALSE,"COMB_GRAPHS"}</definedName>
    <definedName name="dsss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localSheetId="3" hidden="1">{#N/A,#N/A,FALSE,"ALM-ASISC"}</definedName>
    <definedName name="DSVFDEREFERFREF" hidden="1">{#N/A,#N/A,FALSE,"ALM-ASISC"}</definedName>
    <definedName name="dswe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localSheetId="3" hidden="1">{#N/A,#N/A,TRUE,"financial";#N/A,#N/A,TRUE,"plants"}</definedName>
    <definedName name="dtu" hidden="1">{#N/A,#N/A,TRUE,"financial";#N/A,#N/A,TRUE,"plants"}</definedName>
    <definedName name="Dubai" localSheetId="3" hidden="1">{#N/A,#N/A,FALSE,"ALM-ASISC"}</definedName>
    <definedName name="Dubai" hidden="1">{#N/A,#N/A,FALSE,"ALM-ASISC"}</definedName>
    <definedName name="dude" localSheetId="3" hidden="1">{"'Server Configuration'!$A$1:$DB$281"}</definedName>
    <definedName name="dude" hidden="1">{"'Server Configuration'!$A$1:$DB$281"}</definedName>
    <definedName name="Dues_and_Subscriptions_Expense">'[48]GL-PC'!#REF!</definedName>
    <definedName name="DuffPhelps">#REF!</definedName>
    <definedName name="dummy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localSheetId="3" hidden="1">{"sales",#N/A,FALSE,"Sales";"sales existing",#N/A,FALSE,"Sales";"sales rd1",#N/A,FALSE,"Sales";"sales rd2",#N/A,FALSE,"Sales"}</definedName>
    <definedName name="dusness1" hidden="1">{"sales",#N/A,FALSE,"Sales";"sales existing",#N/A,FALSE,"Sales";"sales rd1",#N/A,FALSE,"Sales";"sales rd2",#N/A,FALSE,"Sales"}</definedName>
    <definedName name="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localSheetId="3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localSheetId="3" hidden="1">{"Comp_of_Price_Effect",#N/A,FALSE,"QTRDPVAR"}</definedName>
    <definedName name="dwx" hidden="1">{"Comp_of_Price_Effect",#N/A,FALSE,"QTRDPVAR"}</definedName>
    <definedName name="dx" localSheetId="3" hidden="1">{"Month Summary",#N/A,FALSE,"Summary";"Total Details",#N/A,FALSE,"Current Yr";"Polymers Details",#N/A,FALSE,"Current Yr";"Performance Details",#N/A,FALSE,"Current Yr";"ICD Details",#N/A,FALSE,"Current Yr"}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localSheetId="3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4" hidden="1">{"Test",#N/A,FALSE,"Index";#N/A,"RISK",FALSE,"MarketProjection"}</definedName>
    <definedName name="e" localSheetId="3">{"adj95mult",#N/A,FALSE,"COMPCO";"adj95est",#N/A,FALSE,"COMPCO"}</definedName>
    <definedName name="e">{"adj95mult",#N/A,FALSE,"COMPCO";"adj95est",#N/A,FALSE,"COMPCO"}</definedName>
    <definedName name="E_1" localSheetId="3">{"Test",#N/A,FALSE,"Index";#N/A,"RISK",FALSE,"MarketProjection"}</definedName>
    <definedName name="E_1">{"Test",#N/A,FALSE,"Index";#N/A,"RISK",FALSE,"MarketProjection"}</definedName>
    <definedName name="e1e">#REF!</definedName>
    <definedName name="e2e">#REF!</definedName>
    <definedName name="e3232rd" localSheetId="3" hidden="1">{#N/A,#N/A,FALSE,"CMN_FE"}</definedName>
    <definedName name="e3232rd" hidden="1">{#N/A,#N/A,FALSE,"CMN_FE"}</definedName>
    <definedName name="e3e">#REF!</definedName>
    <definedName name="e5yy25y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localSheetId="3" hidden="1">{"FCB_ALL",#N/A,FALSE,"FCB"}</definedName>
    <definedName name="eare" hidden="1">{"FCB_ALL",#N/A,FALSE,"FCB"}</definedName>
    <definedName name="EAREA">#REF!</definedName>
    <definedName name="eareare" localSheetId="3" hidden="1">{"FCB_ALL",#N/A,FALSE,"FCB"}</definedName>
    <definedName name="eareare" hidden="1">{"FCB_ALL",#N/A,FALSE,"FCB"}</definedName>
    <definedName name="earer" localSheetId="3" hidden="1">{#N/A,#N/A,FALSE,"Sheet1"}</definedName>
    <definedName name="earer" hidden="1">{#N/A,#N/A,FALSE,"Sheet1"}</definedName>
    <definedName name="EarningsMode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localSheetId="3" hidden="1">{"FY04_Assets",#N/A,FALSE,"Fin Stmt Budget";"FY04_Liabilities",#N/A,FALSE,"Fin Stmt Budget";"FY04_Inc_Stmt",#N/A,FALSE,"Fin Stmt Budget";"FY04_SOCF",#N/A,FALSE,"Fin Stmt Budget"}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localSheetId="3" hidden="1">{"FY03_Assets",#N/A,FALSE,"Fin Stmt Budget";"FY03_Liabilities",#N/A,FALSE,"Fin Stmt Budget";"FY03_Inc_Stmt",#N/A,FALSE,"Fin Stmt Budget";"FY03_SOCF",#N/A,FALSE,"Fin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 localSheetId="4">[18]Sensetivities!#REF!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ProductAPEXCashInterestRent">#REF!</definedName>
    <definedName name="EBITDProductAPEXGrossInterestRent">#REF!</definedName>
    <definedName name="EBITDProductAPEXNetInterestRent">#REF!</definedName>
    <definedName name="EBITDProduct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 localSheetId="3">{0}</definedName>
    <definedName name="ecy">{0}</definedName>
    <definedName name="ed" localSheetId="4" hidden="1">{#N/A,#N/A,FALSE,"FAB VENDORS";"BUD SUM",#N/A,FALSE,"BUD SUM WO TEX"}</definedName>
    <definedName name="ed" localSheetId="3" hidden="1">{#N/A,#N/A,FALSE,"FAB VENDORS";"BUD SUM",#N/A,FALSE,"BUD SUM WO TEX"}</definedName>
    <definedName name="ed" hidden="1">{#N/A,#N/A,FALSE,"FAB VENDORS";"BUD SUM",#N/A,FALSE,"BUD SUM WO TEX"}</definedName>
    <definedName name="ed5dyx" localSheetId="3" hidden="1">{#N/A,#N/A,FALSE,"CBE";#N/A,#N/A,FALSE,"SWK"}</definedName>
    <definedName name="ed5dyx" hidden="1">{#N/A,#N/A,FALSE,"CBE";#N/A,#N/A,FALSE,"SWK"}</definedName>
    <definedName name="EDD" localSheetId="3" hidden="1">{#N/A,#N/A,FALSE,"PMTABB";#N/A,#N/A,FALSE,"PMTABB"}</definedName>
    <definedName name="EDD" hidden="1">{#N/A,#N/A,FALSE,"PMTABB";#N/A,#N/A,FALSE,"PMTABB"}</definedName>
    <definedName name="edghlr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localSheetId="3" hidden="1">{#N/A,#N/A,FALSE,"Pharm";#N/A,#N/A,FALSE,"WWCM"}</definedName>
    <definedName name="EEE_1" hidden="1">{#N/A,#N/A,FALSE,"Pharm";#N/A,#N/A,FALSE,"WWCM"}</definedName>
    <definedName name="EEE_2" localSheetId="3" hidden="1">{#N/A,#N/A,FALSE,"Pharm";#N/A,#N/A,FALSE,"WWCM"}</definedName>
    <definedName name="EEE_2" hidden="1">{#N/A,#N/A,FALSE,"Pharm";#N/A,#N/A,FALSE,"WWCM"}</definedName>
    <definedName name="EEE_3" localSheetId="3" hidden="1">{#N/A,#N/A,FALSE,"Pharm";#N/A,#N/A,FALSE,"WWCM"}</definedName>
    <definedName name="EEE_3" hidden="1">{#N/A,#N/A,FALSE,"Pharm";#N/A,#N/A,FALSE,"WWCM"}</definedName>
    <definedName name="EEE_4" localSheetId="3" hidden="1">{#N/A,#N/A,FALSE,"Pharm";#N/A,#N/A,FALSE,"WWCM"}</definedName>
    <definedName name="EEE_4" hidden="1">{#N/A,#N/A,FALSE,"Pharm";#N/A,#N/A,FALSE,"WWCM"}</definedName>
    <definedName name="eeee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localSheetId="4">#REF!</definedName>
    <definedName name="eeeee" localSheetId="3" hidden="1">{#N/A,#N/A,FALSE,"Pharm";#N/A,#N/A,FALSE,"WWCM"}</definedName>
    <definedName name="eeeee" hidden="1">{#N/A,#N/A,FALSE,"Pharm";#N/A,#N/A,FALSE,"WWCM"}</definedName>
    <definedName name="eeeee_1" localSheetId="3" hidden="1">{#N/A,#N/A,FALSE,"Pharm";#N/A,#N/A,FALSE,"WWCM"}</definedName>
    <definedName name="eeeee_1" hidden="1">{#N/A,#N/A,FALSE,"Pharm";#N/A,#N/A,FALSE,"WWCM"}</definedName>
    <definedName name="eeeee_2" localSheetId="3" hidden="1">{#N/A,#N/A,FALSE,"Pharm";#N/A,#N/A,FALSE,"WWCM"}</definedName>
    <definedName name="eeeee_2" hidden="1">{#N/A,#N/A,FALSE,"Pharm";#N/A,#N/A,FALSE,"WWCM"}</definedName>
    <definedName name="eeeee_3" localSheetId="3" hidden="1">{#N/A,#N/A,FALSE,"Pharm";#N/A,#N/A,FALSE,"WWCM"}</definedName>
    <definedName name="eeeee_3" hidden="1">{#N/A,#N/A,FALSE,"Pharm";#N/A,#N/A,FALSE,"WWCM"}</definedName>
    <definedName name="eeeee_4" localSheetId="3" hidden="1">{#N/A,#N/A,FALSE,"Pharm";#N/A,#N/A,FALSE,"WWCM"}</definedName>
    <definedName name="eeeee_4" hidden="1">{#N/A,#N/A,FALSE,"Pharm";#N/A,#N/A,FALSE,"WWCM"}</definedName>
    <definedName name="eeeeee" localSheetId="3" hidden="1">{"YD OTHER",#N/A,FALSE,"YTD"}</definedName>
    <definedName name="eeeeee" hidden="1">{"YD OTHER",#N/A,FALSE,"YTD"}</definedName>
    <definedName name="eeeeeee" localSheetId="3" hidden="1">{"Assumptions",#N/A,TRUE,"Assumptions";"Income",#N/A,TRUE,"Income";"Balance",#N/A,TRUE,"Balance"}</definedName>
    <definedName name="eeeeeee" hidden="1">{"Assumptions",#N/A,TRUE,"Assumptions";"Income",#N/A,TRUE,"Income";"Balance",#N/A,TRUE,"Balance"}</definedName>
    <definedName name="eeeeeeee" localSheetId="3" hidden="1">{#N/A,#N/A,FALSE,"Aging Summary";#N/A,#N/A,FALSE,"Ratio Analysis";#N/A,#N/A,FALSE,"Test 120 Day Accts";#N/A,#N/A,FALSE,"Tickmarks"}</definedName>
    <definedName name="eeeeeeee" hidden="1">{#N/A,#N/A,FALSE,"Aging Summary";#N/A,#N/A,FALSE,"Ratio Analysis";#N/A,#N/A,FALSE,"Test 120 Day Accts";#N/A,#N/A,FALSE,"Tickmarks"}</definedName>
    <definedName name="eeeeeeeee" localSheetId="3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localSheetId="3" hidden="1">{#N/A,"PURCHM",FALSE,"Business Analysis";#N/A,"SPADD",FALSE,"Business Analysis"}</definedName>
    <definedName name="eeeeeeeeeee" hidden="1">{#N/A,"PURCHM",FALSE,"Business Analysis";#N/A,"SPADD",FALSE,"Business Analysis"}</definedName>
    <definedName name="eeeeeeeeeeee" localSheetId="3" hidden="1">{"pro_view",#N/A,FALSE,"EEFSNAP2";"rep_view",#N/A,FALSE,"EEFSNAP2"}</definedName>
    <definedName name="eeeeeeeeeeee" hidden="1">{"pro_view",#N/A,FALSE,"EEFSNAP2";"rep_view",#N/A,FALSE,"EEFSNAP2"}</definedName>
    <definedName name="eeeeeeeeeeeeee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localSheetId="3" hidden="1">{"SchF1",#N/A,FALSE,"Schedules";"SchF2",#N/A,FALSE,"Schedules"}</definedName>
    <definedName name="eemn" hidden="1">{"SchF1",#N/A,FALSE,"Schedules";"SchF2",#N/A,FALSE,"Schedules"}</definedName>
    <definedName name="e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localSheetId="3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localSheetId="3" hidden="1">{"'debtors'!$A$1:$I$305","'debtors'!$A$1:$J$285"}</definedName>
    <definedName name="efg" hidden="1">{"'debtors'!$A$1:$I$305","'debtors'!$A$1:$J$285"}</definedName>
    <definedName name="efin" localSheetId="3" hidden="1">{#N/A,#N/A,FALSE,"Output";#N/A,#N/A,FALSE,"Cover Sheet";#N/A,#N/A,FALSE,"Current Mkt. Projections"}</definedName>
    <definedName name="efin" hidden="1">{#N/A,#N/A,FALSE,"Output";#N/A,#N/A,FALSE,"Cover Sheet";#N/A,#N/A,FALSE,"Current Mkt. Projections"}</definedName>
    <definedName name="efn" localSheetId="3" hidden="1">{#N/A,#N/A,TRUE,"DCF Summary";#N/A,#N/A,TRUE,"Casema";#N/A,#N/A,TRUE,"UK";#N/A,#N/A,TRUE,"RCF";#N/A,#N/A,TRUE,"Intercable CZ";#N/A,#N/A,TRUE,"Interkabel P";#N/A,#N/A,TRUE,"LBO-Total";#N/A,#N/A,TRUE,"LBO-Casema"}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localSheetId="3" hidden="1">{#N/A,#N/A,FALSE,"PMTABB";#N/A,#N/A,FALSE,"PMTABB"}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3">Sheet1</definedName>
    <definedName name="ehsht">Sheet1</definedName>
    <definedName name="ei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 localSheetId="4">'[141]EN-DE'!$C$78:$C$80</definedName>
    <definedName name="EigentumEN">#REF!</definedName>
    <definedName name="eings" localSheetId="3" hidden="1">{#N/A,"PURCHM",FALSE,"Business Analysis";#N/A,"SPADD",FALSE,"Business Analysis"}</definedName>
    <definedName name="eings" hidden="1">{#N/A,"PURCHM",FALSE,"Business Analysis";#N/A,"SPADD",FALSE,"Business Analysis"}</definedName>
    <definedName name="ejkfgkjze" localSheetId="3" hidden="1">{#N/A,#N/A,FALSE,"Pharm";#N/A,#N/A,FALSE,"WWCM"}</definedName>
    <definedName name="ejkfgkjze" hidden="1">{#N/A,#N/A,FALSE,"Pharm";#N/A,#N/A,FALSE,"WWCM"}</definedName>
    <definedName name="ejkfgkjze_1" localSheetId="3" hidden="1">{#N/A,#N/A,FALSE,"Pharm";#N/A,#N/A,FALSE,"WWCM"}</definedName>
    <definedName name="ejkfgkjze_1" hidden="1">{#N/A,#N/A,FALSE,"Pharm";#N/A,#N/A,FALSE,"WWCM"}</definedName>
    <definedName name="ejkfgkjze_2" localSheetId="3" hidden="1">{#N/A,#N/A,FALSE,"Pharm";#N/A,#N/A,FALSE,"WWCM"}</definedName>
    <definedName name="ejkfgkjze_2" hidden="1">{#N/A,#N/A,FALSE,"Pharm";#N/A,#N/A,FALSE,"WWCM"}</definedName>
    <definedName name="ejkfgkjze_3" localSheetId="3" hidden="1">{#N/A,#N/A,FALSE,"Pharm";#N/A,#N/A,FALSE,"WWCM"}</definedName>
    <definedName name="ejkfgkjze_3" hidden="1">{#N/A,#N/A,FALSE,"Pharm";#N/A,#N/A,FALSE,"WWCM"}</definedName>
    <definedName name="ejkfgkjze_4" localSheetId="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 localSheetId="4">'[103]Revenue detailed Projection'!#REF!</definedName>
    <definedName name="Embeded_Player___Player_licence___CMG">#REF!</definedName>
    <definedName name="Embeded_Player___Player_licence___Ericsson___global" localSheetId="4">'[103]Revenue detailed Projection'!#REF!</definedName>
    <definedName name="Embeded_Player___Player_licence___Ericsson___global">#REF!</definedName>
    <definedName name="Embeded_Player___Player_licence___Ericsson_Italy" localSheetId="4">'[103]Revenue detailed Projection'!#REF!</definedName>
    <definedName name="Embeded_Player___Player_licence___Ericsson_Italy">#REF!</definedName>
    <definedName name="Embeded_Player___Player_licence___Ericsson_Spain" localSheetId="4">'[103]Revenue detailed Projection'!#REF!</definedName>
    <definedName name="Embeded_Player___Player_licence___Ericsson_Spain">#REF!</definedName>
    <definedName name="Embeded_Player___Player_licence___Excem_France" localSheetId="4">'[103]Revenue detailed Projection'!#REF!</definedName>
    <definedName name="Embeded_Player___Player_licence___Excem_France">#REF!</definedName>
    <definedName name="Embeded_Player___Player_licence___Excem_Spain" localSheetId="4">'[103]Revenue detailed Projection'!#REF!</definedName>
    <definedName name="Embeded_Player___Player_licence___Excem_Spain">#REF!</definedName>
    <definedName name="Embeded_Player___Player_licence___Mitsui__BSI" localSheetId="4">'[103]Revenue detailed Projection'!#REF!</definedName>
    <definedName name="Embeded_Player___Player_licence___Mitsui__BSI">#REF!</definedName>
    <definedName name="Embeded_Player___Player_licence___Other_1" localSheetId="4">'[103]Revenue detailed Projection'!#REF!</definedName>
    <definedName name="Embeded_Player___Player_licence___Other_1">#REF!</definedName>
    <definedName name="Embeded_Player___Player_licence___Other_2" localSheetId="4">'[103]Revenue detailed Projection'!#REF!</definedName>
    <definedName name="Embeded_Player___Player_licence___Other_2">#REF!</definedName>
    <definedName name="Embeded_Player___Player_licence___Other_3" localSheetId="4">'[103]Revenue detailed Projection'!#REF!</definedName>
    <definedName name="Embeded_Player___Player_licence___Other_3">#REF!</definedName>
    <definedName name="Embeded_Player___Player_licence___SchlumbergerSema" localSheetId="4">'[103]Revenue detailed Projection'!#REF!</definedName>
    <definedName name="Embeded_Player___Player_licence___SchlumbergerSema">#REF!</definedName>
    <definedName name="Embeded_Player___Player_licence___Sony__NSBCE" localSheetId="4">'[103]Revenue detailed Projection'!#REF!</definedName>
    <definedName name="Embeded_Player___Player_licence___Sony__NSBCE">#REF!</definedName>
    <definedName name="Embeded_Player___Player_licence___Technomen" localSheetId="4">'[103]Revenue detailed Projection'!#REF!</definedName>
    <definedName name="Embeded_Player___Player_licence___Technomen">#REF!</definedName>
    <definedName name="Embeded_Player___Player_licence___Unisys" localSheetId="4">'[103]Revenue detailed Projection'!#REF!</definedName>
    <definedName name="Embeded_Player___Player_licence___Unisys">#REF!</definedName>
    <definedName name="Embeded_Player___set_up___CMG" localSheetId="4">'[103]Revenue detailed Projection'!#REF!</definedName>
    <definedName name="Embeded_Player___set_up___CMG">#REF!</definedName>
    <definedName name="Embeded_Player___set_up___Ericsson___global" localSheetId="4">'[103]Revenue detailed Projection'!#REF!</definedName>
    <definedName name="Embeded_Player___set_up___Ericsson___global">#REF!</definedName>
    <definedName name="Embeded_Player___set_up___Ericsson_Italy" localSheetId="4">'[103]Revenue detailed Projection'!#REF!</definedName>
    <definedName name="Embeded_Player___set_up___Ericsson_Italy">#REF!</definedName>
    <definedName name="Embeded_Player___set_up___Ericsson_Spain" localSheetId="4">'[103]Revenue detailed Projection'!#REF!</definedName>
    <definedName name="Embeded_Player___set_up___Ericsson_Spain">#REF!</definedName>
    <definedName name="Embeded_Player___set_up___Excem_France" localSheetId="4">'[103]Revenue detailed Projection'!#REF!</definedName>
    <definedName name="Embeded_Player___set_up___Excem_France">#REF!</definedName>
    <definedName name="Embeded_Player___set_up___Excem_Spain" localSheetId="4">'[103]Revenue detailed Projection'!#REF!</definedName>
    <definedName name="Embeded_Player___set_up___Excem_Spain">#REF!</definedName>
    <definedName name="Embeded_Player___set_up___Mitsui__BSI" localSheetId="4">'[103]Revenue detailed Projection'!#REF!</definedName>
    <definedName name="Embeded_Player___set_up___Mitsui__BSI">#REF!</definedName>
    <definedName name="Embeded_Player___set_up___Other_1" localSheetId="4">'[103]Revenue detailed Projection'!#REF!</definedName>
    <definedName name="Embeded_Player___set_up___Other_1">#REF!</definedName>
    <definedName name="Embeded_Player___set_up___Other_2" localSheetId="4">'[103]Revenue detailed Projection'!#REF!</definedName>
    <definedName name="Embeded_Player___set_up___Other_2">#REF!</definedName>
    <definedName name="Embeded_Player___set_up___Other_3" localSheetId="4">'[103]Revenue detailed Projection'!#REF!</definedName>
    <definedName name="Embeded_Player___set_up___Other_3">#REF!</definedName>
    <definedName name="Embeded_Player___set_up___SchlumbergerSema" localSheetId="4">'[103]Revenue detailed Projection'!#REF!</definedName>
    <definedName name="Embeded_Player___set_up___SchlumbergerSema">#REF!</definedName>
    <definedName name="Embeded_Player___set_up___Sony__NSBCE" localSheetId="4">'[103]Revenue detailed Projection'!#REF!</definedName>
    <definedName name="Embeded_Player___set_up___Sony__NSBCE">#REF!</definedName>
    <definedName name="Embeded_Player___set_up___Technomen" localSheetId="4">'[103]Revenue detailed Projection'!#REF!</definedName>
    <definedName name="Embeded_Player___set_up___Technomen">#REF!</definedName>
    <definedName name="Embeded_Player___set_up___Unisys" localSheetId="4">'[103]Revenue detailed Projection'!#REF!</definedName>
    <definedName name="Embeded_Player___set_up___Unisys">#REF!</definedName>
    <definedName name="emily" localSheetId="4" hidden="1">{#N/A,#N/A,FALSE,"Calc";#N/A,#N/A,FALSE,"Sensitivity";#N/A,#N/A,FALSE,"LT Earn.Dil.";#N/A,#N/A,FALSE,"Dil. AVP"}</definedName>
    <definedName name="emily" localSheetId="3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O" localSheetId="4">[72]Panel!$Q$3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'[48]GL-PC'!#REF!</definedName>
    <definedName name="Employee_health_insurance_expense_G_A">'[48]GL-PC'!#REF!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localSheetId="4" hidden="1">'[142]Amortization Table'!$I$18:$I$377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 localSheetId="4" hidden="1">{"PAGE 1",#N/A,FALSE,"WEST_OT"}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localSheetId="3" hidden="1">{"FTSE100","COMPANIES",TRUE}</definedName>
    <definedName name="enr" hidden="1">{"FTSE100","COMPANIES",TRUE}</definedName>
    <definedName name="EnteredAs" localSheetId="4">'[54]Basic Assumptions'!$B$9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localSheetId="3" hidden="1">{"QTD",#N/A,FALSE,"SUM"}</definedName>
    <definedName name="eoflsru" hidden="1">{"QTD",#N/A,FALSE,"SUM"}</definedName>
    <definedName name="eoil" localSheetId="3" hidden="1">{"detail",#N/A,FALSE,"mfg";"summary",#N/A,FALSE,"mfg"}</definedName>
    <definedName name="eoil" hidden="1">{"detail",#N/A,FALSE,"mfg";"summary",#N/A,FALSE,"mfg"}</definedName>
    <definedName name="EOLsupplyLC" localSheetId="3" hidden="1">{#N/A,#N/A,FALSE,"PMTABB";#N/A,#N/A,FALSE,"PMTABB"}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 localSheetId="4">'[143]רווח למניה-פרופורמה'!$A$1:$H$32,'[143]רווח למניה-פרופורמה'!$A$33:$I$76</definedName>
    <definedName name="EPS_PROFORMA">#REF!,#REF!</definedName>
    <definedName name="EPS_Qtr_Date">#REF!</definedName>
    <definedName name="EPSDate">#REF!</definedName>
    <definedName name="EPSGrowth">#REF!</definedName>
    <definedName name="epsltm" localSheetId="4" hidden="1">'[122]WP_Hist ABC'!#REF!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 localSheetId="4">[79]Notes!#REF!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 localSheetId="4">[144]TPE9507!#REF!</definedName>
    <definedName name="ER">#REF!</definedName>
    <definedName name="erarea" localSheetId="3" hidden="1">{#N/A,#N/A,FALSE,"Trading-Mult ";#N/A,#N/A,FALSE,"Trading-Cap";#N/A,#N/A,FALSE,"Trading-Inc";#N/A,#N/A,FALSE,"Cash Flow";#N/A,#N/A,FALSE,"M&amp;A info"}</definedName>
    <definedName name="erarea" hidden="1">{#N/A,#N/A,FALSE,"Trading-Mult ";#N/A,#N/A,FALSE,"Trading-Cap";#N/A,#N/A,FALSE,"Trading-Inc";#N/A,#N/A,FALSE,"Cash Flow";#N/A,#N/A,FALSE,"M&amp;A info"}</definedName>
    <definedName name="Erase" localSheetId="4" hidden="1">{"summary report",#N/A,FALSE,"SUMMARY REPORT";"salary model ytd",#N/A,FALSE,"SALARY MODEL - YTD";"salary model mtd",#N/A,FALSE,"SALARY MODEL - MTD";"detail 311",#N/A,FALSE,"311 ACTUAL"}</definedName>
    <definedName name="Erase" localSheetId="3" hidden="1">{"summary report",#N/A,FALSE,"SUMMARY REPORT";"salary model ytd",#N/A,FALSE,"SALARY MODEL - YTD";"salary model mtd",#N/A,FALSE,"SALARY MODEL - MTD";"detail 311",#N/A,FALSE,"311 ACTUAL"}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localSheetId="4" hidden="1">{#N/A,#N/A,FALSE,"Job Sched"}</definedName>
    <definedName name="EraseMe" localSheetId="3" hidden="1">{#N/A,#N/A,FALSE,"Job Sched"}</definedName>
    <definedName name="EraseMe" hidden="1">{#N/A,#N/A,FALSE,"Job Sched"}</definedName>
    <definedName name="erd" hidden="1">#REF!</definedName>
    <definedName name="erd_1" localSheetId="3" hidden="1">{#N/A,#N/A,FALSE,"Pharm";#N/A,#N/A,FALSE,"WWCM"}</definedName>
    <definedName name="erd_1" hidden="1">{#N/A,#N/A,FALSE,"Pharm";#N/A,#N/A,FALSE,"WWCM"}</definedName>
    <definedName name="erd_2" localSheetId="3" hidden="1">{#N/A,#N/A,FALSE,"Pharm";#N/A,#N/A,FALSE,"WWCM"}</definedName>
    <definedName name="erd_2" hidden="1">{#N/A,#N/A,FALSE,"Pharm";#N/A,#N/A,FALSE,"WWCM"}</definedName>
    <definedName name="erd_3" localSheetId="3" hidden="1">{#N/A,#N/A,FALSE,"Pharm";#N/A,#N/A,FALSE,"WWCM"}</definedName>
    <definedName name="erd_3" hidden="1">{#N/A,#N/A,FALSE,"Pharm";#N/A,#N/A,FALSE,"WWCM"}</definedName>
    <definedName name="erd_4" localSheetId="3" hidden="1">{#N/A,#N/A,FALSE,"Pharm";#N/A,#N/A,FALSE,"WWCM"}</definedName>
    <definedName name="erd_4" hidden="1">{#N/A,#N/A,FALSE,"Pharm";#N/A,#N/A,FALSE,"WWCM"}</definedName>
    <definedName name="ere.fd" localSheetId="3" hidden="1">{"fdb2_print",#N/A,FALSE,"Report"}</definedName>
    <definedName name="ere.fd" hidden="1">{"fdb2_print",#N/A,FALSE,"Report"}</definedName>
    <definedName name="erer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localSheetId="3" hidden="1">{#N/A,#N/A,FALSE,"Sheet1"}</definedName>
    <definedName name="erew" hidden="1">{#N/A,#N/A,FALSE,"Sheet1"}</definedName>
    <definedName name="erf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localSheetId="3" hidden="1">{"Reported Loss Inverse Power Curve",#N/A,FALSE,"IPC";"Paid Inverse Power Curve",#N/A,FALSE,"IPC";"Reported Claim Inverse Power Curve",#N/A,FALSE,"IPC"}</definedName>
    <definedName name="erfg" hidden="1">{"Reported Loss Inverse Power Curve",#N/A,FALSE,"IPC";"Paid Inverse Power Curve",#N/A,FALSE,"IPC";"Reported Claim Inverse Power Curve",#N/A,FALSE,"IPC"}</definedName>
    <definedName name="erfg_1" localSheetId="3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localSheetId="3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localSheetId="3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localSheetId="3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localSheetId="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localSheetId="3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localSheetId="3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localSheetId="3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localSheetId="3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localSheetId="3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localSheetId="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localSheetId="3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localSheetId="3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localSheetId="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localSheetId="3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localSheetId="3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localSheetId="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localSheetId="3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localSheetId="3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localSheetId="3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localSheetId="3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localSheetId="3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localSheetId="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localSheetId="3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localSheetId="3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localSheetId="3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localSheetId="3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localSheetId="3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localSheetId="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localSheetId="3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localSheetId="4" hidden="1">{#N/A,#N/A,FALSE,"מאזן בוחן";"כל_מאזן_בוחן",#N/A,FALSE,"מאזן בוחן"}</definedName>
    <definedName name="Erisa" localSheetId="3" hidden="1">{#N/A,#N/A,FALSE,"מאזן בוחן";"כל_מאזן_בוחן",#N/A,FALSE,"מאזן בוחן"}</definedName>
    <definedName name="Erisa" hidden="1">{#N/A,#N/A,FALSE,"מאזן בוחן";"כל_מאזן_בוחן",#N/A,FALSE,"מאזן בוחן"}</definedName>
    <definedName name="ero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localSheetId="3" hidden="1">{#N/A,#N/A,FALSE,"KA CH  (2)"}</definedName>
    <definedName name="err.g." hidden="1">{#N/A,#N/A,FALSE,"KA CH  (2)"}</definedName>
    <definedName name="errr.g" localSheetId="3" hidden="1">{#N/A,#N/A,FALSE,"KA CH  (2)"}</definedName>
    <definedName name="errr.g" hidden="1">{#N/A,#N/A,FALSE,"KA CH  (2)"}</definedName>
    <definedName name="errrr" localSheetId="4" hidden="1">{"CSC_1",#N/A,FALSE,"CSC Outputs";"CSC_2",#N/A,FALSE,"CSC Outputs"}</definedName>
    <definedName name="errrr" localSheetId="3" hidden="1">{"CSC_1",#N/A,FALSE,"CSC Outputs";"CSC_2",#N/A,FALSE,"CSC Outputs"}</definedName>
    <definedName name="errrr" hidden="1">{"CSC_1",#N/A,FALSE,"CSC Outputs";"CSC_2",#N/A,FALSE,"CSC Outputs"}</definedName>
    <definedName name="erryeyetyuu" localSheetId="3" hidden="1">{#N/A,#N/A,FALSE,"Pharm";#N/A,#N/A,FALSE,"WWCM"}</definedName>
    <definedName name="erryeyetyuu" hidden="1">{#N/A,#N/A,FALSE,"Pharm";#N/A,#N/A,FALSE,"WWCM"}</definedName>
    <definedName name="erryeyetyuu_1" localSheetId="3" hidden="1">{#N/A,#N/A,FALSE,"Pharm";#N/A,#N/A,FALSE,"WWCM"}</definedName>
    <definedName name="erryeyetyuu_1" hidden="1">{#N/A,#N/A,FALSE,"Pharm";#N/A,#N/A,FALSE,"WWCM"}</definedName>
    <definedName name="erryeyetyuu_2" localSheetId="3" hidden="1">{#N/A,#N/A,FALSE,"Pharm";#N/A,#N/A,FALSE,"WWCM"}</definedName>
    <definedName name="erryeyetyuu_2" hidden="1">{#N/A,#N/A,FALSE,"Pharm";#N/A,#N/A,FALSE,"WWCM"}</definedName>
    <definedName name="erryeyetyuu_3" localSheetId="3" hidden="1">{#N/A,#N/A,FALSE,"Pharm";#N/A,#N/A,FALSE,"WWCM"}</definedName>
    <definedName name="erryeyetyuu_3" hidden="1">{#N/A,#N/A,FALSE,"Pharm";#N/A,#N/A,FALSE,"WWCM"}</definedName>
    <definedName name="erryeyetyuu_4" localSheetId="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localSheetId="3" hidden="1">{#N/A,#N/A,FALSE,"PGW"}</definedName>
    <definedName name="ERTFDSG" hidden="1">{#N/A,#N/A,FALSE,"PGW"}</definedName>
    <definedName name="ertr" localSheetId="3" hidden="1">{#N/A,#N/A,FALSE,"Umsatz 99";#N/A,#N/A,FALSE,"ER 99 "}</definedName>
    <definedName name="ertr" hidden="1">{#N/A,#N/A,FALSE,"Umsatz 99";#N/A,#N/A,FALSE,"ER 99 "}</definedName>
    <definedName name="Ertragssteuersatz">#REF!</definedName>
    <definedName name="ervnj" localSheetId="3" hidden="1">{"YTDACT",#N/A,FALSE,"YTD Cum";"YTDBUD",#N/A,FALSE,"YTD Cum";"YTDPRIOR",#N/A,FALSE,"YTD Cum"}</definedName>
    <definedName name="ervnj" hidden="1">{"YTDACT",#N/A,FALSE,"YTD Cum";"YTDBUD",#N/A,FALSE,"YTD Cum";"YTDPRIOR",#N/A,FALSE,"YTD Cum"}</definedName>
    <definedName name="erw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 localSheetId="3">{"'1-TheatreBkgs'!$A$1:$L$102"}</definedName>
    <definedName name="esargf">{"'1-TheatreBkgs'!$A$1:$L$102"}</definedName>
    <definedName name="esdfdas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 localSheetId="3">{"FTSE100","COMPANIES",TRUE}</definedName>
    <definedName name="esnrc100c1_values">{"FTSE100","COMPANIES",TRUE}</definedName>
    <definedName name="esnrc33c1_values" localSheetId="3">{"EUMOT","COMPANIES",TRUE}</definedName>
    <definedName name="esnrc33c1_values">{"EUMOT","COMPANIES",TRUE}</definedName>
    <definedName name="esnrc39c1_values" localSheetId="3" hidden="1">{"AT","COMPANIES",TRUE}</definedName>
    <definedName name="esnrc39c1_values" hidden="1">{"AT","COMPANIES",TRUE}</definedName>
    <definedName name="esnrc56c1_values" localSheetId="3">{"ASCONGRP","COMPANIES",TRUE}</definedName>
    <definedName name="esnrc56c1_values">{"ASCONGRP","COMPANIES",TRUE}</definedName>
    <definedName name="esnrc63c1_values" localSheetId="3">{"EUUTIGRP","COMPANIES",TRUE}</definedName>
    <definedName name="esnrc63c1_values">{"EUUTIGRP","COMPANIES",TRUE}</definedName>
    <definedName name="esnrc91c1_values" localSheetId="3">{"EUUTI","COMPANIES",TRUE}</definedName>
    <definedName name="esnrc91c1_values">{"EUUTI","COMPANIES",TRUE}</definedName>
    <definedName name="ESOP">#REF!</definedName>
    <definedName name="esrfgh" localSheetId="3" hidden="1">{"Reported Interpolated Dev Factors",#N/A,FALSE,"Interpolation";"Paid Interpolated Dev Factors",#N/A,FALSE,"Interpolation";"Reported Claim Interpolated Dev Factors",#N/A,FALSE,"Interpolation"}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localSheetId="3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localSheetId="3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localSheetId="3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localSheetId="3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localSheetId="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localSheetId="3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localSheetId="3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localSheetId="3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localSheetId="3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localSheetId="3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localSheetId="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localSheetId="3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localSheetId="3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localSheetId="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localSheetId="3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localSheetId="3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localSheetId="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localSheetId="3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localSheetId="3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localSheetId="3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localSheetId="3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localSheetId="3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localSheetId="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localSheetId="3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localSheetId="3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localSheetId="3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localSheetId="3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localSheetId="3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localSheetId="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localSheetId="3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localSheetId="3" hidden="1">{#N/A,#N/A,FALSE,"Pharm";#N/A,#N/A,FALSE,"WWCM"}</definedName>
    <definedName name="ESSAI" hidden="1">{#N/A,#N/A,FALSE,"Pharm";#N/A,#N/A,FALSE,"WWCM"}</definedName>
    <definedName name="ESSAI_1" localSheetId="3" hidden="1">{#N/A,#N/A,FALSE,"Pharm";#N/A,#N/A,FALSE,"WWCM"}</definedName>
    <definedName name="ESSAI_1" hidden="1">{#N/A,#N/A,FALSE,"Pharm";#N/A,#N/A,FALSE,"WWCM"}</definedName>
    <definedName name="ESSAI_2" localSheetId="3" hidden="1">{#N/A,#N/A,FALSE,"Pharm";#N/A,#N/A,FALSE,"WWCM"}</definedName>
    <definedName name="ESSAI_2" hidden="1">{#N/A,#N/A,FALSE,"Pharm";#N/A,#N/A,FALSE,"WWCM"}</definedName>
    <definedName name="ESSAI_3" localSheetId="3" hidden="1">{#N/A,#N/A,FALSE,"Pharm";#N/A,#N/A,FALSE,"WWCM"}</definedName>
    <definedName name="ESSAI_3" hidden="1">{#N/A,#N/A,FALSE,"Pharm";#N/A,#N/A,FALSE,"WWCM"}</definedName>
    <definedName name="ESSAI_4" localSheetId="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localSheetId="3" hidden="1">{#N/A,#N/A,FALSE,"P&amp;L";#N/A,#N/A,FALSE,"Capital";#N/A,#N/A,FALSE,"Summary";#N/A,#N/A,FALSE,"VAR Rec";#N/A,#N/A,FALSE,"EBIT Rec"}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localSheetId="3" hidden="1">{"Test",#N/A,FALSE,"Index";#N/A,"RISK",FALSE,"MarketProjection"}</definedName>
    <definedName name="et" hidden="1">{"Test",#N/A,FALSE,"Index";#N/A,"RISK",FALSE,"MarketProjection"}</definedName>
    <definedName name="et_1" localSheetId="3" hidden="1">{"Test",#N/A,FALSE,"Index";#N/A,"RISK",FALSE,"MarketProjection"}</definedName>
    <definedName name="et_1" hidden="1">{"Test",#N/A,FALSE,"Index";#N/A,"RISK",FALSE,"MarketProjection"}</definedName>
    <definedName name="etet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localSheetId="3" hidden="1">{#N/A,#N/A,FALSE,"FACTSHEETS";#N/A,#N/A,FALSE,"pump";#N/A,#N/A,FALSE,"filter"}</definedName>
    <definedName name="etr" hidden="1">{#N/A,#N/A,FALSE,"FACTSHEETS";#N/A,#N/A,FALSE,"pump";#N/A,#N/A,FALSE,"filter"}</definedName>
    <definedName name="eu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localSheetId="3" hidden="1">{"assets",#N/A,FALSE,"historicBS";"liab",#N/A,FALSE,"historicBS";"is",#N/A,FALSE,"historicIS";"ratios",#N/A,FALSE,"ratios"}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 localSheetId="4">'[99]Overall market'!#REF!</definedName>
    <definedName name="Europe_Share">#REF!</definedName>
    <definedName name="EUSCA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localSheetId="4" hidden="1">39127.673125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 localSheetId="4">'[145]unit price'!$E$27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 localSheetId="4">'[146]Non-Statistical Sampling Master'!$C$63</definedName>
    <definedName name="ew">#REF!</definedName>
    <definedName name="ewaw" localSheetId="3" hidden="1">{"Act_vs_Budget",#N/A,FALSE,"QTRDPVAR";"Act_vs_Prior_Year",#N/A,FALSE,"QTRDPVAR"}</definedName>
    <definedName name="ewaw" hidden="1">{"Act_vs_Budget",#N/A,FALSE,"QTRDPVAR";"Act_vs_Prior_Year",#N/A,FALSE,"QTRDPVAR"}</definedName>
    <definedName name="ewdf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localSheetId="3" hidden="1">{#N/A,"PURCHM",FALSE,"Business Analysis";#N/A,"SPADD",FALSE,"Business Analysis"}</definedName>
    <definedName name="ewdwqd" hidden="1">{#N/A,"PURCHM",FALSE,"Business Analysis";#N/A,"SPADD",FALSE,"Business Analysis"}</definedName>
    <definedName name="EWEWEWEWE" localSheetId="4" hidden="1">'[147]TC-INTY'!#REF!</definedName>
    <definedName name="EWEWEWEWE" hidden="1">#REF!</definedName>
    <definedName name="ewq" localSheetId="3" hidden="1">{"oct_res_comm",#N/A,FALSE,"VarToBud"}</definedName>
    <definedName name="ewq" hidden="1">{"oct_res_comm",#N/A,FALSE,"VarToBud"}</definedName>
    <definedName name="ewqee" localSheetId="3">{"'NPCGUIDELINES'!$A$1:$J$41"}</definedName>
    <definedName name="ewqee">{"'NPCGUIDELINES'!$A$1:$J$41"}</definedName>
    <definedName name="ewr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localSheetId="3" hidden="1">{#N/A,#N/A,FALSE,"Projections";#N/A,#N/A,FALSE,"Multiples Valuation";#N/A,#N/A,FALSE,"LBO";#N/A,#N/A,FALSE,"Multiples_Sensitivity";#N/A,#N/A,FALSE,"Summary"}</definedName>
    <definedName name="ewrew" hidden="1">{#N/A,#N/A,FALSE,"Projections";#N/A,#N/A,FALSE,"Multiples Valuation";#N/A,#N/A,FALSE,"LBO";#N/A,#N/A,FALSE,"Multiples_Sensitivity";#N/A,#N/A,FALSE,"Summary"}</definedName>
    <definedName name="ewv" localSheetId="3" hidden="1">{"Page1",#N/A,FALSE,"OpExJanvsBud";"Page2",#N/A,FALSE,"OpExJanvsBud"}</definedName>
    <definedName name="ewv" hidden="1">{"Page1",#N/A,FALSE,"OpExJanvsBud";"Page2",#N/A,FALSE,"OpExJanvsBud"}</definedName>
    <definedName name="ewwe" localSheetId="3" hidden="1">{#N/A,#N/A,FALSE,"REPORT"}</definedName>
    <definedName name="ewwe" hidden="1">{#N/A,#N/A,FALSE,"REPORT"}</definedName>
    <definedName name="ewwe_1" localSheetId="3" hidden="1">{#N/A,#N/A,FALSE,"REPORT"}</definedName>
    <definedName name="ewwe_1" hidden="1">{#N/A,#N/A,FALSE,"REPORT"}</definedName>
    <definedName name="ewwe_2" localSheetId="3" hidden="1">{#N/A,#N/A,FALSE,"REPORT"}</definedName>
    <definedName name="ewwe_2" hidden="1">{#N/A,#N/A,FALSE,"REPORT"}</definedName>
    <definedName name="ewwe_3" localSheetId="3" hidden="1">{#N/A,#N/A,FALSE,"REPORT"}</definedName>
    <definedName name="ewwe_3" hidden="1">{#N/A,#N/A,FALSE,"REPORT"}</definedName>
    <definedName name="ewwe_4" localSheetId="3" hidden="1">{#N/A,#N/A,FALSE,"REPORT"}</definedName>
    <definedName name="ewwe_4" hidden="1">{#N/A,#N/A,FALSE,"REPORT"}</definedName>
    <definedName name="EWWF" localSheetId="3" hidden="1">{#N/A,#N/A,FALSE,"FINAL"}</definedName>
    <definedName name="EWWF" hidden="1">{#N/A,#N/A,FALSE,"FINAL"}</definedName>
    <definedName name="Ex" localSheetId="4">[112]Consolidation!$D$2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localSheetId="4" hidden="1">[148]Inputs!$A$70:$B$88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 localSheetId="4">'[43]HC &amp; COL'!$AD$2</definedName>
    <definedName name="Excg">#REF!</definedName>
    <definedName name="exch">#REF!</definedName>
    <definedName name="exch96">'[149]תזרים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localSheetId="3" hidden="1">{"printceo5",#N/A,FALSE,"CEO";"prints15",#N/A,FALSE,"S1";"printdepr5",#N/A,FALSE,"DEPR"}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[127]Parameters!$N$3:$N$20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 localSheetId="4">[150]data!$A$1:$B$365</definedName>
    <definedName name="ExRate">#REF!</definedName>
    <definedName name="EXTN_Vlookup">#REF!</definedName>
    <definedName name="Extra_Months">[64]Index!$D$2:$J$14</definedName>
    <definedName name="_xlnm.Extract" localSheetId="4">[121]TRAVEL96!#REF!</definedName>
    <definedName name="_xlnm.Extract">#REF!</definedName>
    <definedName name="Extract_MI" localSheetId="4">[121]TRAVEL96!#REF!</definedName>
    <definedName name="Extract_MI">#REF!</definedName>
    <definedName name="eyal">#REF!</definedName>
    <definedName name="eydsr" localSheetId="3" hidden="1">{#N/A,"PURCHM",FALSE,"Business Analysis";#N/A,"SPADD",FALSE,"Business Analysis"}</definedName>
    <definedName name="eydsr" hidden="1">{#N/A,"PURCHM",FALSE,"Business Analysis";#N/A,"SPADD",FALSE,"Business Analysis"}</definedName>
    <definedName name="eyteye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 localSheetId="4">[119]מדדים!$C$63</definedName>
    <definedName name="f">#REF!</definedName>
    <definedName name="F.A">#REF!</definedName>
    <definedName name="f.ffff" localSheetId="3" hidden="1">{#N/A,#N/A,FALSE,"Umsatz 99";#N/A,#N/A,FALSE,"ER 99 "}</definedName>
    <definedName name="f.ffff" hidden="1">{#N/A,#N/A,FALSE,"Umsatz 99";#N/A,#N/A,FALSE,"ER 99 "}</definedName>
    <definedName name="F\" localSheetId="3" hidden="1">{#N/A,#N/A,FALSE,"ALM-ASISC"}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localSheetId="4">#REF!</definedName>
    <definedName name="fa" localSheetId="3">{"'2ND_QUAR'!$A$1:$P$106"}</definedName>
    <definedName name="fa">{"'2ND_QUAR'!$A$1:$P$106"}</definedName>
    <definedName name="FA_AUG">#REF!</definedName>
    <definedName name="FA_DEC" localSheetId="4">[43]TB!$Q$4</definedName>
    <definedName name="FA_DEC">#REF!</definedName>
    <definedName name="FA_JAN_19">#REF!</definedName>
    <definedName name="FA_JUL" localSheetId="4">[43]TB!$L$4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localSheetId="3" hidden="1">{#N/A,#N/A,FALSE,"Model";#N/A,#N/A,FALSE,"CapitalCosts"}</definedName>
    <definedName name="fadsfd" hidden="1">{#N/A,#N/A,FALSE,"Model";#N/A,#N/A,FALSE,"CapitalCosts"}</definedName>
    <definedName name="faf" localSheetId="4">[79]FA!#REF!</definedName>
    <definedName name="faf">#REF!</definedName>
    <definedName name="fafa" localSheetId="3">{"'NPCGUIDELINES'!$A$1:$J$41"}</definedName>
    <definedName name="fafa">{"'NPCGUIDELINES'!$A$1:$J$41"}</definedName>
    <definedName name="fafaf" localSheetId="3">{"'NPCGUIDELINES'!$A$1:$J$41"}</definedName>
    <definedName name="fafaf">{"'NPCGUIDELINES'!$A$1:$J$41"}</definedName>
    <definedName name="fafs" localSheetId="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localSheetId="3" hidden="1">{#N/A,#N/A,FALSE,"Aging Summary";#N/A,#N/A,FALSE,"Ratio Analysis";#N/A,#N/A,FALSE,"Test 120 Day Accts";#N/A,#N/A,FALSE,"Tickmarks"}</definedName>
    <definedName name="fasdfs" hidden="1">{#N/A,#N/A,FALSE,"Aging Summary";#N/A,#N/A,FALSE,"Ratio Analysis";#N/A,#N/A,FALSE,"Test 120 Day Accts";#N/A,#N/A,FALSE,"Tickmarks"}</definedName>
    <definedName name="fasdfsdfsegds" localSheetId="3" hidden="1">{#N/A,#N/A,FALSE,"PMTABB";#N/A,#N/A,FALSE,"PMTABB"}</definedName>
    <definedName name="fasdfsdfsegds" hidden="1">{#N/A,#N/A,FALSE,"PMTABB";#N/A,#N/A,FALSE,"PMTABB"}</definedName>
    <definedName name="fawedfa" localSheetId="3" hidden="1">{#N/A,#N/A,FALSE,"ALM-ASISC"}</definedName>
    <definedName name="fawedfa" hidden="1">{#N/A,#N/A,FALSE,"ALM-ASISC"}</definedName>
    <definedName name="Fax">#REF!</definedName>
    <definedName name="FB" localSheetId="4">[151]Assumptions!#REF!</definedName>
    <definedName name="FB">#REF!</definedName>
    <definedName name="fbb" localSheetId="3" hidden="1">{"table",#N/A,FALSE,"COVER";"income_statement",#N/A,FALSE,"COVER"}</definedName>
    <definedName name="fbb" hidden="1">{"table",#N/A,FALSE,"COVER";"income_statement",#N/A,FALSE,"COVER"}</definedName>
    <definedName name="FC">#REF!</definedName>
    <definedName name="FCB" localSheetId="3">{"'NPCGUIDELINES'!$A$1:$J$41"}</definedName>
    <definedName name="FCB">{"'NPCGUIDELINES'!$A$1:$J$41"}</definedName>
    <definedName name="fcd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localSheetId="3" hidden="1">{#N/A,#N/A,FALSE,"ALM-ASISC"}</definedName>
    <definedName name="FCDSFDFDSF" hidden="1">{#N/A,#N/A,FALSE,"ALM-ASISC"}</definedName>
    <definedName name="FCDSVFCA" localSheetId="3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localSheetId="3" hidden="1">{"by departments",#N/A,TRUE,"FORECAST";"cap_headcount",#N/A,TRUE,"FORECAST";"summary",#N/A,TRUE,"FORECAST"}</definedName>
    <definedName name="fcuk" hidden="1">{"by departments",#N/A,TRUE,"FORECAST";"cap_headcount",#N/A,TRUE,"FORECAST";"summary",#N/A,TRUE,"FORECAST"}</definedName>
    <definedName name="fd" localSheetId="4" hidden="1">{#N/A,#N/A,FALSE,"Sales"}</definedName>
    <definedName name="fd" localSheetId="3" hidden="1">{#N/A,#N/A,FALSE,"Sales"}</definedName>
    <definedName name="fd" hidden="1">{#N/A,#N/A,FALSE,"Sales"}</definedName>
    <definedName name="fdasfds" localSheetId="3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localSheetId="3" hidden="1">{#N/A,#N/A,FALSE,"summary";#N/A,#N/A,FALSE,"Input"}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localSheetId="3" hidden="1">{#N/A,#N/A,FALSE,"Pharm";#N/A,#N/A,FALSE,"WWCM"}</definedName>
    <definedName name="FDFD" hidden="1">{#N/A,#N/A,FALSE,"Pharm";#N/A,#N/A,FALSE,"WWCM"}</definedName>
    <definedName name="FDFD_1" localSheetId="3" hidden="1">{#N/A,#N/A,FALSE,"Pharm";#N/A,#N/A,FALSE,"WWCM"}</definedName>
    <definedName name="FDFD_1" hidden="1">{#N/A,#N/A,FALSE,"Pharm";#N/A,#N/A,FALSE,"WWCM"}</definedName>
    <definedName name="FDFD_2" localSheetId="3" hidden="1">{#N/A,#N/A,FALSE,"Pharm";#N/A,#N/A,FALSE,"WWCM"}</definedName>
    <definedName name="FDFD_2" hidden="1">{#N/A,#N/A,FALSE,"Pharm";#N/A,#N/A,FALSE,"WWCM"}</definedName>
    <definedName name="FDFD_3" localSheetId="3" hidden="1">{#N/A,#N/A,FALSE,"Pharm";#N/A,#N/A,FALSE,"WWCM"}</definedName>
    <definedName name="FDFD_3" hidden="1">{#N/A,#N/A,FALSE,"Pharm";#N/A,#N/A,FALSE,"WWCM"}</definedName>
    <definedName name="FDFD_4" localSheetId="3" hidden="1">{#N/A,#N/A,FALSE,"Pharm";#N/A,#N/A,FALSE,"WWCM"}</definedName>
    <definedName name="FDFD_4" hidden="1">{#N/A,#N/A,FALSE,"Pharm";#N/A,#N/A,FALSE,"WWCM"}</definedName>
    <definedName name="fdf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localSheetId="3" hidden="1">{"GLI-Income Statement",#N/A,FALSE,"gli";"GLI - Balance Sheet Wksht",#N/A,FALSE,"gli";"GLI-Cash Flow",#N/A,FALSE,"gli";"GLI Qtrly Stats",#N/A,FALSE,"gli"}</definedName>
    <definedName name="fdfss" hidden="1">{"GLI-Income Statement",#N/A,FALSE,"gli";"GLI - Balance Sheet Wksht",#N/A,FALSE,"gli";"GLI-Cash Flow",#N/A,FALSE,"gli";"GLI Qtrly Stats",#N/A,FALSE,"gli"}</definedName>
    <definedName name="fdg" localSheetId="3" hidden="1">{"Assumptions",#N/A,TRUE,"Assumptions";"Income",#N/A,TRUE,"Income";"Balance",#N/A,TRUE,"Balance"}</definedName>
    <definedName name="fdg" hidden="1">{"Assumptions",#N/A,TRUE,"Assumptions";"Income",#N/A,TRUE,"Income";"Balance",#N/A,TRUE,"Balance"}</definedName>
    <definedName name="fdgdfgfdgf" localSheetId="3" hidden="1">{#N/A,#N/A,FALSE,"Produkte Erw.";#N/A,#N/A,FALSE,"Produkte Plan";#N/A,#N/A,FALSE,"Leistungen Erw.";#N/A,#N/A,FALSE,"Leistungen Plan";#N/A,#N/A,FALSE,"KA Allg.Kosten (2)";#N/A,#N/A,FALSE,"KA All.Kosten"}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localSheetId="3" hidden="1">{#N/A,#N/A,FALSE,"Aging Summary";#N/A,#N/A,FALSE,"Ratio Analysis";#N/A,#N/A,FALSE,"Test 120 Day Accts";#N/A,#N/A,FALSE,"Tickmarks"}</definedName>
    <definedName name="FDGDRGD" hidden="1">{#N/A,#N/A,FALSE,"Aging Summary";#N/A,#N/A,FALSE,"Ratio Analysis";#N/A,#N/A,FALSE,"Test 120 Day Accts";#N/A,#N/A,FALSE,"Tickmarks"}</definedName>
    <definedName name="fdgfd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localSheetId="3" hidden="1">{#N/A,#N/A,FALSE,"KA CH  (2)"}</definedName>
    <definedName name="fdgfdgfdgfdg" hidden="1">{#N/A,#N/A,FALSE,"KA CH  (2)"}</definedName>
    <definedName name="fdgfdgsdgsdgs" localSheetId="3" hidden="1">{#N/A,#N/A,FALSE,"KA CH  (2)"}</definedName>
    <definedName name="fdgfdgsdgsdgs" hidden="1">{#N/A,#N/A,FALSE,"KA CH  (2)"}</definedName>
    <definedName name="fdgrdsgf" hidden="1">40975.4053935185</definedName>
    <definedName name="fdjkei" localSheetId="3" hidden="1">{"bs",#N/A,FALSE,"SCF"}</definedName>
    <definedName name="fdjkei" hidden="1">{"bs",#N/A,FALSE,"SCF"}</definedName>
    <definedName name="FDP_0_1_aSrv" localSheetId="4" hidden="1">[152]Comparison!$P$106</definedName>
    <definedName name="FDP_0_1_aSrv" hidden="1">#REF!</definedName>
    <definedName name="FDP_1_1_aDrv" localSheetId="4" hidden="1">[152]Comparison!$T$18</definedName>
    <definedName name="FDP_1_1_aDrv" hidden="1">#REF!</definedName>
    <definedName name="FDP_10_1_aUrv" localSheetId="4" hidden="1">[152]Comparison!$AA$21</definedName>
    <definedName name="FDP_10_1_aUrv" hidden="1">#REF!</definedName>
    <definedName name="FDP_100_1_aUrv" localSheetId="4" hidden="1">[152]Comparison!$E$96</definedName>
    <definedName name="FDP_100_1_aUrv" hidden="1">#REF!</definedName>
    <definedName name="FDP_101_1_aUrv" localSheetId="4" hidden="1">[152]Comparison!$E$97</definedName>
    <definedName name="FDP_101_1_aUrv" hidden="1">#REF!</definedName>
    <definedName name="FDP_102_1_aSrv" localSheetId="4" hidden="1">[152]Comparison!$E$98</definedName>
    <definedName name="FDP_102_1_aSrv" hidden="1">#REF!</definedName>
    <definedName name="FDP_103_1_aSrv" localSheetId="4" hidden="1">[152]Comparison!$E$100</definedName>
    <definedName name="FDP_103_1_aSrv" hidden="1">#REF!</definedName>
    <definedName name="FDP_104_1_aUrv" localSheetId="4" hidden="1">[152]Comparison!$E$101</definedName>
    <definedName name="FDP_104_1_aUrv" hidden="1">#REF!</definedName>
    <definedName name="FDP_105_1_aUrv" localSheetId="4" hidden="1">[152]Comparison!$E$102</definedName>
    <definedName name="FDP_105_1_aUrv" hidden="1">#REF!</definedName>
    <definedName name="FDP_106_1_aUrv" localSheetId="4" hidden="1">[152]Comparison!$E$103</definedName>
    <definedName name="FDP_106_1_aUrv" hidden="1">#REF!</definedName>
    <definedName name="FDP_107_1_aUrv" localSheetId="4" hidden="1">[152]Comparison!$E$104</definedName>
    <definedName name="FDP_107_1_aUrv" hidden="1">#REF!</definedName>
    <definedName name="FDP_108_1_aUrv" localSheetId="4" hidden="1">[152]Comparison!$E$105</definedName>
    <definedName name="FDP_108_1_aUrv" hidden="1">#REF!</definedName>
    <definedName name="FDP_109_1_aUrv" localSheetId="4" hidden="1">[152]Comparison!$E$106</definedName>
    <definedName name="FDP_109_1_aUrv" hidden="1">#REF!</definedName>
    <definedName name="FDP_11_1_aUrv" localSheetId="4" hidden="1">[152]Comparison!$AA$22</definedName>
    <definedName name="FDP_11_1_aUrv" hidden="1">#REF!</definedName>
    <definedName name="FDP_110_1_aUrv" localSheetId="4" hidden="1">[152]Comparison!$E$107</definedName>
    <definedName name="FDP_110_1_aUrv" hidden="1">#REF!</definedName>
    <definedName name="FDP_111_1_aUrv" localSheetId="4" hidden="1">[152]Comparison!$E$108</definedName>
    <definedName name="FDP_111_1_aUrv" hidden="1">#REF!</definedName>
    <definedName name="FDP_112_1_aUrv" localSheetId="4" hidden="1">[152]Comparison!$E$109</definedName>
    <definedName name="FDP_112_1_aUrv" hidden="1">#REF!</definedName>
    <definedName name="FDP_113_1_aUrv" localSheetId="4" hidden="1">[152]Comparison!$E$110</definedName>
    <definedName name="FDP_113_1_aUrv" hidden="1">#REF!</definedName>
    <definedName name="FDP_114_1_aUrv" localSheetId="4" hidden="1">[152]Comparison!$E$111</definedName>
    <definedName name="FDP_114_1_aUrv" hidden="1">#REF!</definedName>
    <definedName name="FDP_115_1_aSrv" localSheetId="4" hidden="1">[152]Comparison!$E$112</definedName>
    <definedName name="FDP_115_1_aSrv" hidden="1">#REF!</definedName>
    <definedName name="FDP_116_1_aSrv" localSheetId="4" hidden="1">[152]Comparison!$E$113</definedName>
    <definedName name="FDP_116_1_aSrv" hidden="1">#REF!</definedName>
    <definedName name="FDP_117_1_aUrv" localSheetId="4" hidden="1">[152]Comparison!$E$118</definedName>
    <definedName name="FDP_117_1_aUrv" hidden="1">#REF!</definedName>
    <definedName name="FDP_118_1_aUrv" localSheetId="4" hidden="1">[152]Comparison!$E$119</definedName>
    <definedName name="FDP_118_1_aUrv" hidden="1">#REF!</definedName>
    <definedName name="FDP_119_1_aUrv" localSheetId="4" hidden="1">[152]Comparison!$E$120</definedName>
    <definedName name="FDP_119_1_aUrv" hidden="1">#REF!</definedName>
    <definedName name="FDP_12_1_aUrv" localSheetId="4" hidden="1">[152]Comparison!$AA$23</definedName>
    <definedName name="FDP_12_1_aUrv" hidden="1">#REF!</definedName>
    <definedName name="FDP_120_1_aUrv" localSheetId="4" hidden="1">[152]Comparison!$E$121</definedName>
    <definedName name="FDP_120_1_aUrv" hidden="1">#REF!</definedName>
    <definedName name="FDP_121_1_aUrv" localSheetId="4" hidden="1">[152]Comparison!$E$122</definedName>
    <definedName name="FDP_121_1_aUrv" hidden="1">#REF!</definedName>
    <definedName name="FDP_122_1_aUrv" localSheetId="4" hidden="1">[152]Comparison!$E$123</definedName>
    <definedName name="FDP_122_1_aUrv" hidden="1">#REF!</definedName>
    <definedName name="FDP_123_1_aUrv" localSheetId="4" hidden="1">[152]Comparison!$E$124</definedName>
    <definedName name="FDP_123_1_aUrv" hidden="1">#REF!</definedName>
    <definedName name="FDP_124_1_aSrv" localSheetId="4" hidden="1">[152]Comparison!$E$125</definedName>
    <definedName name="FDP_124_1_aSrv" hidden="1">#REF!</definedName>
    <definedName name="FDP_125_1_aUrv" localSheetId="4" hidden="1">[152]Comparison!$E$127</definedName>
    <definedName name="FDP_125_1_aUrv" hidden="1">#REF!</definedName>
    <definedName name="FDP_126_1_aUrv" localSheetId="4" hidden="1">[152]Comparison!$E$128</definedName>
    <definedName name="FDP_126_1_aUrv" hidden="1">#REF!</definedName>
    <definedName name="FDP_127_1_aUrv" localSheetId="4" hidden="1">[152]Comparison!$E$129</definedName>
    <definedName name="FDP_127_1_aUrv" hidden="1">#REF!</definedName>
    <definedName name="FDP_128_1_aUrv" localSheetId="4" hidden="1">[152]Comparison!$E$130</definedName>
    <definedName name="FDP_128_1_aUrv" hidden="1">#REF!</definedName>
    <definedName name="FDP_129_1_aUrv" localSheetId="4" hidden="1">[152]Comparison!$E$131</definedName>
    <definedName name="FDP_129_1_aUrv" hidden="1">#REF!</definedName>
    <definedName name="FDP_13_1_aUrv" localSheetId="4" hidden="1">[152]Comparison!$AA$24</definedName>
    <definedName name="FDP_13_1_aUrv" hidden="1">#REF!</definedName>
    <definedName name="FDP_130_1_aUrv" localSheetId="4" hidden="1">[152]Comparison!$E$132</definedName>
    <definedName name="FDP_130_1_aUrv" hidden="1">#REF!</definedName>
    <definedName name="FDP_131_1_aUrv" localSheetId="4" hidden="1">[152]Comparison!$E$133</definedName>
    <definedName name="FDP_131_1_aUrv" hidden="1">#REF!</definedName>
    <definedName name="FDP_132_1_aSrv" localSheetId="4" hidden="1">[152]Comparison!$E$134</definedName>
    <definedName name="FDP_132_1_aSrv" hidden="1">#REF!</definedName>
    <definedName name="FDP_133_1_aSrv" localSheetId="4" hidden="1">[152]Comparison!$E$135</definedName>
    <definedName name="FDP_133_1_aSrv" hidden="1">#REF!</definedName>
    <definedName name="FDP_134_1_aUrv" localSheetId="4" hidden="1">[152]Comparison!$E$137</definedName>
    <definedName name="FDP_134_1_aUrv" hidden="1">#REF!</definedName>
    <definedName name="FDP_135_1_aUrv" localSheetId="4" hidden="1">[152]Comparison!$E$140</definedName>
    <definedName name="FDP_135_1_aUrv" hidden="1">#REF!</definedName>
    <definedName name="FDP_136_1_aUrv" localSheetId="4" hidden="1">[152]Comparison!$E$141</definedName>
    <definedName name="FDP_136_1_aUrv" hidden="1">#REF!</definedName>
    <definedName name="FDP_137_1_aSrv" localSheetId="4" hidden="1">[152]Comparison!$P$141</definedName>
    <definedName name="FDP_137_1_aSrv" hidden="1">#REF!</definedName>
    <definedName name="FDP_138_1_aSrv" localSheetId="4" hidden="1">[152]Comparison!$E$142</definedName>
    <definedName name="FDP_138_1_aSrv" hidden="1">#REF!</definedName>
    <definedName name="FDP_139_1_aSrv" localSheetId="4" hidden="1">[152]Comparison!$E$143</definedName>
    <definedName name="FDP_139_1_aSrv" hidden="1">#REF!</definedName>
    <definedName name="FDP_14_1_aUrv" localSheetId="4" hidden="1">[152]Comparison!$K$1</definedName>
    <definedName name="FDP_14_1_aUrv" hidden="1">#REF!</definedName>
    <definedName name="FDP_140_1_aSrv" localSheetId="4" hidden="1">[152]Comparison!$E$153</definedName>
    <definedName name="FDP_140_1_aSrv" hidden="1">#REF!</definedName>
    <definedName name="FDP_141_1_aUrv" localSheetId="4" hidden="1">[152]Comparison!$E$154</definedName>
    <definedName name="FDP_141_1_aUrv" hidden="1">#REF!</definedName>
    <definedName name="FDP_142_1_aUrv" localSheetId="4" hidden="1">[152]Comparison!$E$155</definedName>
    <definedName name="FDP_142_1_aUrv" hidden="1">#REF!</definedName>
    <definedName name="FDP_143_1_aUrv" localSheetId="4" hidden="1">[152]Comparison!$E$156</definedName>
    <definedName name="FDP_143_1_aUrv" hidden="1">#REF!</definedName>
    <definedName name="FDP_144_1_aUrv" localSheetId="4" hidden="1">[152]Comparison!$E$157</definedName>
    <definedName name="FDP_144_1_aUrv" hidden="1">#REF!</definedName>
    <definedName name="FDP_145_1_aUrv" localSheetId="4" hidden="1">[152]Comparison!$E$160</definedName>
    <definedName name="FDP_145_1_aUrv" hidden="1">#REF!</definedName>
    <definedName name="FDP_146_1_aUrv" localSheetId="4" hidden="1">[152]Comparison!$E$161</definedName>
    <definedName name="FDP_146_1_aUrv" hidden="1">#REF!</definedName>
    <definedName name="FDP_147_1_aUrv" localSheetId="4" hidden="1">[152]Comparison!$E$162</definedName>
    <definedName name="FDP_147_1_aUrv" hidden="1">#REF!</definedName>
    <definedName name="FDP_148_1_aUrv" localSheetId="4" hidden="1">[152]Comparison!$E$163</definedName>
    <definedName name="FDP_148_1_aUrv" hidden="1">#REF!</definedName>
    <definedName name="FDP_149_1_aUrv" localSheetId="4" hidden="1">[152]Comparison!$E$164</definedName>
    <definedName name="FDP_149_1_aUrv" hidden="1">#REF!</definedName>
    <definedName name="FDP_15_1_aUrv" localSheetId="4" hidden="1">[152]Comparison!$F$1</definedName>
    <definedName name="FDP_15_1_aUrv" hidden="1">#REF!</definedName>
    <definedName name="FDP_150_1_aUrv" localSheetId="4" hidden="1">[152]Comparison!$E$165</definedName>
    <definedName name="FDP_150_1_aUrv" hidden="1">#REF!</definedName>
    <definedName name="FDP_151_1_aUrv" localSheetId="4" hidden="1">[152]Comparison!$E$166</definedName>
    <definedName name="FDP_151_1_aUrv" hidden="1">#REF!</definedName>
    <definedName name="FDP_152_1_aUrv" localSheetId="4" hidden="1">[152]Comparison!$E$167</definedName>
    <definedName name="FDP_152_1_aUrv" hidden="1">#REF!</definedName>
    <definedName name="FDP_153_1_aUrv" localSheetId="4" hidden="1">[152]Comparison!$E$168</definedName>
    <definedName name="FDP_153_1_aUrv" hidden="1">#REF!</definedName>
    <definedName name="FDP_154_1_aUrv" localSheetId="4" hidden="1">[152]Comparison!$E$169</definedName>
    <definedName name="FDP_154_1_aUrv" hidden="1">#REF!</definedName>
    <definedName name="FDP_155_1_aUrv" localSheetId="4" hidden="1">[152]Comparison!$E$170</definedName>
    <definedName name="FDP_155_1_aUrv" hidden="1">#REF!</definedName>
    <definedName name="FDP_156_1_aUrv" localSheetId="4" hidden="1">[152]Comparison!$E$171</definedName>
    <definedName name="FDP_156_1_aUrv" hidden="1">#REF!</definedName>
    <definedName name="FDP_157_1_aUrv" localSheetId="4" hidden="1">[152]Comparison!$E$172</definedName>
    <definedName name="FDP_157_1_aUrv" hidden="1">#REF!</definedName>
    <definedName name="FDP_158_1_aUrv" localSheetId="4" hidden="1">[152]Comparison!$E$173</definedName>
    <definedName name="FDP_158_1_aUrv" hidden="1">#REF!</definedName>
    <definedName name="FDP_159_1_aSrv" localSheetId="4" hidden="1">[152]Comparison!$E$174</definedName>
    <definedName name="FDP_159_1_aSrv" hidden="1">#REF!</definedName>
    <definedName name="FDP_16_1_aUrv" localSheetId="4" hidden="1">[152]Comparison!$K$3</definedName>
    <definedName name="FDP_16_1_aUrv" hidden="1">#REF!</definedName>
    <definedName name="FDP_160_1_aUrv" localSheetId="4" hidden="1">[152]Comparison!$E$175</definedName>
    <definedName name="FDP_160_1_aUrv" hidden="1">#REF!</definedName>
    <definedName name="FDP_161_1_aSrv" localSheetId="4" hidden="1">[152]Comparison!$E$176</definedName>
    <definedName name="FDP_161_1_aSrv" hidden="1">#REF!</definedName>
    <definedName name="FDP_162_1_aUrv" localSheetId="4" hidden="1">[152]Comparison!$E$178</definedName>
    <definedName name="FDP_162_1_aUrv" hidden="1">#REF!</definedName>
    <definedName name="FDP_163_1_aUrv" localSheetId="4" hidden="1">[152]Comparison!$E$180</definedName>
    <definedName name="FDP_163_1_aUrv" hidden="1">#REF!</definedName>
    <definedName name="FDP_164_1_aUrv" localSheetId="4" hidden="1">[152]Comparison!$E$179</definedName>
    <definedName name="FDP_164_1_aUrv" hidden="1">#REF!</definedName>
    <definedName name="FDP_165_1_aUrv" localSheetId="4" hidden="1">[152]Comparison!$E$181</definedName>
    <definedName name="FDP_165_1_aUrv" hidden="1">#REF!</definedName>
    <definedName name="FDP_166_1_aUrv" localSheetId="4" hidden="1">[152]Comparison!$E$183</definedName>
    <definedName name="FDP_166_1_aUrv" hidden="1">#REF!</definedName>
    <definedName name="FDP_167_1_aUrv" localSheetId="4" hidden="1">[152]Comparison!$E$184</definedName>
    <definedName name="FDP_167_1_aUrv" hidden="1">#REF!</definedName>
    <definedName name="FDP_168_1_aSrv" localSheetId="4" hidden="1">[152]Comparison!$E$182</definedName>
    <definedName name="FDP_168_1_aSrv" hidden="1">#REF!</definedName>
    <definedName name="FDP_169_1_aSrv" localSheetId="4" hidden="1">[152]Comparison!$E$185</definedName>
    <definedName name="FDP_169_1_aSrv" hidden="1">#REF!</definedName>
    <definedName name="FDP_17_1_aUrv" localSheetId="4" hidden="1">[152]Comparison!$R$3</definedName>
    <definedName name="FDP_17_1_aUrv" hidden="1">#REF!</definedName>
    <definedName name="FDP_170_1_aUrv" localSheetId="4" hidden="1">[152]Comparison!$E$186</definedName>
    <definedName name="FDP_170_1_aUrv" hidden="1">#REF!</definedName>
    <definedName name="FDP_171_1_aSrv" localSheetId="4" hidden="1">[152]Comparison!$E$187</definedName>
    <definedName name="FDP_171_1_aSrv" hidden="1">#REF!</definedName>
    <definedName name="FDP_172_1_aUrv" localSheetId="4" hidden="1">[152]Comparison!$E$189</definedName>
    <definedName name="FDP_172_1_aUrv" hidden="1">#REF!</definedName>
    <definedName name="FDP_173_1_aUrv" localSheetId="4" hidden="1">[152]Comparison!$E$190</definedName>
    <definedName name="FDP_173_1_aUrv" hidden="1">#REF!</definedName>
    <definedName name="FDP_174_1_aSrv" localSheetId="4" hidden="1">[152]Comparison!$E$191</definedName>
    <definedName name="FDP_174_1_aSrv" hidden="1">#REF!</definedName>
    <definedName name="FDP_175_1_aUrv" localSheetId="4" hidden="1">[152]Comparison!$E$192</definedName>
    <definedName name="FDP_175_1_aUrv" hidden="1">#REF!</definedName>
    <definedName name="FDP_176_1_aUrv" localSheetId="4" hidden="1">[152]Comparison!$E$193</definedName>
    <definedName name="FDP_176_1_aUrv" hidden="1">#REF!</definedName>
    <definedName name="FDP_177_1_aSrv" localSheetId="4" hidden="1">[152]Comparison!$E$194</definedName>
    <definedName name="FDP_177_1_aSrv" hidden="1">#REF!</definedName>
    <definedName name="FDP_178_1_aUrv" localSheetId="4" hidden="1">[152]Comparison!$E$195</definedName>
    <definedName name="FDP_178_1_aUrv" hidden="1">#REF!</definedName>
    <definedName name="FDP_179_1_aUrv" localSheetId="4" hidden="1">[152]Comparison!$E$196</definedName>
    <definedName name="FDP_179_1_aUrv" hidden="1">#REF!</definedName>
    <definedName name="FDP_18_1_aUrv" localSheetId="4" hidden="1">[152]Comparison!$E$6</definedName>
    <definedName name="FDP_18_1_aUrv" hidden="1">#REF!</definedName>
    <definedName name="FDP_18_1_rUrv" localSheetId="4" hidden="1">[152]Comparison!$E$5</definedName>
    <definedName name="FDP_18_1_rUrv" hidden="1">#REF!</definedName>
    <definedName name="FDP_180_1_aSrv" localSheetId="4" hidden="1">[152]Comparison!$E$197</definedName>
    <definedName name="FDP_180_1_aSrv" hidden="1">#REF!</definedName>
    <definedName name="FDP_181_1_aUrv" localSheetId="4" hidden="1">[152]Comparison!$E$198</definedName>
    <definedName name="FDP_181_1_aUrv" hidden="1">#REF!</definedName>
    <definedName name="FDP_182_1_aSrv" localSheetId="4" hidden="1">[152]Comparison!$E$199</definedName>
    <definedName name="FDP_182_1_aSrv" hidden="1">#REF!</definedName>
    <definedName name="FDP_183_1_aUrv" localSheetId="4" hidden="1">[152]Comparison!$E$200</definedName>
    <definedName name="FDP_183_1_aUrv" hidden="1">#REF!</definedName>
    <definedName name="FDP_184_1_aUrv" localSheetId="4" hidden="1">[152]Comparison!$E$205</definedName>
    <definedName name="FDP_184_1_aUrv" hidden="1">#REF!</definedName>
    <definedName name="FDP_185_1_aSrv" localSheetId="4" hidden="1">[152]Comparison!$E$206</definedName>
    <definedName name="FDP_185_1_aSrv" hidden="1">#REF!</definedName>
    <definedName name="FDP_186_1_aUrv" localSheetId="4" hidden="1">[152]Comparison!$E$207</definedName>
    <definedName name="FDP_186_1_aUrv" hidden="1">#REF!</definedName>
    <definedName name="FDP_187_1_aUrv" localSheetId="4" hidden="1">[152]Comparison!$E$208</definedName>
    <definedName name="FDP_187_1_aUrv" hidden="1">#REF!</definedName>
    <definedName name="FDP_188_1_aUrv" localSheetId="4" hidden="1">[152]Comparison!$E$209</definedName>
    <definedName name="FDP_188_1_aUrv" hidden="1">#REF!</definedName>
    <definedName name="FDP_189_1_aUrv" localSheetId="4" hidden="1">[152]Comparison!$E$210</definedName>
    <definedName name="FDP_189_1_aUrv" hidden="1">#REF!</definedName>
    <definedName name="FDP_19_1_aUrv" localSheetId="4" hidden="1">[152]Comparison!$E$8</definedName>
    <definedName name="FDP_19_1_aUrv" hidden="1">#REF!</definedName>
    <definedName name="FDP_190_1_aUrv" localSheetId="4" hidden="1">[152]Comparison!$E$211</definedName>
    <definedName name="FDP_190_1_aUrv" hidden="1">#REF!</definedName>
    <definedName name="FDP_191_1_aUrv" localSheetId="4" hidden="1">[152]Comparison!$E$212</definedName>
    <definedName name="FDP_191_1_aUrv" hidden="1">#REF!</definedName>
    <definedName name="FDP_192_1_aUrv" localSheetId="4" hidden="1">[152]Comparison!$E$213</definedName>
    <definedName name="FDP_192_1_aUrv" hidden="1">#REF!</definedName>
    <definedName name="FDP_193_1_aUrv" localSheetId="4" hidden="1">[152]Comparison!$E$214</definedName>
    <definedName name="FDP_193_1_aUrv" hidden="1">#REF!</definedName>
    <definedName name="FDP_194_1_aUrv" localSheetId="4" hidden="1">[152]Comparison!$E$215</definedName>
    <definedName name="FDP_194_1_aUrv" hidden="1">#REF!</definedName>
    <definedName name="FDP_195_1_aUrv" localSheetId="4" hidden="1">[152]Comparison!$E$216</definedName>
    <definedName name="FDP_195_1_aUrv" hidden="1">#REF!</definedName>
    <definedName name="FDP_196_1_aUrv" localSheetId="4" hidden="1">[152]Comparison!$E$217</definedName>
    <definedName name="FDP_196_1_aUrv" hidden="1">#REF!</definedName>
    <definedName name="FDP_197_1_aSrv" localSheetId="4" hidden="1">[152]Comparison!$E$218</definedName>
    <definedName name="FDP_197_1_aSrv" hidden="1">#REF!</definedName>
    <definedName name="FDP_198_1_aUrv" localSheetId="4" hidden="1">[152]Comparison!$E$219</definedName>
    <definedName name="FDP_198_1_aUrv" hidden="1">#REF!</definedName>
    <definedName name="FDP_199_1_aUrv" localSheetId="4" hidden="1">[152]Comparison!$E$221</definedName>
    <definedName name="FDP_199_1_aUrv" hidden="1">#REF!</definedName>
    <definedName name="FDP_2_1_aUrv" localSheetId="4" hidden="1">[152]Comparison!$V$21</definedName>
    <definedName name="FDP_2_1_aUrv" hidden="1">#REF!</definedName>
    <definedName name="FDP_20_1_aUrv" localSheetId="4" hidden="1">[152]Comparison!$E$9</definedName>
    <definedName name="FDP_20_1_aUrv" hidden="1">#REF!</definedName>
    <definedName name="FDP_200_1_aUrv" localSheetId="4" hidden="1">[152]Comparison!$E$222</definedName>
    <definedName name="FDP_200_1_aUrv" hidden="1">#REF!</definedName>
    <definedName name="FDP_201_1_aUrv" localSheetId="4" hidden="1">[152]Comparison!$E$223</definedName>
    <definedName name="FDP_201_1_aUrv" hidden="1">#REF!</definedName>
    <definedName name="FDP_202_1_aUrv" localSheetId="4" hidden="1">[152]Comparison!$E$224</definedName>
    <definedName name="FDP_202_1_aUrv" hidden="1">#REF!</definedName>
    <definedName name="FDP_203_1_aUrv" localSheetId="4" hidden="1">[152]Comparison!$E$225</definedName>
    <definedName name="FDP_203_1_aUrv" hidden="1">#REF!</definedName>
    <definedName name="FDP_204_1_aUrv" localSheetId="4" hidden="1">[152]Comparison!$E$226</definedName>
    <definedName name="FDP_204_1_aUrv" hidden="1">#REF!</definedName>
    <definedName name="FDP_205_1_aUrv" localSheetId="4" hidden="1">[152]Comparison!$E$227</definedName>
    <definedName name="FDP_205_1_aUrv" hidden="1">#REF!</definedName>
    <definedName name="FDP_206_1_aUrv" localSheetId="4" hidden="1">[152]Comparison!$E$228</definedName>
    <definedName name="FDP_206_1_aUrv" hidden="1">#REF!</definedName>
    <definedName name="FDP_207_1_aUrv" localSheetId="4" hidden="1">[152]Comparison!$E$233</definedName>
    <definedName name="FDP_207_1_aUrv" hidden="1">#REF!</definedName>
    <definedName name="FDP_208_1_aUrv" localSheetId="4" hidden="1">[152]Comparison!$E$234</definedName>
    <definedName name="FDP_208_1_aUrv" hidden="1">#REF!</definedName>
    <definedName name="FDP_209_1_aUrv" localSheetId="4" hidden="1">[152]Comparison!$E$235</definedName>
    <definedName name="FDP_209_1_aUrv" hidden="1">#REF!</definedName>
    <definedName name="FDP_21_1_aUrv" localSheetId="4" hidden="1">[152]Comparison!$E$10</definedName>
    <definedName name="FDP_21_1_aUrv" hidden="1">#REF!</definedName>
    <definedName name="FDP_210_1_aUrv" localSheetId="4" hidden="1">[152]Comparison!$E$236</definedName>
    <definedName name="FDP_210_1_aUrv" hidden="1">#REF!</definedName>
    <definedName name="FDP_211_1_aUrv" localSheetId="4" hidden="1">[152]Comparison!$E$237</definedName>
    <definedName name="FDP_211_1_aUrv" hidden="1">#REF!</definedName>
    <definedName name="FDP_212_1_aUrv" localSheetId="4" hidden="1">[152]Comparison!$E$239</definedName>
    <definedName name="FDP_212_1_aUrv" hidden="1">#REF!</definedName>
    <definedName name="FDP_213_1_aUrv" localSheetId="4" hidden="1">[152]Comparison!$E$240</definedName>
    <definedName name="FDP_213_1_aUrv" hidden="1">#REF!</definedName>
    <definedName name="FDP_214_1_aUrv" localSheetId="4" hidden="1">[152]Comparison!$E$241</definedName>
    <definedName name="FDP_214_1_aUrv" hidden="1">#REF!</definedName>
    <definedName name="FDP_215_1_aUrv" localSheetId="4" hidden="1">[152]Comparison!$E$242</definedName>
    <definedName name="FDP_215_1_aUrv" hidden="1">#REF!</definedName>
    <definedName name="FDP_216_1_aSrv" localSheetId="4" hidden="1">[152]Comparison!$E$238</definedName>
    <definedName name="FDP_216_1_aSrv" hidden="1">#REF!</definedName>
    <definedName name="FDP_217_1_aUrv" localSheetId="4" hidden="1">[152]Comparison!$E$243</definedName>
    <definedName name="FDP_217_1_aUrv" hidden="1">#REF!</definedName>
    <definedName name="FDP_218_1_aUrv" localSheetId="4" hidden="1">[152]Comparison!$E$244</definedName>
    <definedName name="FDP_218_1_aUrv" hidden="1">#REF!</definedName>
    <definedName name="FDP_219_1_aUrv" localSheetId="4" hidden="1">[152]Comparison!$E$245</definedName>
    <definedName name="FDP_219_1_aUrv" hidden="1">#REF!</definedName>
    <definedName name="FDP_22_1_aUrv" localSheetId="4" hidden="1">[152]Comparison!$E$11</definedName>
    <definedName name="FDP_22_1_aUrv" hidden="1">#REF!</definedName>
    <definedName name="FDP_220_1_aUrv" localSheetId="4" hidden="1">[152]Comparison!$E$246</definedName>
    <definedName name="FDP_220_1_aUrv" hidden="1">#REF!</definedName>
    <definedName name="FDP_221_1_aUrv" localSheetId="4" hidden="1">[152]Comparison!$E$247</definedName>
    <definedName name="FDP_221_1_aUrv" hidden="1">#REF!</definedName>
    <definedName name="FDP_222_1_aUrv" localSheetId="4" hidden="1">[152]Comparison!$E$248</definedName>
    <definedName name="FDP_222_1_aUrv" hidden="1">#REF!</definedName>
    <definedName name="FDP_223_1_aUrv" localSheetId="4" hidden="1">[152]Comparison!$E$250</definedName>
    <definedName name="FDP_223_1_aUrv" hidden="1">#REF!</definedName>
    <definedName name="FDP_224_1_aSrv" localSheetId="4" hidden="1">[152]Comparison!$E$258</definedName>
    <definedName name="FDP_224_1_aSrv" hidden="1">#REF!</definedName>
    <definedName name="FDP_225_1_aSrv" localSheetId="4" hidden="1">[152]Comparison!$E$261</definedName>
    <definedName name="FDP_225_1_aSrv" hidden="1">#REF!</definedName>
    <definedName name="FDP_226_1_aSrv" localSheetId="4" hidden="1">[152]Comparison!$E$262</definedName>
    <definedName name="FDP_226_1_aSrv" hidden="1">#REF!</definedName>
    <definedName name="FDP_227_1_aSrv" localSheetId="4" hidden="1">[152]Comparison!$E$264</definedName>
    <definedName name="FDP_227_1_aSrv" hidden="1">#REF!</definedName>
    <definedName name="FDP_228_1_aSrv" localSheetId="4" hidden="1">[152]Comparison!$E$265</definedName>
    <definedName name="FDP_228_1_aSrv" hidden="1">#REF!</definedName>
    <definedName name="FDP_229_1_aSrv" localSheetId="4" hidden="1">[152]Comparison!$E$266</definedName>
    <definedName name="FDP_229_1_aSrv" hidden="1">#REF!</definedName>
    <definedName name="FDP_23_1_aUrv" localSheetId="4" hidden="1">[152]Comparison!$E$12</definedName>
    <definedName name="FDP_23_1_aUrv" hidden="1">#REF!</definedName>
    <definedName name="FDP_230_1_aSrv" localSheetId="4" hidden="1">[152]Comparison!$E$269</definedName>
    <definedName name="FDP_230_1_aSrv" hidden="1">#REF!</definedName>
    <definedName name="FDP_231_1_aSrv" localSheetId="4" hidden="1">[152]Comparison!$E$270</definedName>
    <definedName name="FDP_231_1_aSrv" hidden="1">#REF!</definedName>
    <definedName name="FDP_232_1_aSrv" localSheetId="4" hidden="1">[152]Comparison!$E$273</definedName>
    <definedName name="FDP_232_1_aSrv" hidden="1">#REF!</definedName>
    <definedName name="FDP_233_1_aSrv" localSheetId="4" hidden="1">[152]Comparison!$E$274</definedName>
    <definedName name="FDP_233_1_aSrv" hidden="1">#REF!</definedName>
    <definedName name="FDP_234_1_aSrv" localSheetId="4" hidden="1">[152]Comparison!$E$275</definedName>
    <definedName name="FDP_234_1_aSrv" hidden="1">#REF!</definedName>
    <definedName name="FDP_235_1_aSrv" localSheetId="4" hidden="1">[152]Comparison!$E$280</definedName>
    <definedName name="FDP_235_1_aSrv" hidden="1">#REF!</definedName>
    <definedName name="FDP_236_1_aSrv" localSheetId="4" hidden="1">[152]Comparison!$E$289</definedName>
    <definedName name="FDP_236_1_aSrv" hidden="1">#REF!</definedName>
    <definedName name="FDP_237_1_aSrv" localSheetId="4" hidden="1">[152]Comparison!$E$290</definedName>
    <definedName name="FDP_237_1_aSrv" hidden="1">#REF!</definedName>
    <definedName name="FDP_238_1_aSrv" localSheetId="4" hidden="1">[152]Comparison!$E$291</definedName>
    <definedName name="FDP_238_1_aSrv" hidden="1">#REF!</definedName>
    <definedName name="FDP_239_1_aSrv" localSheetId="4" hidden="1">[152]Comparison!$E$292</definedName>
    <definedName name="FDP_239_1_aSrv" hidden="1">#REF!</definedName>
    <definedName name="FDP_24_1_aSrv" localSheetId="4" hidden="1">[152]Comparison!$E$13</definedName>
    <definedName name="FDP_24_1_aSrv" hidden="1">#REF!</definedName>
    <definedName name="FDP_240_1_aSrv" localSheetId="4" hidden="1">[152]Comparison!$E$303</definedName>
    <definedName name="FDP_240_1_aSrv" hidden="1">#REF!</definedName>
    <definedName name="FDP_241_1_aSrv" localSheetId="4" hidden="1">[152]Comparison!$E$304</definedName>
    <definedName name="FDP_241_1_aSrv" hidden="1">#REF!</definedName>
    <definedName name="FDP_242_1_aSrv" localSheetId="4" hidden="1">[152]Comparison!$E$305</definedName>
    <definedName name="FDP_242_1_aSrv" hidden="1">#REF!</definedName>
    <definedName name="FDP_243_1_aSrv" localSheetId="4" hidden="1">[152]Comparison!$E$306</definedName>
    <definedName name="FDP_243_1_aSrv" hidden="1">#REF!</definedName>
    <definedName name="FDP_244_1_aSrv" localSheetId="4" hidden="1">[152]Comparison!$E$307</definedName>
    <definedName name="FDP_244_1_aSrv" hidden="1">#REF!</definedName>
    <definedName name="FDP_245_1_aSrv" localSheetId="4" hidden="1">[152]Comparison!$E$308</definedName>
    <definedName name="FDP_245_1_aSrv" hidden="1">#REF!</definedName>
    <definedName name="FDP_246_1_aSrv" localSheetId="4" hidden="1">[152]Comparison!$E$309</definedName>
    <definedName name="FDP_246_1_aSrv" hidden="1">#REF!</definedName>
    <definedName name="FDP_247_1_aSrv" localSheetId="4" hidden="1">[152]Comparison!$E$310</definedName>
    <definedName name="FDP_247_1_aSrv" hidden="1">#REF!</definedName>
    <definedName name="FDP_248_1_aSrv" localSheetId="4" hidden="1">[152]Comparison!$E$311</definedName>
    <definedName name="FDP_248_1_aSrv" hidden="1">#REF!</definedName>
    <definedName name="FDP_249_1_aSrv" localSheetId="4" hidden="1">[152]Comparison!$E$312</definedName>
    <definedName name="FDP_249_1_aSrv" hidden="1">#REF!</definedName>
    <definedName name="FDP_25_1_aUrv" localSheetId="4" hidden="1">[152]Comparison!$E$14</definedName>
    <definedName name="FDP_25_1_aUrv" hidden="1">#REF!</definedName>
    <definedName name="FDP_250_1_aSrv" localSheetId="4" hidden="1">[152]Comparison!$E$313</definedName>
    <definedName name="FDP_250_1_aSrv" hidden="1">#REF!</definedName>
    <definedName name="FDP_251_1_aSrv" localSheetId="4" hidden="1">[152]Comparison!$E$314</definedName>
    <definedName name="FDP_251_1_aSrv" hidden="1">#REF!</definedName>
    <definedName name="FDP_252_1_aSrv" localSheetId="4" hidden="1">[152]Comparison!$E$315</definedName>
    <definedName name="FDP_252_1_aSrv" hidden="1">#REF!</definedName>
    <definedName name="FDP_253_1_aSrv" localSheetId="4" hidden="1">[152]Comparison!$E$316</definedName>
    <definedName name="FDP_253_1_aSrv" hidden="1">#REF!</definedName>
    <definedName name="FDP_254_1_aSrv" localSheetId="4" hidden="1">[152]Comparison!$E$317</definedName>
    <definedName name="FDP_254_1_aSrv" hidden="1">#REF!</definedName>
    <definedName name="FDP_255_1_aSrv" localSheetId="4" hidden="1">[152]Comparison!$E$318</definedName>
    <definedName name="FDP_255_1_aSrv" hidden="1">#REF!</definedName>
    <definedName name="FDP_256_1_aSrv" localSheetId="4" hidden="1">[152]Comparison!$E$319</definedName>
    <definedName name="FDP_256_1_aSrv" hidden="1">#REF!</definedName>
    <definedName name="FDP_257_1_aSrv" localSheetId="4" hidden="1">[152]Comparison!$E$320</definedName>
    <definedName name="FDP_257_1_aSrv" hidden="1">#REF!</definedName>
    <definedName name="FDP_258_1_aSrv" localSheetId="4" hidden="1">[152]Comparison!$E$321</definedName>
    <definedName name="FDP_258_1_aSrv" hidden="1">#REF!</definedName>
    <definedName name="FDP_259_1_aSrv" localSheetId="4" hidden="1">[152]Comparison!$E$322</definedName>
    <definedName name="FDP_259_1_aSrv" hidden="1">#REF!</definedName>
    <definedName name="FDP_26_1_aUrv" localSheetId="4" hidden="1">[152]Comparison!$E$15</definedName>
    <definedName name="FDP_26_1_aUrv" hidden="1">#REF!</definedName>
    <definedName name="FDP_260_1_aSrv" localSheetId="4" hidden="1">[152]Comparison!$E$323</definedName>
    <definedName name="FDP_260_1_aSrv" hidden="1">#REF!</definedName>
    <definedName name="FDP_261_1_aSrv" localSheetId="4" hidden="1">[152]Comparison!$E$324</definedName>
    <definedName name="FDP_261_1_aSrv" hidden="1">#REF!</definedName>
    <definedName name="FDP_262_1_aSrv" localSheetId="4" hidden="1">[152]Comparison!$E$325</definedName>
    <definedName name="FDP_262_1_aSrv" hidden="1">#REF!</definedName>
    <definedName name="FDP_263_1_aSrv" localSheetId="4" hidden="1">[152]Comparison!$E$326</definedName>
    <definedName name="FDP_263_1_aSrv" hidden="1">#REF!</definedName>
    <definedName name="FDP_264_1_aSrv" localSheetId="4" hidden="1">[152]Comparison!$E$327</definedName>
    <definedName name="FDP_264_1_aSrv" hidden="1">#REF!</definedName>
    <definedName name="FDP_265_1_aSrv" localSheetId="4" hidden="1">[152]Comparison!$E$328</definedName>
    <definedName name="FDP_265_1_aSrv" hidden="1">#REF!</definedName>
    <definedName name="FDP_266_1_aSrv" localSheetId="4" hidden="1">[152]Comparison!$E$329</definedName>
    <definedName name="FDP_266_1_aSrv" hidden="1">#REF!</definedName>
    <definedName name="FDP_267_1_aSrv" localSheetId="4" hidden="1">[152]Comparison!$E$330</definedName>
    <definedName name="FDP_267_1_aSrv" hidden="1">#REF!</definedName>
    <definedName name="FDP_268_1_aSrv" localSheetId="4" hidden="1">[152]Comparison!$E$331</definedName>
    <definedName name="FDP_268_1_aSrv" hidden="1">#REF!</definedName>
    <definedName name="FDP_269_1_aSrv" localSheetId="4" hidden="1">[152]Comparison!$E$332</definedName>
    <definedName name="FDP_269_1_aSrv" hidden="1">#REF!</definedName>
    <definedName name="FDP_27_1_aUrv" localSheetId="4" hidden="1">[152]Comparison!$E$16</definedName>
    <definedName name="FDP_27_1_aUrv" hidden="1">#REF!</definedName>
    <definedName name="FDP_270_1_aSrv" localSheetId="4" hidden="1">[152]Comparison!$E$333</definedName>
    <definedName name="FDP_270_1_aSrv" hidden="1">#REF!</definedName>
    <definedName name="FDP_271_1_aSrv" localSheetId="4" hidden="1">[152]Comparison!$E$334</definedName>
    <definedName name="FDP_271_1_aSrv" hidden="1">#REF!</definedName>
    <definedName name="FDP_272_1_aSrv" localSheetId="4" hidden="1">[152]Comparison!$E$335</definedName>
    <definedName name="FDP_272_1_aSrv" hidden="1">#REF!</definedName>
    <definedName name="FDP_273_1_aSrv" localSheetId="4" hidden="1">[152]Comparison!$E$336</definedName>
    <definedName name="FDP_273_1_aSrv" hidden="1">#REF!</definedName>
    <definedName name="FDP_274_1_aSrv" localSheetId="4" hidden="1">[152]Comparison!$E$23</definedName>
    <definedName name="FDP_274_1_aSrv" hidden="1">#REF!</definedName>
    <definedName name="FDP_275_1_aSrv" localSheetId="4" hidden="1">[152]Comparison!$E$24</definedName>
    <definedName name="FDP_275_1_aSrv" hidden="1">#REF!</definedName>
    <definedName name="FDP_276_1_aSrv" localSheetId="4" hidden="1">[152]Comparison!$E$29</definedName>
    <definedName name="FDP_276_1_aSrv" hidden="1">#REF!</definedName>
    <definedName name="FDP_277_1_aSrv" localSheetId="4" hidden="1">[152]Comparison!$E$28</definedName>
    <definedName name="FDP_277_1_aSrv" hidden="1">#REF!</definedName>
    <definedName name="FDP_278_1_aSrv" localSheetId="4" hidden="1">[152]Comparison!$E$30</definedName>
    <definedName name="FDP_278_1_aSrv" hidden="1">#REF!</definedName>
    <definedName name="FDP_279_1_aSrv" localSheetId="4" hidden="1">[152]Comparison!$E$31</definedName>
    <definedName name="FDP_279_1_aSrv" hidden="1">#REF!</definedName>
    <definedName name="FDP_28_1_aUrv" localSheetId="4" hidden="1">[152]Comparison!$E$17</definedName>
    <definedName name="FDP_28_1_aUrv" hidden="1">#REF!</definedName>
    <definedName name="FDP_280_1_aSrv" localSheetId="4" hidden="1">[153]Forecasts_VDF!#REF!</definedName>
    <definedName name="FDP_280_1_aSrv" hidden="1">#REF!</definedName>
    <definedName name="FDP_281_1_aSrv" localSheetId="4" hidden="1">[153]Forecasts_VDF!#REF!</definedName>
    <definedName name="FDP_281_1_aSrv" hidden="1">#REF!</definedName>
    <definedName name="FDP_282_1_aSrv" localSheetId="4" hidden="1">[153]Forecasts_VDF!#REF!</definedName>
    <definedName name="FDP_282_1_aSrv" hidden="1">#REF!</definedName>
    <definedName name="FDP_283_1_aSrv" localSheetId="4" hidden="1">[153]Forecasts_VDF!#REF!</definedName>
    <definedName name="FDP_283_1_aSrv" hidden="1">#REF!</definedName>
    <definedName name="FDP_284_1_aSrv" localSheetId="4" hidden="1">[152]Comparison!$E$38</definedName>
    <definedName name="FDP_284_1_aSrv" hidden="1">#REF!</definedName>
    <definedName name="FDP_285_1_aSrv" localSheetId="4" hidden="1">[152]Comparison!$E$39</definedName>
    <definedName name="FDP_285_1_aSrv" hidden="1">#REF!</definedName>
    <definedName name="FDP_286_1_aSrv" localSheetId="4" hidden="1">[152]Comparison!$E$43</definedName>
    <definedName name="FDP_286_1_aSrv" hidden="1">#REF!</definedName>
    <definedName name="FDP_287_1_aSrv" localSheetId="4" hidden="1">[152]Comparison!$E$44</definedName>
    <definedName name="FDP_287_1_aSrv" hidden="1">#REF!</definedName>
    <definedName name="FDP_288_1_aSrv" localSheetId="4" hidden="1">[152]Comparison!$E$45</definedName>
    <definedName name="FDP_288_1_aSrv" hidden="1">#REF!</definedName>
    <definedName name="FDP_289_1_aSrv" localSheetId="4" hidden="1">[152]Comparison!$E$46</definedName>
    <definedName name="FDP_289_1_aSrv" hidden="1">#REF!</definedName>
    <definedName name="FDP_29_1_aUrv" localSheetId="4" hidden="1">[152]Comparison!$E$18</definedName>
    <definedName name="FDP_29_1_aUrv" hidden="1">#REF!</definedName>
    <definedName name="FDP_290_1_aSrv" localSheetId="4" hidden="1">[152]Comparison!$E$47</definedName>
    <definedName name="FDP_290_1_aSrv" hidden="1">#REF!</definedName>
    <definedName name="FDP_291_1_aSrv" localSheetId="4" hidden="1">[152]Comparison!$E$49</definedName>
    <definedName name="FDP_291_1_aSrv" hidden="1">#REF!</definedName>
    <definedName name="FDP_292_1_aSrv" localSheetId="4" hidden="1">[152]Comparison!$E$50</definedName>
    <definedName name="FDP_292_1_aSrv" hidden="1">#REF!</definedName>
    <definedName name="FDP_293_1_aSrv" localSheetId="4" hidden="1">[152]Comparison!$E$51</definedName>
    <definedName name="FDP_293_1_aSrv" hidden="1">#REF!</definedName>
    <definedName name="FDP_294_1_aSrv" localSheetId="4" hidden="1">[152]Comparison!$E$61</definedName>
    <definedName name="FDP_294_1_aSrv" hidden="1">#REF!</definedName>
    <definedName name="FDP_295_1_aSrv" localSheetId="4" hidden="1">[152]Comparison!$E$65</definedName>
    <definedName name="FDP_295_1_aSrv" hidden="1">#REF!</definedName>
    <definedName name="FDP_296_1_aSrv" localSheetId="4" hidden="1">[152]Comparison!$E$85</definedName>
    <definedName name="FDP_296_1_aSrv" hidden="1">#REF!</definedName>
    <definedName name="FDP_297_1_aSrv" localSheetId="4" hidden="1">[152]Comparison!$E$88</definedName>
    <definedName name="FDP_297_1_aSrv" hidden="1">#REF!</definedName>
    <definedName name="FDP_298_1_aSrv" localSheetId="4" hidden="1">[152]Comparison!$E$95</definedName>
    <definedName name="FDP_298_1_aSrv" hidden="1">#REF!</definedName>
    <definedName name="FDP_299_1_aSrv" localSheetId="4" hidden="1">[152]Comparison!$E$96</definedName>
    <definedName name="FDP_299_1_aSrv" hidden="1">#REF!</definedName>
    <definedName name="FDP_3_1_aUrv" localSheetId="4" hidden="1">[152]Comparison!$V$22</definedName>
    <definedName name="FDP_3_1_aUrv" hidden="1">#REF!</definedName>
    <definedName name="FDP_30_1_aSrv" localSheetId="4" hidden="1">[152]Comparison!$E$19</definedName>
    <definedName name="FDP_30_1_aSrv" hidden="1">#REF!</definedName>
    <definedName name="FDP_300_1_aSrv" localSheetId="4" hidden="1">[152]Comparison!$E$104</definedName>
    <definedName name="FDP_300_1_aSrv" hidden="1">#REF!</definedName>
    <definedName name="FDP_301_1_aSrv" localSheetId="4" hidden="1">[152]Comparison!$E$112</definedName>
    <definedName name="FDP_301_1_aSrv" hidden="1">#REF!</definedName>
    <definedName name="FDP_302_1_aSrv" localSheetId="4" hidden="1">[152]Comparison!$E$113</definedName>
    <definedName name="FDP_302_1_aSrv" hidden="1">#REF!</definedName>
    <definedName name="FDP_303_1_aSrv" localSheetId="4" hidden="1">[152]Comparison!$E$131</definedName>
    <definedName name="FDP_303_1_aSrv" hidden="1">#REF!</definedName>
    <definedName name="FDP_304_1_aSrv" localSheetId="4" hidden="1">[152]Comparison!$E$136</definedName>
    <definedName name="FDP_304_1_aSrv" hidden="1">#REF!</definedName>
    <definedName name="FDP_305_1_aSrv" localSheetId="4" hidden="1">[152]Comparison!$E$146</definedName>
    <definedName name="FDP_305_1_aSrv" hidden="1">#REF!</definedName>
    <definedName name="FDP_306_1_aSrv" localSheetId="4" hidden="1">[152]Comparison!$E$165</definedName>
    <definedName name="FDP_306_1_aSrv" hidden="1">#REF!</definedName>
    <definedName name="FDP_307_1_aSrv" localSheetId="4" hidden="1">[152]Comparison!$E$169</definedName>
    <definedName name="FDP_307_1_aSrv" hidden="1">#REF!</definedName>
    <definedName name="FDP_308_1_aSrv" localSheetId="4" hidden="1">[152]Comparison!$E$171</definedName>
    <definedName name="FDP_308_1_aSrv" hidden="1">#REF!</definedName>
    <definedName name="FDP_309_1_aSrv" localSheetId="4" hidden="1">[152]Comparison!$E$172</definedName>
    <definedName name="FDP_309_1_aSrv" hidden="1">#REF!</definedName>
    <definedName name="FDP_31_1_aSrv" localSheetId="4" hidden="1">[152]Comparison!$E$20</definedName>
    <definedName name="FDP_31_1_aSrv" hidden="1">#REF!</definedName>
    <definedName name="FDP_310_1_aSrv" localSheetId="4" hidden="1">[152]Comparison!$E$178</definedName>
    <definedName name="FDP_310_1_aSrv" hidden="1">#REF!</definedName>
    <definedName name="FDP_311_1_aSrv" localSheetId="4" hidden="1">[152]Comparison!$E$179</definedName>
    <definedName name="FDP_311_1_aSrv" hidden="1">#REF!</definedName>
    <definedName name="FDP_312_1_aSrv" localSheetId="4" hidden="1">[152]Comparison!$E$180</definedName>
    <definedName name="FDP_312_1_aSrv" hidden="1">#REF!</definedName>
    <definedName name="FDP_313_1_aSrv" localSheetId="4" hidden="1">[152]Comparison!$P$184</definedName>
    <definedName name="FDP_313_1_aSrv" hidden="1">#REF!</definedName>
    <definedName name="FDP_314_1_aSrv" localSheetId="4" hidden="1">[152]Comparison!$P$186</definedName>
    <definedName name="FDP_314_1_aSrv" hidden="1">#REF!</definedName>
    <definedName name="FDP_315_1_aSrv" localSheetId="4" hidden="1">[152]Comparison!$P$187</definedName>
    <definedName name="FDP_315_1_aSrv" hidden="1">#REF!</definedName>
    <definedName name="FDP_316_1_aSrv" localSheetId="4" hidden="1">[152]Comparison!$P$188</definedName>
    <definedName name="FDP_316_1_aSrv" hidden="1">#REF!</definedName>
    <definedName name="FDP_317_1_aSrv" localSheetId="4" hidden="1">[152]Comparison!$P$189</definedName>
    <definedName name="FDP_317_1_aSrv" hidden="1">#REF!</definedName>
    <definedName name="FDP_318_1_aUrv" localSheetId="4" hidden="1">[152]Comparison!#REF!</definedName>
    <definedName name="FDP_318_1_aUrv" hidden="1">#REF!</definedName>
    <definedName name="FDP_319_1_aUrv" localSheetId="4" hidden="1">[152]Comparison!#REF!</definedName>
    <definedName name="FDP_319_1_aUrv" hidden="1">#REF!</definedName>
    <definedName name="FDP_32_1_aUrv" localSheetId="4" hidden="1">[152]Comparison!$E$21</definedName>
    <definedName name="FDP_32_1_aUrv" hidden="1">#REF!</definedName>
    <definedName name="FDP_320_1_aUrv" localSheetId="4" hidden="1">[152]Comparison!#REF!</definedName>
    <definedName name="FDP_320_1_aUrv" hidden="1">#REF!</definedName>
    <definedName name="FDP_321_1_aUrv" localSheetId="4" hidden="1">[152]Comparison!#REF!</definedName>
    <definedName name="FDP_321_1_aUrv" hidden="1">#REF!</definedName>
    <definedName name="FDP_322_1_aUrv" localSheetId="4" hidden="1">[152]Comparison!#REF!</definedName>
    <definedName name="FDP_322_1_aUrv" hidden="1">#REF!</definedName>
    <definedName name="FDP_323_1_aUrv" localSheetId="4" hidden="1">[152]Comparison!#REF!</definedName>
    <definedName name="FDP_323_1_aUrv" hidden="1">#REF!</definedName>
    <definedName name="FDP_324_1_aUrv" localSheetId="4" hidden="1">[152]Comparison!#REF!</definedName>
    <definedName name="FDP_324_1_aUrv" hidden="1">#REF!</definedName>
    <definedName name="FDP_325_1_aUrv" localSheetId="4" hidden="1">[152]Comparison!#REF!</definedName>
    <definedName name="FDP_325_1_aUrv" hidden="1">#REF!</definedName>
    <definedName name="FDP_326_1_aUrv" localSheetId="4" hidden="1">[152]Comparison!#REF!</definedName>
    <definedName name="FDP_326_1_aUrv" hidden="1">#REF!</definedName>
    <definedName name="FDP_327_1_aUrv" localSheetId="4" hidden="1">[152]Comparison!#REF!</definedName>
    <definedName name="FDP_327_1_aUrv" hidden="1">#REF!</definedName>
    <definedName name="FDP_328_1_aUrv" localSheetId="4" hidden="1">[152]Comparison!#REF!</definedName>
    <definedName name="FDP_328_1_aUrv" hidden="1">#REF!</definedName>
    <definedName name="FDP_329_1_aUrv" localSheetId="4" hidden="1">[152]Comparison!#REF!</definedName>
    <definedName name="FDP_329_1_aUrv" hidden="1">#REF!</definedName>
    <definedName name="FDP_33_1_aUrv" localSheetId="4" hidden="1">[152]Comparison!$E$22</definedName>
    <definedName name="FDP_33_1_aUrv" hidden="1">#REF!</definedName>
    <definedName name="FDP_330_1_aUrv" localSheetId="4" hidden="1">[152]Comparison!#REF!</definedName>
    <definedName name="FDP_330_1_aUrv" hidden="1">#REF!</definedName>
    <definedName name="FDP_331_1_aUrv" localSheetId="4" hidden="1">[152]Comparison!#REF!</definedName>
    <definedName name="FDP_331_1_aUrv" hidden="1">#REF!</definedName>
    <definedName name="FDP_332_1_aUrv" localSheetId="4" hidden="1">[152]Comparison!#REF!</definedName>
    <definedName name="FDP_332_1_aUrv" hidden="1">#REF!</definedName>
    <definedName name="FDP_333_1_aUrv" localSheetId="4" hidden="1">[152]Comparison!#REF!</definedName>
    <definedName name="FDP_333_1_aUrv" hidden="1">#REF!</definedName>
    <definedName name="FDP_334_1_aSrv" localSheetId="4" hidden="1">[152]Comparison!#REF!</definedName>
    <definedName name="FDP_334_1_aSrv" hidden="1">#REF!</definedName>
    <definedName name="FDP_335_1_aSrv" localSheetId="4" hidden="1">[152]Comparison!#REF!</definedName>
    <definedName name="FDP_335_1_aSrv" hidden="1">#REF!</definedName>
    <definedName name="FDP_336_1_aUrv" localSheetId="4" hidden="1">[152]Comparison!#REF!</definedName>
    <definedName name="FDP_336_1_aUrv" hidden="1">#REF!</definedName>
    <definedName name="FDP_337_1_aUrv" localSheetId="4" hidden="1">[152]Comparison!#REF!</definedName>
    <definedName name="FDP_337_1_aUrv" hidden="1">#REF!</definedName>
    <definedName name="FDP_338_1_aUrv" localSheetId="4" hidden="1">[152]Comparison!#REF!</definedName>
    <definedName name="FDP_338_1_aUrv" hidden="1">#REF!</definedName>
    <definedName name="FDP_339_1_aSrv" localSheetId="4" hidden="1">[152]Comparison!#REF!</definedName>
    <definedName name="FDP_339_1_aSrv" hidden="1">#REF!</definedName>
    <definedName name="FDP_34_1_aUrv" localSheetId="4" hidden="1">[152]Comparison!$E$23</definedName>
    <definedName name="FDP_34_1_aUrv" hidden="1">#REF!</definedName>
    <definedName name="FDP_342_1_aUrv" localSheetId="4" hidden="1">[152]Comparison!#REF!</definedName>
    <definedName name="FDP_342_1_aUrv" hidden="1">#REF!</definedName>
    <definedName name="FDP_343_1_aUrv" localSheetId="4" hidden="1">[152]Comparison!#REF!</definedName>
    <definedName name="FDP_343_1_aUrv" hidden="1">#REF!</definedName>
    <definedName name="FDP_344_1_aUrv" localSheetId="4" hidden="1">[152]Comparison!#REF!</definedName>
    <definedName name="FDP_344_1_aUrv" hidden="1">#REF!</definedName>
    <definedName name="FDP_345_1_aUrv" localSheetId="4" hidden="1">[152]Comparison!#REF!</definedName>
    <definedName name="FDP_345_1_aUrv" hidden="1">#REF!</definedName>
    <definedName name="FDP_346_1_aUrv" localSheetId="4" hidden="1">[152]Comparison!#REF!</definedName>
    <definedName name="FDP_346_1_aUrv" hidden="1">#REF!</definedName>
    <definedName name="FDP_347_1_aSrv" localSheetId="4" hidden="1">[152]Comparison!#REF!</definedName>
    <definedName name="FDP_347_1_aSrv" hidden="1">#REF!</definedName>
    <definedName name="FDP_348_1_aUrv" localSheetId="4" hidden="1">[152]Comparison!#REF!</definedName>
    <definedName name="FDP_348_1_aUrv" hidden="1">#REF!</definedName>
    <definedName name="FDP_349_1_aUrv" localSheetId="4" hidden="1">[152]Comparison!#REF!</definedName>
    <definedName name="FDP_349_1_aUrv" hidden="1">#REF!</definedName>
    <definedName name="FDP_35_1_aUrv" localSheetId="4" hidden="1">[152]Comparison!$E$24</definedName>
    <definedName name="FDP_35_1_aUrv" hidden="1">#REF!</definedName>
    <definedName name="FDP_350_1_aUrv" localSheetId="4" hidden="1">[152]Comparison!#REF!</definedName>
    <definedName name="FDP_350_1_aUrv" hidden="1">#REF!</definedName>
    <definedName name="FDP_351_1_aUrv" localSheetId="4" hidden="1">[152]Comparison!#REF!</definedName>
    <definedName name="FDP_351_1_aUrv" hidden="1">#REF!</definedName>
    <definedName name="FDP_352_1_aUrv" localSheetId="4" hidden="1">[152]Comparison!#REF!</definedName>
    <definedName name="FDP_352_1_aUrv" hidden="1">#REF!</definedName>
    <definedName name="FDP_353_1_aSrv" localSheetId="4" hidden="1">[152]Comparison!#REF!</definedName>
    <definedName name="FDP_353_1_aSrv" hidden="1">#REF!</definedName>
    <definedName name="FDP_354_1_aSrv" localSheetId="4" hidden="1">[152]Comparison!#REF!</definedName>
    <definedName name="FDP_354_1_aSrv" hidden="1">#REF!</definedName>
    <definedName name="FDP_355_1_aUrv" localSheetId="4" hidden="1">[152]Comparison!#REF!</definedName>
    <definedName name="FDP_355_1_aUrv" hidden="1">#REF!</definedName>
    <definedName name="FDP_356_1_aUrv" localSheetId="4" hidden="1">[152]Comparison!#REF!</definedName>
    <definedName name="FDP_356_1_aUrv" hidden="1">#REF!</definedName>
    <definedName name="FDP_357_1_aUrv" localSheetId="4" hidden="1">[152]Comparison!#REF!</definedName>
    <definedName name="FDP_357_1_aUrv" hidden="1">#REF!</definedName>
    <definedName name="FDP_358_1_aUrv" localSheetId="4" hidden="1">[152]Comparison!#REF!</definedName>
    <definedName name="FDP_358_1_aUrv" hidden="1">#REF!</definedName>
    <definedName name="FDP_359_1_aUrv" localSheetId="4" hidden="1">[152]Comparison!#REF!</definedName>
    <definedName name="FDP_359_1_aUrv" hidden="1">#REF!</definedName>
    <definedName name="FDP_36_1_aUrv" localSheetId="4" hidden="1">[152]Comparison!$E$25</definedName>
    <definedName name="FDP_36_1_aUrv" hidden="1">#REF!</definedName>
    <definedName name="FDP_360_1_aSrv" localSheetId="4" hidden="1">[152]Comparison!#REF!</definedName>
    <definedName name="FDP_360_1_aSrv" hidden="1">#REF!</definedName>
    <definedName name="FDP_361_1_aUrv" localSheetId="4" hidden="1">[152]Comparison!#REF!</definedName>
    <definedName name="FDP_361_1_aUrv" hidden="1">#REF!</definedName>
    <definedName name="FDP_362_1_aUrv" localSheetId="4" hidden="1">[152]Comparison!#REF!</definedName>
    <definedName name="FDP_362_1_aUrv" hidden="1">#REF!</definedName>
    <definedName name="FDP_363_1_aUrv" localSheetId="4" hidden="1">[152]Comparison!#REF!</definedName>
    <definedName name="FDP_363_1_aUrv" hidden="1">#REF!</definedName>
    <definedName name="FDP_364_1_aUrv" localSheetId="4" hidden="1">[152]Comparison!#REF!</definedName>
    <definedName name="FDP_364_1_aUrv" hidden="1">#REF!</definedName>
    <definedName name="FDP_365_1_aUrv" localSheetId="4" hidden="1">[152]Comparison!#REF!</definedName>
    <definedName name="FDP_365_1_aUrv" hidden="1">#REF!</definedName>
    <definedName name="FDP_366_1_aUrv" localSheetId="4" hidden="1">[152]Comparison!#REF!</definedName>
    <definedName name="FDP_366_1_aUrv" hidden="1">#REF!</definedName>
    <definedName name="FDP_367_1_aUrv" localSheetId="4" hidden="1">[152]Comparison!#REF!</definedName>
    <definedName name="FDP_367_1_aUrv" hidden="1">#REF!</definedName>
    <definedName name="FDP_368_1_aUrv" localSheetId="4" hidden="1">[152]Comparison!#REF!</definedName>
    <definedName name="FDP_368_1_aUrv" hidden="1">#REF!</definedName>
    <definedName name="FDP_369_1_aUrv" localSheetId="4" hidden="1">[152]Comparison!#REF!</definedName>
    <definedName name="FDP_369_1_aUrv" hidden="1">#REF!</definedName>
    <definedName name="FDP_37_1_aSrv" localSheetId="4" hidden="1">[152]Comparison!$E$26</definedName>
    <definedName name="FDP_37_1_aSrv" hidden="1">#REF!</definedName>
    <definedName name="FDP_370_1_aUrv" localSheetId="4" hidden="1">[152]Comparison!#REF!</definedName>
    <definedName name="FDP_370_1_aUrv" hidden="1">#REF!</definedName>
    <definedName name="FDP_371_1_aUrv" localSheetId="4" hidden="1">[152]Comparison!#REF!</definedName>
    <definedName name="FDP_371_1_aUrv" hidden="1">#REF!</definedName>
    <definedName name="FDP_372_1_aUrv" localSheetId="4" hidden="1">[152]Comparison!#REF!</definedName>
    <definedName name="FDP_372_1_aUrv" hidden="1">#REF!</definedName>
    <definedName name="FDP_373_1_aSrv" localSheetId="4" hidden="1">[152]Comparison!#REF!</definedName>
    <definedName name="FDP_373_1_aSrv" hidden="1">#REF!</definedName>
    <definedName name="FDP_374_1_aSrv" localSheetId="4" hidden="1">[152]Comparison!#REF!</definedName>
    <definedName name="FDP_374_1_aSrv" hidden="1">#REF!</definedName>
    <definedName name="FDP_375_1_aSrv" localSheetId="4" hidden="1">[152]Comparison!#REF!</definedName>
    <definedName name="FDP_375_1_aSrv" hidden="1">#REF!</definedName>
    <definedName name="FDP_376_1_aSrv" localSheetId="4" hidden="1">[152]Comparison!#REF!</definedName>
    <definedName name="FDP_376_1_aSrv" hidden="1">#REF!</definedName>
    <definedName name="FDP_377_1_aUrv" localSheetId="4" hidden="1">[152]Comparison!#REF!</definedName>
    <definedName name="FDP_377_1_aUrv" hidden="1">#REF!</definedName>
    <definedName name="FDP_378_1_aUrv" localSheetId="4" hidden="1">[152]Comparison!#REF!</definedName>
    <definedName name="FDP_378_1_aUrv" hidden="1">#REF!</definedName>
    <definedName name="FDP_379_1_aSrv" localSheetId="4" hidden="1">[152]Comparison!#REF!</definedName>
    <definedName name="FDP_379_1_aSrv" hidden="1">#REF!</definedName>
    <definedName name="FDP_38_1_aUrv" localSheetId="4" hidden="1">[152]Comparison!$E$27</definedName>
    <definedName name="FDP_38_1_aUrv" hidden="1">#REF!</definedName>
    <definedName name="FDP_380_1_aUrv" localSheetId="4" hidden="1">[152]Comparison!#REF!</definedName>
    <definedName name="FDP_380_1_aUrv" hidden="1">#REF!</definedName>
    <definedName name="FDP_381_1_aUrv" localSheetId="4" hidden="1">[152]Comparison!#REF!</definedName>
    <definedName name="FDP_381_1_aUrv" hidden="1">#REF!</definedName>
    <definedName name="FDP_382_1_aSrv" localSheetId="4" hidden="1">[152]Comparison!#REF!</definedName>
    <definedName name="FDP_382_1_aSrv" hidden="1">#REF!</definedName>
    <definedName name="FDP_383_1_aUrv" localSheetId="4" hidden="1">[152]Comparison!#REF!</definedName>
    <definedName name="FDP_383_1_aUrv" hidden="1">#REF!</definedName>
    <definedName name="FDP_384_1_aUrv" localSheetId="4" hidden="1">[152]Comparison!#REF!</definedName>
    <definedName name="FDP_384_1_aUrv" hidden="1">#REF!</definedName>
    <definedName name="FDP_385_1_aUrv" localSheetId="4" hidden="1">[152]Comparison!#REF!</definedName>
    <definedName name="FDP_385_1_aUrv" hidden="1">#REF!</definedName>
    <definedName name="FDP_386_1_aUrv" localSheetId="4" hidden="1">[152]Comparison!#REF!</definedName>
    <definedName name="FDP_386_1_aUrv" hidden="1">#REF!</definedName>
    <definedName name="FDP_387_1_aUrv" localSheetId="4" hidden="1">[152]Comparison!#REF!</definedName>
    <definedName name="FDP_387_1_aUrv" hidden="1">#REF!</definedName>
    <definedName name="FDP_388_1_aSrv" localSheetId="4" hidden="1">[152]Comparison!#REF!</definedName>
    <definedName name="FDP_388_1_aSrv" hidden="1">#REF!</definedName>
    <definedName name="FDP_389_1_aUrv" localSheetId="4" hidden="1">[152]Comparison!#REF!</definedName>
    <definedName name="FDP_389_1_aUrv" hidden="1">#REF!</definedName>
    <definedName name="FDP_39_1_aUrv" localSheetId="4" hidden="1">[152]Comparison!$E$28</definedName>
    <definedName name="FDP_39_1_aUrv" hidden="1">#REF!</definedName>
    <definedName name="FDP_390_1_aSrv" localSheetId="4" hidden="1">[152]Comparison!#REF!</definedName>
    <definedName name="FDP_390_1_aSrv" hidden="1">#REF!</definedName>
    <definedName name="FDP_391_1_aUrv" localSheetId="4" hidden="1">[152]Comparison!#REF!</definedName>
    <definedName name="FDP_391_1_aUrv" hidden="1">#REF!</definedName>
    <definedName name="FDP_392_1_aUrv" localSheetId="4" hidden="1">[152]Comparison!#REF!</definedName>
    <definedName name="FDP_392_1_aUrv" hidden="1">#REF!</definedName>
    <definedName name="FDP_393_1_aUrv" localSheetId="4" hidden="1">[152]Comparison!#REF!</definedName>
    <definedName name="FDP_393_1_aUrv" hidden="1">#REF!</definedName>
    <definedName name="FDP_394_1_aSrv" localSheetId="4" hidden="1">[152]Comparison!#REF!</definedName>
    <definedName name="FDP_394_1_aSrv" hidden="1">#REF!</definedName>
    <definedName name="FDP_395_1_aSrv" localSheetId="4" hidden="1">[152]Comparison!#REF!</definedName>
    <definedName name="FDP_395_1_aSrv" hidden="1">#REF!</definedName>
    <definedName name="FDP_396_1_aSrv" localSheetId="4" hidden="1">[152]Comparison!#REF!</definedName>
    <definedName name="FDP_396_1_aSrv" hidden="1">#REF!</definedName>
    <definedName name="FDP_397_1_aUrv" localSheetId="4" hidden="1">[152]Comparison!#REF!</definedName>
    <definedName name="FDP_397_1_aUrv" hidden="1">#REF!</definedName>
    <definedName name="FDP_398_1_aSrv" localSheetId="4" hidden="1">[152]Comparison!#REF!</definedName>
    <definedName name="FDP_398_1_aSrv" hidden="1">#REF!</definedName>
    <definedName name="FDP_399_1_aUrv" localSheetId="4" hidden="1">[152]Comparison!#REF!</definedName>
    <definedName name="FDP_399_1_aUrv" hidden="1">#REF!</definedName>
    <definedName name="FDP_4_1_aUrv" localSheetId="4" hidden="1">[152]Comparison!$V$23</definedName>
    <definedName name="FDP_4_1_aUrv" hidden="1">#REF!</definedName>
    <definedName name="FDP_40_1_aUrv" localSheetId="4" hidden="1">[152]Comparison!$E$29</definedName>
    <definedName name="FDP_40_1_aUrv" hidden="1">#REF!</definedName>
    <definedName name="FDP_400_1_aUrv" localSheetId="4" hidden="1">[152]Comparison!#REF!</definedName>
    <definedName name="FDP_400_1_aUrv" hidden="1">#REF!</definedName>
    <definedName name="FDP_401_1_aUrv" localSheetId="4" hidden="1">[152]Comparison!#REF!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localSheetId="4" hidden="1">[152]Comparison!#REF!</definedName>
    <definedName name="FDP_407_1_aUrv" hidden="1">#REF!</definedName>
    <definedName name="FDP_408_1_aUrv" hidden="1">#REF!</definedName>
    <definedName name="FDP_409_1_aUrv" hidden="1">#REF!</definedName>
    <definedName name="FDP_41_1_aUrv" localSheetId="4" hidden="1">[152]Comparison!$E$30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localSheetId="4" hidden="1">[152]Comparison!$E$31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localSheetId="4" hidden="1">[152]Comparison!$E$32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localSheetId="4" hidden="1">[152]Comparison!#REF!</definedName>
    <definedName name="FDP_434_1_aUrv" hidden="1">#REF!</definedName>
    <definedName name="FDP_435_1_aUrv" localSheetId="4" hidden="1">[152]Comparison!#REF!</definedName>
    <definedName name="FDP_435_1_aUrv" hidden="1">#REF!</definedName>
    <definedName name="FDP_436_1_aUrv" localSheetId="4" hidden="1">[152]Comparison!#REF!</definedName>
    <definedName name="FDP_436_1_aUrv" hidden="1">#REF!</definedName>
    <definedName name="FDP_437_1_aUrv" localSheetId="4" hidden="1">[152]Comparison!#REF!</definedName>
    <definedName name="FDP_437_1_aUrv" hidden="1">#REF!</definedName>
    <definedName name="FDP_438_1_aUrv" localSheetId="4" hidden="1">[152]Comparison!#REF!</definedName>
    <definedName name="FDP_438_1_aUrv" hidden="1">#REF!</definedName>
    <definedName name="FDP_439_1_aUrv" localSheetId="4" hidden="1">[152]Comparison!#REF!</definedName>
    <definedName name="FDP_439_1_aUrv" hidden="1">#REF!</definedName>
    <definedName name="FDP_44_1_aUrv" localSheetId="4" hidden="1">[152]Comparison!$E$33</definedName>
    <definedName name="FDP_44_1_aUrv" hidden="1">#REF!</definedName>
    <definedName name="FDP_440_1_aSrv" localSheetId="4" hidden="1">[152]Comparison!#REF!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localSheetId="4" hidden="1">[152]Comparison!#REF!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localSheetId="4" hidden="1">[152]Comparison!#REF!</definedName>
    <definedName name="FDP_448_1_aSrv" hidden="1">#REF!</definedName>
    <definedName name="FDP_449_1_aUrv" hidden="1">#REF!</definedName>
    <definedName name="FDP_45_1_aUrv" localSheetId="4" hidden="1">[152]Comparison!$E$34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localSheetId="4" hidden="1">[152]Comparison!#REF!</definedName>
    <definedName name="FDP_454_1_aSrv" hidden="1">#REF!</definedName>
    <definedName name="FDP_455_1_aSrv" localSheetId="4" hidden="1">[152]Comparison!$E$10</definedName>
    <definedName name="FDP_455_1_aSrv" hidden="1">#REF!</definedName>
    <definedName name="FDP_456_1_aSrv" localSheetId="4" hidden="1">[152]Comparison!$E$12</definedName>
    <definedName name="FDP_456_1_aSrv" hidden="1">#REF!</definedName>
    <definedName name="FDP_457_1_aSrv" localSheetId="4" hidden="1">[152]Comparison!$E$19</definedName>
    <definedName name="FDP_457_1_aSrv" hidden="1">#REF!</definedName>
    <definedName name="FDP_458_1_aSrv" localSheetId="4" hidden="1">[152]Comparison!$E$22</definedName>
    <definedName name="FDP_458_1_aSrv" hidden="1">#REF!</definedName>
    <definedName name="FDP_459_1_aSrv" localSheetId="4" hidden="1">[152]Comparison!$E$23</definedName>
    <definedName name="FDP_459_1_aSrv" hidden="1">#REF!</definedName>
    <definedName name="FDP_46_1_aUrv" localSheetId="4" hidden="1">[152]Comparison!$E$35</definedName>
    <definedName name="FDP_46_1_aUrv" hidden="1">#REF!</definedName>
    <definedName name="FDP_460_1_aSrv" localSheetId="4" hidden="1">[152]Comparison!$E$24</definedName>
    <definedName name="FDP_460_1_aSrv" hidden="1">#REF!</definedName>
    <definedName name="FDP_461_1_aSrv" localSheetId="4" hidden="1">[152]Comparison!$E$25</definedName>
    <definedName name="FDP_461_1_aSrv" hidden="1">#REF!</definedName>
    <definedName name="FDP_462_1_aSrv" localSheetId="4" hidden="1">[152]Comparison!$E$26</definedName>
    <definedName name="FDP_462_1_aSrv" hidden="1">#REF!</definedName>
    <definedName name="FDP_463_1_aSrv" localSheetId="4" hidden="1">[152]Comparison!$E$27</definedName>
    <definedName name="FDP_463_1_aSrv" hidden="1">#REF!</definedName>
    <definedName name="FDP_464_1_aSrv" localSheetId="4" hidden="1">[152]Comparison!$E$28</definedName>
    <definedName name="FDP_464_1_aSrv" hidden="1">#REF!</definedName>
    <definedName name="FDP_465_1_aSrv" localSheetId="4" hidden="1">[152]Comparison!$E$29</definedName>
    <definedName name="FDP_465_1_aSrv" hidden="1">#REF!</definedName>
    <definedName name="FDP_466_1_aSrv" localSheetId="4" hidden="1">[152]Comparison!$E$30</definedName>
    <definedName name="FDP_466_1_aSrv" hidden="1">#REF!</definedName>
    <definedName name="FDP_467_1_aSrv" localSheetId="4" hidden="1">[152]Comparison!$E$31</definedName>
    <definedName name="FDP_467_1_aSrv" hidden="1">#REF!</definedName>
    <definedName name="FDP_468_1_aSrv" localSheetId="4" hidden="1">[152]Comparison!$E$34</definedName>
    <definedName name="FDP_468_1_aSrv" hidden="1">#REF!</definedName>
    <definedName name="FDP_469_1_aSrv" localSheetId="4" hidden="1">[152]Comparison!$E$35</definedName>
    <definedName name="FDP_469_1_aSrv" hidden="1">#REF!</definedName>
    <definedName name="FDP_47_1_aUrv" localSheetId="4" hidden="1">[152]Comparison!$E$36</definedName>
    <definedName name="FDP_47_1_aUrv" hidden="1">#REF!</definedName>
    <definedName name="FDP_470_1_aSrv" localSheetId="4" hidden="1">[152]Comparison!$E$36</definedName>
    <definedName name="FDP_470_1_aSrv" hidden="1">#REF!</definedName>
    <definedName name="FDP_471_1_aSrv" localSheetId="4" hidden="1">[152]Comparison!$E$37</definedName>
    <definedName name="FDP_471_1_aSrv" hidden="1">#REF!</definedName>
    <definedName name="FDP_472_1_aSrv" localSheetId="4" hidden="1">[152]Comparison!$E$38</definedName>
    <definedName name="FDP_472_1_aSrv" hidden="1">#REF!</definedName>
    <definedName name="FDP_473_1_aSrv" localSheetId="4" hidden="1">[152]Comparison!$E$39</definedName>
    <definedName name="FDP_473_1_aSrv" hidden="1">#REF!</definedName>
    <definedName name="FDP_474_1_aSrv" localSheetId="4" hidden="1">[152]Comparison!$E$40</definedName>
    <definedName name="FDP_474_1_aSrv" hidden="1">#REF!</definedName>
    <definedName name="FDP_475_1_aSrv" localSheetId="4" hidden="1">[152]Comparison!$E$43</definedName>
    <definedName name="FDP_475_1_aSrv" hidden="1">#REF!</definedName>
    <definedName name="FDP_476_1_aSrv" localSheetId="4" hidden="1">[152]Comparison!$E$44</definedName>
    <definedName name="FDP_476_1_aSrv" hidden="1">#REF!</definedName>
    <definedName name="FDP_477_1_aSrv" localSheetId="4" hidden="1">[152]Comparison!$E$45</definedName>
    <definedName name="FDP_477_1_aSrv" hidden="1">#REF!</definedName>
    <definedName name="FDP_478_1_aSrv" localSheetId="4" hidden="1">[152]Comparison!$E$46</definedName>
    <definedName name="FDP_478_1_aSrv" hidden="1">#REF!</definedName>
    <definedName name="FDP_479_1_aSrv" localSheetId="4" hidden="1">[152]Comparison!$E$47</definedName>
    <definedName name="FDP_479_1_aSrv" hidden="1">#REF!</definedName>
    <definedName name="FDP_48_1_aUrv" localSheetId="4" hidden="1">[152]Comparison!$E$37</definedName>
    <definedName name="FDP_48_1_aUrv" hidden="1">#REF!</definedName>
    <definedName name="FDP_480_1_aSrv" localSheetId="4" hidden="1">[152]Comparison!$E$48</definedName>
    <definedName name="FDP_480_1_aSrv" hidden="1">#REF!</definedName>
    <definedName name="FDP_481_1_aSrv" localSheetId="4" hidden="1">[152]Comparison!$E$49</definedName>
    <definedName name="FDP_481_1_aSrv" hidden="1">#REF!</definedName>
    <definedName name="FDP_482_1_aSrv" localSheetId="4" hidden="1">[152]Comparison!$E$54</definedName>
    <definedName name="FDP_482_1_aSrv" hidden="1">#REF!</definedName>
    <definedName name="FDP_483_1_aSrv" localSheetId="4" hidden="1">[152]Comparison!$E$55</definedName>
    <definedName name="FDP_483_1_aSrv" hidden="1">#REF!</definedName>
    <definedName name="FDP_484_1_aSrv" localSheetId="4" hidden="1">[152]Comparison!$E$56</definedName>
    <definedName name="FDP_484_1_aSrv" hidden="1">#REF!</definedName>
    <definedName name="FDP_485_1_aSrv" localSheetId="4" hidden="1">[152]Comparison!$E$57</definedName>
    <definedName name="FDP_485_1_aSrv" hidden="1">#REF!</definedName>
    <definedName name="FDP_486_1_aSrv" localSheetId="4" hidden="1">[152]Comparison!$E$58</definedName>
    <definedName name="FDP_486_1_aSrv" hidden="1">#REF!</definedName>
    <definedName name="FDP_487_1_aSrv" localSheetId="4" hidden="1">[152]Comparison!$E$59</definedName>
    <definedName name="FDP_487_1_aSrv" hidden="1">#REF!</definedName>
    <definedName name="FDP_488_1_aSrv" localSheetId="4" hidden="1">[152]Comparison!$E$60</definedName>
    <definedName name="FDP_488_1_aSrv" hidden="1">#REF!</definedName>
    <definedName name="FDP_489_1_aSrv" localSheetId="4" hidden="1">[152]Comparison!$E$61</definedName>
    <definedName name="FDP_489_1_aSrv" hidden="1">#REF!</definedName>
    <definedName name="FDP_49_1_aUrv" localSheetId="4" hidden="1">[152]Comparison!$E$38</definedName>
    <definedName name="FDP_49_1_aUrv" hidden="1">#REF!</definedName>
    <definedName name="FDP_490_1_aSrv" localSheetId="4" hidden="1">[152]Comparison!$E$62</definedName>
    <definedName name="FDP_490_1_aSrv" hidden="1">#REF!</definedName>
    <definedName name="FDP_491_1_aSrv" localSheetId="4" hidden="1">[152]Comparison!$E$65</definedName>
    <definedName name="FDP_491_1_aSrv" hidden="1">#REF!</definedName>
    <definedName name="FDP_492_1_aSrv" localSheetId="4" hidden="1">[152]Comparison!$E$66</definedName>
    <definedName name="FDP_492_1_aSrv" hidden="1">#REF!</definedName>
    <definedName name="FDP_493_1_aSrv" localSheetId="4" hidden="1">[152]Comparison!$E$67</definedName>
    <definedName name="FDP_493_1_aSrv" hidden="1">#REF!</definedName>
    <definedName name="FDP_494_1_aSrv" localSheetId="4" hidden="1">[152]Comparison!$E$68</definedName>
    <definedName name="FDP_494_1_aSrv" hidden="1">#REF!</definedName>
    <definedName name="FDP_495_1_aSrv" localSheetId="4" hidden="1">[152]Comparison!$E$69</definedName>
    <definedName name="FDP_495_1_aSrv" hidden="1">#REF!</definedName>
    <definedName name="FDP_496_1_aSrv" localSheetId="4" hidden="1">[152]Comparison!$E$70</definedName>
    <definedName name="FDP_496_1_aSrv" hidden="1">#REF!</definedName>
    <definedName name="FDP_497_1_aSrv" localSheetId="4" hidden="1">[152]Comparison!$E$73</definedName>
    <definedName name="FDP_497_1_aSrv" hidden="1">#REF!</definedName>
    <definedName name="FDP_498_1_aSrv" localSheetId="4" hidden="1">[152]Comparison!$E$74</definedName>
    <definedName name="FDP_498_1_aSrv" hidden="1">#REF!</definedName>
    <definedName name="FDP_499_1_aSrv" localSheetId="4" hidden="1">[152]Comparison!$E$75</definedName>
    <definedName name="FDP_499_1_aSrv" hidden="1">#REF!</definedName>
    <definedName name="FDP_5_1_aUrv" localSheetId="4" hidden="1">[152]Comparison!$V$24</definedName>
    <definedName name="FDP_5_1_aUrv" hidden="1">#REF!</definedName>
    <definedName name="FDP_50_1_aSrv" localSheetId="4" hidden="1">[152]Comparison!$E$39</definedName>
    <definedName name="FDP_50_1_aSrv" hidden="1">#REF!</definedName>
    <definedName name="FDP_500_1_aSrv" localSheetId="4" hidden="1">[152]Comparison!$E$76</definedName>
    <definedName name="FDP_500_1_aSrv" hidden="1">#REF!</definedName>
    <definedName name="FDP_501_1_aSrv" localSheetId="4" hidden="1">[152]Comparison!$E$77</definedName>
    <definedName name="FDP_501_1_aSrv" hidden="1">#REF!</definedName>
    <definedName name="FDP_502_1_aSrv" localSheetId="4" hidden="1">[152]Comparison!$E$81</definedName>
    <definedName name="FDP_502_1_aSrv" hidden="1">#REF!</definedName>
    <definedName name="FDP_503_1_aSrv" localSheetId="4" hidden="1">[152]Comparison!$E$82</definedName>
    <definedName name="FDP_503_1_aSrv" hidden="1">#REF!</definedName>
    <definedName name="FDP_504_1_aSrv" localSheetId="4" hidden="1">[152]Comparison!$E$83</definedName>
    <definedName name="FDP_504_1_aSrv" hidden="1">#REF!</definedName>
    <definedName name="FDP_505_1_aSrv" localSheetId="4" hidden="1">[152]Comparison!$E$84</definedName>
    <definedName name="FDP_505_1_aSrv" hidden="1">#REF!</definedName>
    <definedName name="FDP_506_1_aSrv" localSheetId="4" hidden="1">[152]Comparison!$E$85</definedName>
    <definedName name="FDP_506_1_aSrv" hidden="1">#REF!</definedName>
    <definedName name="FDP_507_1_aSrv" localSheetId="4" hidden="1">[152]Comparison!$E$86</definedName>
    <definedName name="FDP_507_1_aSrv" hidden="1">#REF!</definedName>
    <definedName name="FDP_508_1_aSrv" localSheetId="4" hidden="1">[152]Comparison!$E$87</definedName>
    <definedName name="FDP_508_1_aSrv" hidden="1">#REF!</definedName>
    <definedName name="FDP_509_1_aSrv" localSheetId="4" hidden="1">[152]Comparison!$E$92</definedName>
    <definedName name="FDP_509_1_aSrv" hidden="1">#REF!</definedName>
    <definedName name="FDP_51_1_aSrv" localSheetId="4" hidden="1">[152]Comparison!$E$40</definedName>
    <definedName name="FDP_51_1_aSrv" hidden="1">#REF!</definedName>
    <definedName name="FDP_510_1_aSrv" localSheetId="4" hidden="1">[152]Comparison!$E$93</definedName>
    <definedName name="FDP_510_1_aSrv" hidden="1">#REF!</definedName>
    <definedName name="FDP_511_1_aSrv" localSheetId="4" hidden="1">[152]Comparison!$E$94</definedName>
    <definedName name="FDP_511_1_aSrv" hidden="1">#REF!</definedName>
    <definedName name="FDP_512_1_aSrv" localSheetId="4" hidden="1">[152]Comparison!$E$95</definedName>
    <definedName name="FDP_512_1_aSrv" hidden="1">#REF!</definedName>
    <definedName name="FDP_513_1_aSrv" localSheetId="4" hidden="1">[152]Comparison!$E$96</definedName>
    <definedName name="FDP_513_1_aSrv" hidden="1">#REF!</definedName>
    <definedName name="FDP_514_1_aSrv" localSheetId="4" hidden="1">[152]Comparison!$E$98</definedName>
    <definedName name="FDP_514_1_aSrv" hidden="1">#REF!</definedName>
    <definedName name="FDP_515_1_aSrv" localSheetId="4" hidden="1">[152]Comparison!$E$99</definedName>
    <definedName name="FDP_515_1_aSrv" hidden="1">#REF!</definedName>
    <definedName name="FDP_516_1_aSrv" localSheetId="4" hidden="1">[152]Comparison!$E$100</definedName>
    <definedName name="FDP_516_1_aSrv" hidden="1">#REF!</definedName>
    <definedName name="FDP_517_1_aSrv" localSheetId="4" hidden="1">[152]Comparison!$E$101</definedName>
    <definedName name="FDP_517_1_aSrv" hidden="1">#REF!</definedName>
    <definedName name="FDP_518_1_aSrv" localSheetId="4" hidden="1">[152]Comparison!$E$102</definedName>
    <definedName name="FDP_518_1_aSrv" hidden="1">#REF!</definedName>
    <definedName name="FDP_519_1_aSrv" localSheetId="4" hidden="1">[152]Comparison!$E$103</definedName>
    <definedName name="FDP_519_1_aSrv" hidden="1">#REF!</definedName>
    <definedName name="FDP_52_1_aUrv" localSheetId="4" hidden="1">[152]Comparison!$E$41</definedName>
    <definedName name="FDP_52_1_aUrv" hidden="1">#REF!</definedName>
    <definedName name="FDP_520_1_aSrv" localSheetId="4" hidden="1">[152]Comparison!$E$104</definedName>
    <definedName name="FDP_520_1_aSrv" hidden="1">#REF!</definedName>
    <definedName name="FDP_521_1_aSrv" localSheetId="4" hidden="1">[152]Comparison!$E$107</definedName>
    <definedName name="FDP_521_1_aSrv" hidden="1">#REF!</definedName>
    <definedName name="FDP_522_1_aSrv" localSheetId="4" hidden="1">[152]Comparison!$E$109</definedName>
    <definedName name="FDP_522_1_aSrv" hidden="1">#REF!</definedName>
    <definedName name="FDP_523_1_aSrv" localSheetId="4" hidden="1">[152]Comparison!$E$110</definedName>
    <definedName name="FDP_523_1_aSrv" hidden="1">#REF!</definedName>
    <definedName name="FDP_524_1_aSrv" localSheetId="4" hidden="1">[152]Comparison!$E$111</definedName>
    <definedName name="FDP_524_1_aSrv" hidden="1">#REF!</definedName>
    <definedName name="FDP_525_1_aSrv" localSheetId="4" hidden="1">[152]Comparison!$E$112</definedName>
    <definedName name="FDP_525_1_aSrv" hidden="1">#REF!</definedName>
    <definedName name="FDP_526_1_aSrv" localSheetId="4" hidden="1">[152]Comparison!$E$113</definedName>
    <definedName name="FDP_526_1_aSrv" hidden="1">#REF!</definedName>
    <definedName name="FDP_527_1_aSrv" localSheetId="4" hidden="1">[152]Comparison!$E$114</definedName>
    <definedName name="FDP_527_1_aSrv" hidden="1">#REF!</definedName>
    <definedName name="FDP_528_1_aSrv" localSheetId="4" hidden="1">[152]Comparison!$E$115</definedName>
    <definedName name="FDP_528_1_aSrv" hidden="1">#REF!</definedName>
    <definedName name="FDP_529_1_aSrv" localSheetId="4" hidden="1">[152]Comparison!$E$116</definedName>
    <definedName name="FDP_529_1_aSrv" hidden="1">#REF!</definedName>
    <definedName name="FDP_53_1_aUrv" localSheetId="4" hidden="1">[152]Comparison!$E$42</definedName>
    <definedName name="FDP_53_1_aUrv" hidden="1">#REF!</definedName>
    <definedName name="FDP_530_1_aSrv" localSheetId="4" hidden="1">[152]Comparison!$E$117</definedName>
    <definedName name="FDP_530_1_aSrv" hidden="1">#REF!</definedName>
    <definedName name="FDP_531_1_aSrv" localSheetId="4" hidden="1">[152]Comparison!$E$118</definedName>
    <definedName name="FDP_531_1_aSrv" hidden="1">#REF!</definedName>
    <definedName name="FDP_532_1_aSrv" localSheetId="4" hidden="1">[152]Comparison!$E$119</definedName>
    <definedName name="FDP_532_1_aSrv" hidden="1">#REF!</definedName>
    <definedName name="FDP_533_1_aSrv" localSheetId="4" hidden="1">[152]Comparison!$E$120</definedName>
    <definedName name="FDP_533_1_aSrv" hidden="1">#REF!</definedName>
    <definedName name="FDP_534_1_aSrv" localSheetId="4" hidden="1">[152]Comparison!$E$121</definedName>
    <definedName name="FDP_534_1_aSrv" hidden="1">#REF!</definedName>
    <definedName name="FDP_535_1_aSrv" localSheetId="4" hidden="1">[152]Comparison!$E$122</definedName>
    <definedName name="FDP_535_1_aSrv" hidden="1">#REF!</definedName>
    <definedName name="FDP_536_1_aSrv" localSheetId="4" hidden="1">[152]Comparison!$E$123</definedName>
    <definedName name="FDP_536_1_aSrv" hidden="1">#REF!</definedName>
    <definedName name="FDP_537_1_aSrv" localSheetId="4" hidden="1">[152]Comparison!$E$124</definedName>
    <definedName name="FDP_537_1_aSrv" hidden="1">#REF!</definedName>
    <definedName name="FDP_538_1_aSrv" localSheetId="4" hidden="1">[152]Comparison!$E$128</definedName>
    <definedName name="FDP_538_1_aSrv" hidden="1">#REF!</definedName>
    <definedName name="FDP_539_1_aSrv" localSheetId="4" hidden="1">[152]Comparison!$E$127</definedName>
    <definedName name="FDP_539_1_aSrv" hidden="1">#REF!</definedName>
    <definedName name="FDP_54_1_aUrv" localSheetId="4" hidden="1">[152]Comparison!$E$43</definedName>
    <definedName name="FDP_54_1_aUrv" hidden="1">#REF!</definedName>
    <definedName name="FDP_540_1_aSrv" localSheetId="4" hidden="1">[152]Comparison!$E$129</definedName>
    <definedName name="FDP_540_1_aSrv" hidden="1">#REF!</definedName>
    <definedName name="FDP_541_1_aSrv" localSheetId="4" hidden="1">[152]Comparison!$E$130</definedName>
    <definedName name="FDP_541_1_aSrv" hidden="1">#REF!</definedName>
    <definedName name="FDP_542_1_aSrv" localSheetId="4" hidden="1">[152]Comparison!$E$132</definedName>
    <definedName name="FDP_542_1_aSrv" hidden="1">#REF!</definedName>
    <definedName name="FDP_543_1_aSrv" localSheetId="4" hidden="1">[152]Comparison!$E$133</definedName>
    <definedName name="FDP_543_1_aSrv" hidden="1">#REF!</definedName>
    <definedName name="FDP_544_1_aSrv" localSheetId="4" hidden="1">[152]Comparison!$E$134</definedName>
    <definedName name="FDP_544_1_aSrv" hidden="1">#REF!</definedName>
    <definedName name="FDP_545_1_aSrv" localSheetId="4" hidden="1">[152]Comparison!$E$140</definedName>
    <definedName name="FDP_545_1_aSrv" hidden="1">#REF!</definedName>
    <definedName name="FDP_546_1_aSrv" localSheetId="4" hidden="1">[152]Comparison!$E$141</definedName>
    <definedName name="FDP_546_1_aSrv" hidden="1">#REF!</definedName>
    <definedName name="FDP_547_1_aSrv" localSheetId="4" hidden="1">[152]Comparison!$E$142</definedName>
    <definedName name="FDP_547_1_aSrv" hidden="1">#REF!</definedName>
    <definedName name="FDP_548_1_aSrv" localSheetId="4" hidden="1">[152]Comparison!$E$143</definedName>
    <definedName name="FDP_548_1_aSrv" hidden="1">#REF!</definedName>
    <definedName name="FDP_549_1_aUrv" localSheetId="4" hidden="1">[152]Comparison!$O$1</definedName>
    <definedName name="FDP_549_1_aUrv" hidden="1">#REF!</definedName>
    <definedName name="FDP_55_1_aUrv" localSheetId="4" hidden="1">[152]Comparison!$E$44</definedName>
    <definedName name="FDP_55_1_aUrv" hidden="1">#REF!</definedName>
    <definedName name="FDP_550_1_aUrv" localSheetId="4" hidden="1">[152]Comparison!$Q$62</definedName>
    <definedName name="FDP_550_1_aUrv" hidden="1">#REF!</definedName>
    <definedName name="FDP_551_1_aUrv" localSheetId="4" hidden="1">[152]Comparison!$Q$84</definedName>
    <definedName name="FDP_551_1_aUrv" hidden="1">#REF!</definedName>
    <definedName name="FDP_552_1_aUrv" localSheetId="4" hidden="1">[152]Comparison!$Q$1</definedName>
    <definedName name="FDP_552_1_aUrv" hidden="1">#REF!</definedName>
    <definedName name="FDP_553_1_aUrv" localSheetId="4" hidden="1">[152]Comparison!$S$1</definedName>
    <definedName name="FDP_553_1_aUrv" hidden="1">#REF!</definedName>
    <definedName name="FDP_554_1_aUrv" localSheetId="4" hidden="1">[152]Comparison!$E$249</definedName>
    <definedName name="FDP_554_1_aUrv" hidden="1">#REF!</definedName>
    <definedName name="FDP_555_1_aUrv" localSheetId="4" hidden="1">[152]Comparison!#REF!</definedName>
    <definedName name="FDP_555_1_aUrv" hidden="1">#REF!</definedName>
    <definedName name="FDP_556_1_aUrv" localSheetId="4" hidden="1">[152]Comparison!#REF!</definedName>
    <definedName name="FDP_556_1_aUrv" hidden="1">#REF!</definedName>
    <definedName name="FDP_557_1_aSrv" localSheetId="4" hidden="1">[152]Comparison!#REF!</definedName>
    <definedName name="FDP_557_1_aSrv" hidden="1">#REF!</definedName>
    <definedName name="FDP_558_1_aSrv" localSheetId="4" hidden="1">[152]Comparison!#REF!</definedName>
    <definedName name="FDP_558_1_aSrv" hidden="1">#REF!</definedName>
    <definedName name="FDP_559_1_aSrv" localSheetId="4" hidden="1">[152]Comparison!#REF!</definedName>
    <definedName name="FDP_559_1_aSrv" hidden="1">#REF!</definedName>
    <definedName name="FDP_56_1_aUrv" localSheetId="4" hidden="1">[152]Comparison!$E$45</definedName>
    <definedName name="FDP_56_1_aUrv" hidden="1">#REF!</definedName>
    <definedName name="FDP_560_1_aSrv" localSheetId="4" hidden="1">[152]Comparison!#REF!</definedName>
    <definedName name="FDP_560_1_aSrv" hidden="1">#REF!</definedName>
    <definedName name="FDP_561_1_aSrv" localSheetId="4" hidden="1">[152]Comparison!#REF!</definedName>
    <definedName name="FDP_561_1_aSrv" hidden="1">#REF!</definedName>
    <definedName name="FDP_562_1_aSrv" localSheetId="4" hidden="1">[152]Comparison!#REF!</definedName>
    <definedName name="FDP_562_1_aSrv" hidden="1">#REF!</definedName>
    <definedName name="FDP_563_1_aSrv" localSheetId="4" hidden="1">[152]Comparison!#REF!</definedName>
    <definedName name="FDP_563_1_aSrv" hidden="1">#REF!</definedName>
    <definedName name="FDP_564_1_aSrv" localSheetId="4" hidden="1">[152]Comparison!#REF!</definedName>
    <definedName name="FDP_564_1_aSrv" hidden="1">#REF!</definedName>
    <definedName name="FDP_565_1_aSrv" localSheetId="4" hidden="1">[152]Comparison!#REF!</definedName>
    <definedName name="FDP_565_1_aSrv" hidden="1">#REF!</definedName>
    <definedName name="FDP_566_1_aSrv" localSheetId="4" hidden="1">[152]Comparison!#REF!</definedName>
    <definedName name="FDP_566_1_aSrv" hidden="1">#REF!</definedName>
    <definedName name="FDP_567_1_aSrv" localSheetId="4" hidden="1">[152]Comparison!#REF!</definedName>
    <definedName name="FDP_567_1_aSrv" hidden="1">#REF!</definedName>
    <definedName name="FDP_568_1_aSrv" localSheetId="4" hidden="1">[152]Comparison!#REF!</definedName>
    <definedName name="FDP_568_1_aSrv" hidden="1">#REF!</definedName>
    <definedName name="FDP_569_1_aSrv" localSheetId="4" hidden="1">[152]Comparison!#REF!</definedName>
    <definedName name="FDP_569_1_aSrv" hidden="1">#REF!</definedName>
    <definedName name="FDP_57_1_aSrv" localSheetId="4" hidden="1">[152]Comparison!$E$46</definedName>
    <definedName name="FDP_57_1_aSrv" hidden="1">#REF!</definedName>
    <definedName name="FDP_570_1_aSrv" localSheetId="4" hidden="1">[152]Comparison!#REF!</definedName>
    <definedName name="FDP_570_1_aSrv" hidden="1">#REF!</definedName>
    <definedName name="FDP_571_1_aSrv" localSheetId="4" hidden="1">[152]Comparison!#REF!</definedName>
    <definedName name="FDP_571_1_aSrv" hidden="1">#REF!</definedName>
    <definedName name="FDP_572_1_aSrv" localSheetId="4" hidden="1">[152]Comparison!#REF!</definedName>
    <definedName name="FDP_572_1_aSrv" hidden="1">#REF!</definedName>
    <definedName name="FDP_573_1_aSrv" localSheetId="4" hidden="1">[152]Comparison!#REF!</definedName>
    <definedName name="FDP_573_1_aSrv" hidden="1">#REF!</definedName>
    <definedName name="FDP_574_1_aSrv" localSheetId="4" hidden="1">[152]Comparison!#REF!</definedName>
    <definedName name="FDP_574_1_aSrv" hidden="1">#REF!</definedName>
    <definedName name="FDP_575_1_aSrv" localSheetId="4" hidden="1">[152]Comparison!#REF!</definedName>
    <definedName name="FDP_575_1_aSrv" hidden="1">#REF!</definedName>
    <definedName name="FDP_576_1_aSrv" localSheetId="4" hidden="1">[152]Comparison!#REF!</definedName>
    <definedName name="FDP_576_1_aSrv" hidden="1">#REF!</definedName>
    <definedName name="FDP_577_1_aSrv" localSheetId="4" hidden="1">[152]Comparison!#REF!</definedName>
    <definedName name="FDP_577_1_aSrv" hidden="1">#REF!</definedName>
    <definedName name="FDP_578_1_aSrv" localSheetId="4" hidden="1">[152]Comparison!#REF!</definedName>
    <definedName name="FDP_578_1_aSrv" hidden="1">#REF!</definedName>
    <definedName name="FDP_579_1_aSrv" localSheetId="4" hidden="1">[152]Comparison!#REF!</definedName>
    <definedName name="FDP_579_1_aSrv" hidden="1">#REF!</definedName>
    <definedName name="FDP_58_1_aUrv" localSheetId="4" hidden="1">[152]Comparison!$E$47</definedName>
    <definedName name="FDP_58_1_aUrv" hidden="1">#REF!</definedName>
    <definedName name="FDP_580_1_aSrv" localSheetId="4" hidden="1">[152]Comparison!#REF!</definedName>
    <definedName name="FDP_580_1_aSrv" hidden="1">#REF!</definedName>
    <definedName name="FDP_581_1_aSrv" localSheetId="4" hidden="1">[152]Comparison!#REF!</definedName>
    <definedName name="FDP_581_1_aSrv" hidden="1">#REF!</definedName>
    <definedName name="FDP_582_1_aSrv" localSheetId="4" hidden="1">[152]Comparison!#REF!</definedName>
    <definedName name="FDP_582_1_aSrv" hidden="1">#REF!</definedName>
    <definedName name="FDP_583_1_aSrv" localSheetId="4" hidden="1">[152]Comparison!#REF!</definedName>
    <definedName name="FDP_583_1_aSrv" hidden="1">#REF!</definedName>
    <definedName name="FDP_584_1_aSrv" localSheetId="4" hidden="1">[152]Comparison!#REF!</definedName>
    <definedName name="FDP_584_1_aSrv" hidden="1">#REF!</definedName>
    <definedName name="FDP_585_1_aUrv" localSheetId="4" hidden="1">[152]Comparison!#REF!</definedName>
    <definedName name="FDP_585_1_aUrv" hidden="1">#REF!</definedName>
    <definedName name="FDP_586_1_aUrv" localSheetId="4" hidden="1">[152]Comparison!#REF!</definedName>
    <definedName name="FDP_586_1_aUrv" hidden="1">#REF!</definedName>
    <definedName name="FDP_587_1_aUrv" localSheetId="4" hidden="1">[152]Comparison!#REF!</definedName>
    <definedName name="FDP_587_1_aUrv" hidden="1">#REF!</definedName>
    <definedName name="FDP_588_1_aUdv" localSheetId="4" hidden="1">[152]Comparison!#REF!</definedName>
    <definedName name="FDP_588_1_aUdv" hidden="1">#REF!</definedName>
    <definedName name="FDP_589_1_aUdv" localSheetId="4" hidden="1">[152]Comparison!#REF!</definedName>
    <definedName name="FDP_589_1_aUdv" hidden="1">#REF!</definedName>
    <definedName name="FDP_59_1_aSrv" localSheetId="4" hidden="1">[152]Comparison!$E$48</definedName>
    <definedName name="FDP_59_1_aSrv" hidden="1">#REF!</definedName>
    <definedName name="FDP_590_1_aUdv" localSheetId="4" hidden="1">[152]Comparison!#REF!</definedName>
    <definedName name="FDP_590_1_aUdv" hidden="1">#REF!</definedName>
    <definedName name="FDP_591_1_aUdv" localSheetId="4" hidden="1">[152]Comparison!#REF!</definedName>
    <definedName name="FDP_591_1_aUdv" hidden="1">#REF!</definedName>
    <definedName name="FDP_592_1_aUdv" localSheetId="4" hidden="1">[152]Comparison!#REF!</definedName>
    <definedName name="FDP_592_1_aUdv" hidden="1">#REF!</definedName>
    <definedName name="FDP_593_1_aUdv" localSheetId="4" hidden="1">[152]Comparison!#REF!</definedName>
    <definedName name="FDP_593_1_aUdv" hidden="1">#REF!</definedName>
    <definedName name="FDP_594_1_aUdv" localSheetId="4" hidden="1">[152]Comparison!#REF!</definedName>
    <definedName name="FDP_594_1_aUdv" hidden="1">#REF!</definedName>
    <definedName name="FDP_595_1_aUdv" localSheetId="4" hidden="1">[152]Comparison!#REF!</definedName>
    <definedName name="FDP_595_1_aUdv" hidden="1">#REF!</definedName>
    <definedName name="FDP_596_1_aUdv" localSheetId="4" hidden="1">[152]Comparison!#REF!</definedName>
    <definedName name="FDP_596_1_aUdv" hidden="1">#REF!</definedName>
    <definedName name="FDP_597_1_aUdv" localSheetId="4" hidden="1">[152]Comparison!#REF!</definedName>
    <definedName name="FDP_597_1_aUdv" hidden="1">#REF!</definedName>
    <definedName name="FDP_598_1_aUdv" localSheetId="4" hidden="1">[152]Comparison!#REF!</definedName>
    <definedName name="FDP_598_1_aUdv" hidden="1">#REF!</definedName>
    <definedName name="FDP_599_1_aUdv" localSheetId="4" hidden="1">[152]Comparison!#REF!</definedName>
    <definedName name="FDP_599_1_aUdv" hidden="1">#REF!</definedName>
    <definedName name="FDP_6_1_aUrv" localSheetId="4" hidden="1">[152]Comparison!$Y$21</definedName>
    <definedName name="FDP_6_1_aUrv" hidden="1">#REF!</definedName>
    <definedName name="FDP_60_1_aUrv" localSheetId="4" hidden="1">[152]Comparison!$E$49</definedName>
    <definedName name="FDP_60_1_aUrv" hidden="1">#REF!</definedName>
    <definedName name="FDP_600_1_aUdv" localSheetId="4" hidden="1">[152]Comparison!#REF!</definedName>
    <definedName name="FDP_600_1_aUdv" hidden="1">#REF!</definedName>
    <definedName name="FDP_601_1_aUdv" localSheetId="4" hidden="1">[152]Comparison!#REF!</definedName>
    <definedName name="FDP_601_1_aUdv" hidden="1">#REF!</definedName>
    <definedName name="FDP_602_1_aUdv" localSheetId="4" hidden="1">[152]Comparison!#REF!</definedName>
    <definedName name="FDP_602_1_aUdv" hidden="1">#REF!</definedName>
    <definedName name="FDP_603_1_aUdv" localSheetId="4" hidden="1">[152]Comparison!#REF!</definedName>
    <definedName name="FDP_603_1_aUdv" hidden="1">#REF!</definedName>
    <definedName name="FDP_604_1_aUdv" localSheetId="4" hidden="1">[152]Comparison!#REF!</definedName>
    <definedName name="FDP_604_1_aUdv" hidden="1">#REF!</definedName>
    <definedName name="FDP_605_1_aUdv" localSheetId="4" hidden="1">[152]Comparison!#REF!</definedName>
    <definedName name="FDP_605_1_aUdv" hidden="1">#REF!</definedName>
    <definedName name="FDP_606_1_aUdv" localSheetId="4" hidden="1">[152]Comparison!#REF!</definedName>
    <definedName name="FDP_606_1_aUdv" hidden="1">#REF!</definedName>
    <definedName name="FDP_607_1_aUdv" localSheetId="4" hidden="1">[152]Comparison!#REF!</definedName>
    <definedName name="FDP_607_1_aUdv" hidden="1">#REF!</definedName>
    <definedName name="FDP_608_1_aUrv" localSheetId="4" hidden="1">[152]Comparison!$Z$10</definedName>
    <definedName name="FDP_608_1_aUrv" hidden="1">#REF!</definedName>
    <definedName name="FDP_609_1_aSrv" localSheetId="4" hidden="1">[152]Comparison!$E$48</definedName>
    <definedName name="FDP_609_1_aSrv" hidden="1">#REF!</definedName>
    <definedName name="FDP_61_1_aUrv" localSheetId="4" hidden="1">[152]Comparison!$E$50</definedName>
    <definedName name="FDP_61_1_aUrv" hidden="1">#REF!</definedName>
    <definedName name="FDP_610_1_aSrv" localSheetId="4" hidden="1">[152]Comparison!$E$70</definedName>
    <definedName name="FDP_610_1_aSrv" hidden="1">#REF!</definedName>
    <definedName name="FDP_611_1_aSrv" localSheetId="4" hidden="1">[152]Comparison!#REF!</definedName>
    <definedName name="FDP_611_1_aSrv" hidden="1">#REF!</definedName>
    <definedName name="FDP_612_1_aSrv" localSheetId="4" hidden="1">[152]Comparison!$E$339</definedName>
    <definedName name="FDP_612_1_aSrv" hidden="1">#REF!</definedName>
    <definedName name="FDP_613_1_aSrv" localSheetId="4" hidden="1">[152]Comparison!$E$340</definedName>
    <definedName name="FDP_613_1_aSrv" hidden="1">#REF!</definedName>
    <definedName name="FDP_614_1_aSrv" localSheetId="4" hidden="1">[152]Comparison!$E$341</definedName>
    <definedName name="FDP_614_1_aSrv" hidden="1">#REF!</definedName>
    <definedName name="FDP_615_1_aSrv" localSheetId="4" hidden="1">[152]Comparison!$E$342</definedName>
    <definedName name="FDP_615_1_aSrv" hidden="1">#REF!</definedName>
    <definedName name="FDP_616_1_aSrv" localSheetId="4" hidden="1">[152]Comparison!$E$343</definedName>
    <definedName name="FDP_616_1_aSrv" hidden="1">#REF!</definedName>
    <definedName name="FDP_617_1_aSrv" localSheetId="4" hidden="1">[152]Comparison!$E$344</definedName>
    <definedName name="FDP_617_1_aSrv" hidden="1">#REF!</definedName>
    <definedName name="FDP_618_1_aSrv" localSheetId="4" hidden="1">[152]Comparison!$E$345</definedName>
    <definedName name="FDP_618_1_aSrv" hidden="1">#REF!</definedName>
    <definedName name="FDP_619_1_aSrv" localSheetId="4" hidden="1">[152]Comparison!$E$346</definedName>
    <definedName name="FDP_619_1_aSrv" hidden="1">#REF!</definedName>
    <definedName name="FDP_62_1_aUrv" localSheetId="4" hidden="1">[152]Comparison!$E$51</definedName>
    <definedName name="FDP_62_1_aUrv" hidden="1">#REF!</definedName>
    <definedName name="FDP_620_1_aSrv" localSheetId="4" hidden="1">[152]Comparison!$E$347</definedName>
    <definedName name="FDP_620_1_aSrv" hidden="1">#REF!</definedName>
    <definedName name="FDP_621_1_aUrv" localSheetId="4" hidden="1">[152]Comparison!#REF!</definedName>
    <definedName name="FDP_621_1_aUrv" hidden="1">#REF!</definedName>
    <definedName name="FDP_622_1_aUrv" localSheetId="4" hidden="1">[152]Comparison!#REF!</definedName>
    <definedName name="FDP_622_1_aUrv" hidden="1">#REF!</definedName>
    <definedName name="FDP_623_1_aSrv" localSheetId="4" hidden="1">[152]Comparison!#REF!</definedName>
    <definedName name="FDP_623_1_aSrv" hidden="1">#REF!</definedName>
    <definedName name="FDP_63_1_aUrv" localSheetId="4" hidden="1">[152]Comparison!$E$52</definedName>
    <definedName name="FDP_63_1_aUrv" hidden="1">#REF!</definedName>
    <definedName name="FDP_64_1_aUrv" localSheetId="4" hidden="1">[152]Comparison!$E$53</definedName>
    <definedName name="FDP_64_1_aUrv" hidden="1">#REF!</definedName>
    <definedName name="FDP_65_1_aSrv" localSheetId="4" hidden="1">[152]Comparison!$E$54</definedName>
    <definedName name="FDP_65_1_aSrv" hidden="1">#REF!</definedName>
    <definedName name="FDP_66_1_aUrv" localSheetId="4" hidden="1">[152]Comparison!$E$55</definedName>
    <definedName name="FDP_66_1_aUrv" hidden="1">#REF!</definedName>
    <definedName name="FDP_67_1_aSrv" localSheetId="4" hidden="1">[152]Comparison!$E$56</definedName>
    <definedName name="FDP_67_1_aSrv" hidden="1">#REF!</definedName>
    <definedName name="FDP_68_1_aUrv" localSheetId="4" hidden="1">[152]Comparison!$E$57</definedName>
    <definedName name="FDP_68_1_aUrv" hidden="1">#REF!</definedName>
    <definedName name="FDP_69_1_aSrv" localSheetId="4" hidden="1">[152]Comparison!$E$58</definedName>
    <definedName name="FDP_69_1_aSrv" hidden="1">#REF!</definedName>
    <definedName name="FDP_7_1_aUrv" localSheetId="4" hidden="1">[152]Comparison!$Y$22</definedName>
    <definedName name="FDP_7_1_aUrv" hidden="1">#REF!</definedName>
    <definedName name="FDP_70_1_aSrv" localSheetId="4" hidden="1">[152]Comparison!$E$59</definedName>
    <definedName name="FDP_70_1_aSrv" hidden="1">#REF!</definedName>
    <definedName name="FDP_71_1_aUrv" localSheetId="4" hidden="1">[152]Comparison!$E$60</definedName>
    <definedName name="FDP_71_1_aUrv" hidden="1">#REF!</definedName>
    <definedName name="FDP_72_1_aUrv" localSheetId="4" hidden="1">[152]Comparison!$E$61</definedName>
    <definedName name="FDP_72_1_aUrv" hidden="1">#REF!</definedName>
    <definedName name="FDP_73_1_aSrv" localSheetId="4" hidden="1">[152]Comparison!$E$62</definedName>
    <definedName name="FDP_73_1_aSrv" hidden="1">#REF!</definedName>
    <definedName name="FDP_74_1_aSrv" localSheetId="4" hidden="1">[152]Comparison!$E$63</definedName>
    <definedName name="FDP_74_1_aSrv" hidden="1">#REF!</definedName>
    <definedName name="FDP_75_1_aUrv" localSheetId="4" hidden="1">[152]Comparison!$F$64</definedName>
    <definedName name="FDP_75_1_aUrv" hidden="1">#REF!</definedName>
    <definedName name="FDP_76_1_aSrv" localSheetId="4" hidden="1">[152]Comparison!$E$65</definedName>
    <definedName name="FDP_76_1_aSrv" hidden="1">#REF!</definedName>
    <definedName name="FDP_77_1_aSrv" localSheetId="4" hidden="1">[152]Comparison!$E$66</definedName>
    <definedName name="FDP_77_1_aSrv" hidden="1">#REF!</definedName>
    <definedName name="FDP_78_1_aUrv" localSheetId="4" hidden="1">[152]Comparison!$E$67</definedName>
    <definedName name="FDP_78_1_aUrv" hidden="1">#REF!</definedName>
    <definedName name="FDP_79_1_aUrv" localSheetId="4" hidden="1">[152]Comparison!$E$68</definedName>
    <definedName name="FDP_79_1_aUrv" hidden="1">#REF!</definedName>
    <definedName name="FDP_8_1_aUrv" localSheetId="4" hidden="1">[152]Comparison!$Y$23</definedName>
    <definedName name="FDP_8_1_aUrv" hidden="1">#REF!</definedName>
    <definedName name="FDP_80_1_aUrv" localSheetId="4" hidden="1">[152]Comparison!$E$69</definedName>
    <definedName name="FDP_80_1_aUrv" hidden="1">#REF!</definedName>
    <definedName name="FDP_81_1_aUrv" localSheetId="4" hidden="1">[152]Comparison!$E$70</definedName>
    <definedName name="FDP_81_1_aUrv" hidden="1">#REF!</definedName>
    <definedName name="FDP_82_1_aUrv" localSheetId="4" hidden="1">[152]Comparison!$E$71</definedName>
    <definedName name="FDP_82_1_aUrv" hidden="1">#REF!</definedName>
    <definedName name="FDP_83_1_aUrv" localSheetId="4" hidden="1">[152]Comparison!$E$72</definedName>
    <definedName name="FDP_83_1_aUrv" hidden="1">#REF!</definedName>
    <definedName name="FDP_84_1_aUrv" localSheetId="4" hidden="1">[152]Comparison!$E$73</definedName>
    <definedName name="FDP_84_1_aUrv" hidden="1">#REF!</definedName>
    <definedName name="FDP_85_1_aUrv" localSheetId="4" hidden="1">[152]Comparison!$E$74</definedName>
    <definedName name="FDP_85_1_aUrv" hidden="1">#REF!</definedName>
    <definedName name="FDP_86_1_aUrv" localSheetId="4" hidden="1">[152]Comparison!$E$75</definedName>
    <definedName name="FDP_86_1_aUrv" hidden="1">#REF!</definedName>
    <definedName name="FDP_87_1_aUrv" localSheetId="4" hidden="1">[152]Comparison!$E$76</definedName>
    <definedName name="FDP_87_1_aUrv" hidden="1">#REF!</definedName>
    <definedName name="FDP_88_1_aUrv" localSheetId="4" hidden="1">[152]Comparison!$E$77</definedName>
    <definedName name="FDP_88_1_aUrv" hidden="1">#REF!</definedName>
    <definedName name="FDP_89_1_aUrv" localSheetId="4" hidden="1">[152]Comparison!$E$78</definedName>
    <definedName name="FDP_89_1_aUrv" hidden="1">#REF!</definedName>
    <definedName name="FDP_9_1_aUrv" localSheetId="4" hidden="1">[152]Comparison!$Y$24</definedName>
    <definedName name="FDP_9_1_aUrv" hidden="1">#REF!</definedName>
    <definedName name="FDP_90_1_aUrv" localSheetId="4" hidden="1">[152]Comparison!$E$79</definedName>
    <definedName name="FDP_90_1_aUrv" hidden="1">#REF!</definedName>
    <definedName name="FDP_91_1_aUrv" localSheetId="4" hidden="1">[152]Comparison!$E$80</definedName>
    <definedName name="FDP_91_1_aUrv" hidden="1">#REF!</definedName>
    <definedName name="FDP_92_1_aUrv" localSheetId="4" hidden="1">[152]Comparison!$E$81</definedName>
    <definedName name="FDP_92_1_aUrv" hidden="1">#REF!</definedName>
    <definedName name="FDP_93_1_aUrv" localSheetId="4" hidden="1">[152]Comparison!$E$82</definedName>
    <definedName name="FDP_93_1_aUrv" hidden="1">#REF!</definedName>
    <definedName name="FDP_94_1_aUrv" localSheetId="4" hidden="1">[152]Comparison!$E$83</definedName>
    <definedName name="FDP_94_1_aUrv" hidden="1">#REF!</definedName>
    <definedName name="FDP_95_1_aUrv" localSheetId="4" hidden="1">[152]Comparison!$E$84</definedName>
    <definedName name="FDP_95_1_aUrv" hidden="1">#REF!</definedName>
    <definedName name="FDP_96_1_aUrv" localSheetId="4" hidden="1">[152]Comparison!$E$92</definedName>
    <definedName name="FDP_96_1_aUrv" hidden="1">#REF!</definedName>
    <definedName name="FDP_97_1_aUrv" localSheetId="4" hidden="1">[152]Comparison!$E$93</definedName>
    <definedName name="FDP_97_1_aUrv" hidden="1">#REF!</definedName>
    <definedName name="FDP_98_1_aUrv" localSheetId="4" hidden="1">[152]Comparison!$E$94</definedName>
    <definedName name="FDP_98_1_aUrv" hidden="1">#REF!</definedName>
    <definedName name="FDP_99_1_aUrv" localSheetId="4" hidden="1">[152]Comparison!$E$95</definedName>
    <definedName name="FDP_99_1_aUrv" hidden="1">#REF!</definedName>
    <definedName name="FDQ" localSheetId="3" hidden="1">{"detail",#N/A,FALSE,"mfg";"summary",#N/A,FALSE,"mfg"}</definedName>
    <definedName name="FDQ" hidden="1">{"detail",#N/A,FALSE,"mfg";"summary",#N/A,FALSE,"mfg"}</definedName>
    <definedName name="fds" localSheetId="3" hidden="1">{#N/A,#N/A,FALSE,"Pharm";#N/A,#N/A,FALSE,"WWCM"}</definedName>
    <definedName name="fds" hidden="1">{#N/A,#N/A,FALSE,"Pharm";#N/A,#N/A,FALSE,"WWCM"}</definedName>
    <definedName name="fds_1" localSheetId="3" hidden="1">{#N/A,#N/A,FALSE,"Pharm";#N/A,#N/A,FALSE,"WWCM"}</definedName>
    <definedName name="fds_1" hidden="1">{#N/A,#N/A,FALSE,"Pharm";#N/A,#N/A,FALSE,"WWCM"}</definedName>
    <definedName name="fds_2" localSheetId="3" hidden="1">{#N/A,#N/A,FALSE,"Pharm";#N/A,#N/A,FALSE,"WWCM"}</definedName>
    <definedName name="fds_2" hidden="1">{#N/A,#N/A,FALSE,"Pharm";#N/A,#N/A,FALSE,"WWCM"}</definedName>
    <definedName name="fds_3" localSheetId="3" hidden="1">{#N/A,#N/A,FALSE,"Pharm";#N/A,#N/A,FALSE,"WWCM"}</definedName>
    <definedName name="fds_3" hidden="1">{#N/A,#N/A,FALSE,"Pharm";#N/A,#N/A,FALSE,"WWCM"}</definedName>
    <definedName name="fds_4" localSheetId="3" hidden="1">{#N/A,#N/A,FALSE,"Pharm";#N/A,#N/A,FALSE,"WWCM"}</definedName>
    <definedName name="fds_4" hidden="1">{#N/A,#N/A,FALSE,"Pharm";#N/A,#N/A,FALSE,"WWCM"}</definedName>
    <definedName name="fdsa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localSheetId="3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f" localSheetId="3" hidden="1">{"general",#N/A,FALSE,"Assumptions"}</definedName>
    <definedName name="fdsf" hidden="1">{"general",#N/A,FALSE,"Assumptions"}</definedName>
    <definedName name="fdsfs" localSheetId="3" hidden="1">{"GLI-Income Statement",#N/A,FALSE,"gli";"GLI - Balance Sheet Wksht",#N/A,FALSE,"gli";"GLI-Cash Flow",#N/A,FALSE,"gli";"GLI Qtrly Stats",#N/A,FALSE,"gli"}</definedName>
    <definedName name="fdsfs" hidden="1">{"GLI-Income Statement",#N/A,FALSE,"gli";"GLI - Balance Sheet Wksht",#N/A,FALSE,"gli";"GLI-Cash Flow",#N/A,FALSE,"gli";"GLI Qtrly Stats",#N/A,FALSE,"gli"}</definedName>
    <definedName name="fdsfsd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3" hidden="1">{"incomemth",#N/A,TRUE,"forecast00";"incomepercentmth",#N/A,TRUE,"forecast00";"balancemth",#N/A,TRUE,"forecast00";"cashmth",#N/A,TRUE,"forecast00";"covenantmth",#N/A,TRUE,"forecast00"}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localSheetId="3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localSheetId="3" hidden="1">{#N/A,#N/A,FALSE,"Model";#N/A,#N/A,FALSE,"Division"}</definedName>
    <definedName name="fdskj" hidden="1">{#N/A,#N/A,FALSE,"Model";#N/A,#N/A,FALSE,"Division"}</definedName>
    <definedName name="fdv" localSheetId="3" hidden="1">{"quarterly",#N/A,FALSE,"Income Statement";#N/A,#N/A,FALSE,"print segment";#N/A,#N/A,FALSE,"Balance Sheet";#N/A,#N/A,FALSE,"Annl Inc";#N/A,#N/A,FALSE,"Cash Flow"}</definedName>
    <definedName name="fdv" hidden="1">{"quarterly",#N/A,FALSE,"Income Statement";#N/A,#N/A,FALSE,"print segment";#N/A,#N/A,FALSE,"Balance Sheet";#N/A,#N/A,FALSE,"Annl Inc";#N/A,#N/A,FALSE,"Cash Flow"}</definedName>
    <definedName name="fdyh" localSheetId="4" hidden="1">{"Balance sheet",#N/A,FALSE,"P&amp;L";"P&amp;L",#N/A,FALSE,"P&amp;L"}</definedName>
    <definedName name="fdyh" localSheetId="3" hidden="1">{"Balance sheet",#N/A,FALSE,"P&amp;L";"P&amp;L",#N/A,FALSE,"P&amp;L"}</definedName>
    <definedName name="fdyh" hidden="1">{"Balance sheet",#N/A,FALSE,"P&amp;L";"P&amp;L",#N/A,FALSE,"P&amp;L"}</definedName>
    <definedName name="fe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 localSheetId="4">'[43]P&amp;L Breakdown'!$J:$J</definedName>
    <definedName name="FEB_BUD">#REF!</definedName>
    <definedName name="FEB_TB" localSheetId="4">[43]TB!$G:$G</definedName>
    <definedName name="FEB_TB">#REF!</definedName>
    <definedName name="february_2000" localSheetId="4">'[126]מדדים ודולר'!#REF!</definedName>
    <definedName name="february_2000">#REF!</definedName>
    <definedName name="FederalExemption">#REF!</definedName>
    <definedName name="fedf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localSheetId="3" hidden="1">{#N/A,#N/A,FALSE,"FREE"}</definedName>
    <definedName name="feret" hidden="1">{#N/A,#N/A,FALSE,"FREE"}</definedName>
    <definedName name="fesa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localSheetId="3" hidden="1">{"BA detail",#N/A,FALSE,"Q3YTD "}</definedName>
    <definedName name="fetr" hidden="1">{"BA detail",#N/A,FALSE,"Q3YTD "}</definedName>
    <definedName name="few" localSheetId="3" hidden="1">{#N/A,#N/A,FALSE,"PMTABB";#N/A,#N/A,FALSE,"PMTABB"}</definedName>
    <definedName name="few" hidden="1">{#N/A,#N/A,FALSE,"PMTABB";#N/A,#N/A,FALSE,"PMTABB"}</definedName>
    <definedName name="fewaFC" localSheetId="3" hidden="1">{#N/A,#N/A,FALSE,"ALM-ASISC"}</definedName>
    <definedName name="fewaFC" hidden="1">{#N/A,#N/A,FALSE,"ALM-ASISC"}</definedName>
    <definedName name="fewq" localSheetId="3" hidden="1">{"Comp_of_Price_Effect",#N/A,FALSE,"QTRDPVAR"}</definedName>
    <definedName name="fewq" hidden="1">{"Comp_of_Price_Effect",#N/A,FALSE,"QTRDPVAR"}</definedName>
    <definedName name="fewt" localSheetId="3" hidden="1">{#N/A,#N/A,FALSE,"EW"}</definedName>
    <definedName name="fewt" hidden="1">{#N/A,#N/A,FALSE,"EW"}</definedName>
    <definedName name="ff">#REF!</definedName>
    <definedName name="ff_1" localSheetId="3" hidden="1">{#N/A,#N/A,FALSE,"Pharm";#N/A,#N/A,FALSE,"WWCM"}</definedName>
    <definedName name="ff_1" hidden="1">{#N/A,#N/A,FALSE,"Pharm";#N/A,#N/A,FALSE,"WWCM"}</definedName>
    <definedName name="ff_2" localSheetId="3" hidden="1">{#N/A,#N/A,FALSE,"Pharm";#N/A,#N/A,FALSE,"WWCM"}</definedName>
    <definedName name="ff_2" hidden="1">{#N/A,#N/A,FALSE,"Pharm";#N/A,#N/A,FALSE,"WWCM"}</definedName>
    <definedName name="ff_3" localSheetId="3" hidden="1">{#N/A,#N/A,FALSE,"Pharm";#N/A,#N/A,FALSE,"WWCM"}</definedName>
    <definedName name="ff_3" hidden="1">{#N/A,#N/A,FALSE,"Pharm";#N/A,#N/A,FALSE,"WWCM"}</definedName>
    <definedName name="ff_4" localSheetId="3" hidden="1">{#N/A,#N/A,FALSE,"Pharm";#N/A,#N/A,FALSE,"WWCM"}</definedName>
    <definedName name="ff_4" hidden="1">{#N/A,#N/A,FALSE,"Pharm";#N/A,#N/A,FALSE,"WWCM"}</definedName>
    <definedName name="ffd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localSheetId="3" hidden="1">{#N/A,#N/A,FALSE,"Pharm";#N/A,#N/A,FALSE,"WWCM"}</definedName>
    <definedName name="fff_1" hidden="1">{#N/A,#N/A,FALSE,"Pharm";#N/A,#N/A,FALSE,"WWCM"}</definedName>
    <definedName name="fff_2" localSheetId="3" hidden="1">{#N/A,#N/A,FALSE,"Pharm";#N/A,#N/A,FALSE,"WWCM"}</definedName>
    <definedName name="fff_2" hidden="1">{#N/A,#N/A,FALSE,"Pharm";#N/A,#N/A,FALSE,"WWCM"}</definedName>
    <definedName name="fff_3" localSheetId="3" hidden="1">{#N/A,#N/A,FALSE,"Pharm";#N/A,#N/A,FALSE,"WWCM"}</definedName>
    <definedName name="fff_3" hidden="1">{#N/A,#N/A,FALSE,"Pharm";#N/A,#N/A,FALSE,"WWCM"}</definedName>
    <definedName name="fff_4" localSheetId="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localSheetId="3" hidden="1">{"budget992000 capex",#N/A,FALSE,"Celtel alternative 6"}</definedName>
    <definedName name="ffffff" hidden="1">{"budget992000 capex",#N/A,FALSE,"Celtel alternative 6"}</definedName>
    <definedName name="fffffff" localSheetId="3" hidden="1">{#N/A,#N/A,FALSE,"Pharm";#N/A,#N/A,FALSE,"WWCM"}</definedName>
    <definedName name="fffffff" hidden="1">{#N/A,#N/A,FALSE,"Pharm";#N/A,#N/A,FALSE,"WWCM"}</definedName>
    <definedName name="fffffff_1" localSheetId="3" hidden="1">{#N/A,#N/A,FALSE,"Pharm";#N/A,#N/A,FALSE,"WWCM"}</definedName>
    <definedName name="fffffff_1" hidden="1">{#N/A,#N/A,FALSE,"Pharm";#N/A,#N/A,FALSE,"WWCM"}</definedName>
    <definedName name="fffffff_2" localSheetId="3" hidden="1">{#N/A,#N/A,FALSE,"Pharm";#N/A,#N/A,FALSE,"WWCM"}</definedName>
    <definedName name="fffffff_2" hidden="1">{#N/A,#N/A,FALSE,"Pharm";#N/A,#N/A,FALSE,"WWCM"}</definedName>
    <definedName name="fffffff_3" localSheetId="3" hidden="1">{#N/A,#N/A,FALSE,"Pharm";#N/A,#N/A,FALSE,"WWCM"}</definedName>
    <definedName name="fffffff_3" hidden="1">{#N/A,#N/A,FALSE,"Pharm";#N/A,#N/A,FALSE,"WWCM"}</definedName>
    <definedName name="fffffff_4" localSheetId="3" hidden="1">{#N/A,#N/A,FALSE,"Pharm";#N/A,#N/A,FALSE,"WWCM"}</definedName>
    <definedName name="fffffff_4" hidden="1">{#N/A,#N/A,FALSE,"Pharm";#N/A,#N/A,FALSE,"WWCM"}</definedName>
    <definedName name="ffffffffff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localSheetId="3" hidden="1">{"table",#N/A,FALSE,"COVER";"income_statement",#N/A,FALSE,"COVER"}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localSheetId="3" hidden="1">{#N/A,#N/A,FALSE,"FY97";#N/A,#N/A,FALSE,"FY98";#N/A,#N/A,FALSE,"FY99";#N/A,#N/A,FALSE,"FY00";#N/A,#N/A,FALSE,"FY01"}</definedName>
    <definedName name="ffy" hidden="1">{#N/A,#N/A,FALSE,"FY97";#N/A,#N/A,FALSE,"FY98";#N/A,#N/A,FALSE,"FY99";#N/A,#N/A,FALSE,"FY00";#N/A,#N/A,FALSE,"FY01"}</definedName>
    <definedName name="fg" localSheetId="3" hidden="1">{#N/A,#N/A,FALSE,"REPORT"}</definedName>
    <definedName name="fg" hidden="1">{#N/A,#N/A,FALSE,"REPORT"}</definedName>
    <definedName name="fg_1" localSheetId="3" hidden="1">{#N/A,#N/A,FALSE,"REPORT"}</definedName>
    <definedName name="fg_1" hidden="1">{#N/A,#N/A,FALSE,"REPORT"}</definedName>
    <definedName name="fg_2" localSheetId="3" hidden="1">{#N/A,#N/A,FALSE,"REPORT"}</definedName>
    <definedName name="fg_2" hidden="1">{#N/A,#N/A,FALSE,"REPORT"}</definedName>
    <definedName name="fg_3" localSheetId="3" hidden="1">{#N/A,#N/A,FALSE,"REPORT"}</definedName>
    <definedName name="fg_3" hidden="1">{#N/A,#N/A,FALSE,"REPORT"}</definedName>
    <definedName name="fg_4" localSheetId="3" hidden="1">{#N/A,#N/A,FALSE,"REPORT"}</definedName>
    <definedName name="fg_4" hidden="1">{#N/A,#N/A,FALSE,"REPORT"}</definedName>
    <definedName name="fgefgef" localSheetId="3">{"qchm_dcf",#N/A,FALSE,"QCHMDCF2";"qchm_terminal",#N/A,FALSE,"QCHMDCF2"}</definedName>
    <definedName name="fgefgef">{"qchm_dcf",#N/A,FALSE,"QCHMDCF2";"qchm_terminal",#N/A,FALSE,"QCHMDCF2"}</definedName>
    <definedName name="fgf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localSheetId="3" hidden="1">{#N/A,#N/A,FALSE,"Umsatz 99";#N/A,#N/A,FALSE,"ER 99 "}</definedName>
    <definedName name="fgfgf" hidden="1">{#N/A,#N/A,FALSE,"Umsatz 99";#N/A,#N/A,FALSE,"ER 99 "}</definedName>
    <definedName name="fgfx" localSheetId="3" hidden="1">{#N/A,#N/A,FALSE,"Umsatz 99";#N/A,#N/A,FALSE,"ER 99 "}</definedName>
    <definedName name="fgfx" hidden="1">{#N/A,#N/A,FALSE,"Umsatz 99";#N/A,#N/A,FALSE,"ER 99 "}</definedName>
    <definedName name="fgg" localSheetId="3" hidden="1">{"Inc Stmt",#N/A,TRUE,"Financials";"Common Size",#N/A,TRUE,"Financials";"BS Assets",#N/A,TRUE,"Financials";"BS Liabilities",#N/A,TRUE,"Financials";"Cash Flow Stmt",#N/A,TRUE,"Financials";"DCF",#N/A,TRUE,"Financials"}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'[154]פק'' נוספות'!$A$2:$P$33,'[154]פק'' נוספות'!#REF!</definedName>
    <definedName name="fgh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localSheetId="3" hidden="1">{#N/A,#N/A,FALSE,"KA CH  (2)"}</definedName>
    <definedName name="fghfghfghgfh" hidden="1">{#N/A,#N/A,FALSE,"KA CH  (2)"}</definedName>
    <definedName name="fghfghfghgfhgfh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localSheetId="3" hidden="1">{#N/A,#N/A,FALSE,"PGW"}</definedName>
    <definedName name="fghfghr" hidden="1">{#N/A,#N/A,FALSE,"PGW"}</definedName>
    <definedName name="FGHFH" localSheetId="3" hidden="1">{"' calendrier 2000'!$A$1:$Q$38"}</definedName>
    <definedName name="FGHFH" hidden="1">{"' calendrier 2000'!$A$1:$Q$38"}</definedName>
    <definedName name="fgh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localSheetId="3" hidden="1">{#N/A,#N/A,FALSE,"Produkte Erw.";#N/A,#N/A,FALSE,"Produkte Plan";#N/A,#N/A,FALSE,"Leistungen Erw.";#N/A,#N/A,FALSE,"Leistungen Plan";#N/A,#N/A,FALSE,"KA Allg.Kosten (2)";#N/A,#N/A,FALSE,"KA All.Kosten"}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localSheetId="3" hidden="1">{#N/A,#N/A,FALSE,"REPORT"}</definedName>
    <definedName name="fgkjkh" hidden="1">{#N/A,#N/A,FALSE,"REPORT"}</definedName>
    <definedName name="fgkjkh_1" localSheetId="3" hidden="1">{#N/A,#N/A,FALSE,"REPORT"}</definedName>
    <definedName name="fgkjkh_1" hidden="1">{#N/A,#N/A,FALSE,"REPORT"}</definedName>
    <definedName name="fgkjkh_2" localSheetId="3" hidden="1">{#N/A,#N/A,FALSE,"REPORT"}</definedName>
    <definedName name="fgkjkh_2" hidden="1">{#N/A,#N/A,FALSE,"REPORT"}</definedName>
    <definedName name="fgkjkh_3" localSheetId="3" hidden="1">{#N/A,#N/A,FALSE,"REPORT"}</definedName>
    <definedName name="fgkjkh_3" hidden="1">{#N/A,#N/A,FALSE,"REPORT"}</definedName>
    <definedName name="fgkjkh_4" localSheetId="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localSheetId="3" hidden="1">{"PAGE 1",#N/A,FALSE,"COS Excluding Geismar";"PAGE 2",#N/A,FALSE,"COS Excluding Geismar";"PAGE 3",#N/A,FALSE,"COS Excluding Geismar"}</definedName>
    <definedName name="fgsd" hidden="1">{"PAGE 1",#N/A,FALSE,"COS Excluding Geismar";"PAGE 2",#N/A,FALSE,"COS Excluding Geismar";"PAGE 3",#N/A,FALSE,"COS Excluding Geismar"}</definedName>
    <definedName name="fgsdf" localSheetId="3" hidden="1">{"Summary Schedule",#N/A,FALSE,"Sheet1";"Divisional Support",#N/A,FALSE,"Sheet2";"Corporate Support",#N/A,FALSE,"Sheet3"}</definedName>
    <definedName name="fgsdf" hidden="1">{"Summary Schedule",#N/A,FALSE,"Sheet1";"Divisional Support",#N/A,FALSE,"Sheet2";"Corporate Support",#N/A,FALSE,"Sheet3"}</definedName>
    <definedName name="fgsg" localSheetId="3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" localSheetId="3" hidden="1">{"Performance Details",#N/A,FALSE,"Current Yr";"Performance Details",#N/A,FALSE,"Budget";"Performance Details",#N/A,FALSE,"Prior Year"}</definedName>
    <definedName name="fgt" hidden="1">{"Performance Details",#N/A,FALSE,"Current Yr";"Performance Details",#N/A,FALSE,"Budget";"Performance Details",#N/A,FALSE,"Prior Year"}</definedName>
    <definedName name="fgtg" localSheetId="3" hidden="1">{#N/A,#N/A,FALSE,"Aging Summary";#N/A,#N/A,FALSE,"Ratio Analysis";#N/A,#N/A,FALSE,"Test 120 Day Accts";#N/A,#N/A,FALSE,"Tickmarks"}</definedName>
    <definedName name="fgtg" hidden="1">{#N/A,#N/A,FALSE,"Aging Summary";#N/A,#N/A,FALSE,"Ratio Analysis";#N/A,#N/A,FALSE,"Test 120 Day Accts";#N/A,#N/A,FALSE,"Tickmarks"}</definedName>
    <definedName name="F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 localSheetId="3">{"DCF1",#N/A,FALSE,"SIERRA DCF";"MATRIX1",#N/A,FALSE,"SIERRA DCF"}</definedName>
    <definedName name="fhrghgrd">{"DCF1",#N/A,FALSE,"SIERRA DCF";"MATRIX1",#N/A,FALSE,"SIERRA DCF"}</definedName>
    <definedName name="fhrtz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 localSheetId="3">{"'2ND_QUAR'!$A$1:$P$106"}</definedName>
    <definedName name="fhtm_control">{"'2ND_QUAR'!$A$1:$P$106"}</definedName>
    <definedName name="fhy" localSheetId="3" hidden="1">{"table",#N/A,FALSE,"COVER";"income_statement",#N/A,FALSE,"COVER"}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 localSheetId="4">[95]consolidation!#REF!</definedName>
    <definedName name="Finance">#REF!</definedName>
    <definedName name="finance2">#REF!</definedName>
    <definedName name="financenote" localSheetId="4">[79]Notes!#REF!</definedName>
    <definedName name="financenote">#REF!</definedName>
    <definedName name="FINANCIAL">#REF!</definedName>
    <definedName name="financial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'[48]GL-PC'!#REF!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 localSheetId="4">'[54]Basic Assumptions'!$B$8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localSheetId="3" hidden="1">{#N/A,#N/A,FALSE,"ALM-ASISC"}</definedName>
    <definedName name="fjaojfa" hidden="1">{#N/A,#N/A,FALSE,"ALM-ASISC"}</definedName>
    <definedName name="fjdalöfjdsalköfdjsalö" localSheetId="3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dkjfkl" localSheetId="3" hidden="1">{"glc1",#N/A,FALSE,"GLC";"glc2",#N/A,FALSE,"GLC";"glc3",#N/A,FALSE,"GLC";"glc4",#N/A,FALSE,"GLC";"glc5",#N/A,FALSE,"GLC"}</definedName>
    <definedName name="fjdkjfkl" hidden="1">{"glc1",#N/A,FALSE,"GLC";"glc2",#N/A,FALSE,"GLC";"glc3",#N/A,FALSE,"GLC";"glc4",#N/A,FALSE,"GLC";"glc5",#N/A,FALSE,"GLC"}</definedName>
    <definedName name="FJEZK" localSheetId="3" hidden="1">{#N/A,#N/A,FALSE,"Pharm";#N/A,#N/A,FALSE,"WWCM"}</definedName>
    <definedName name="FJEZK" hidden="1">{#N/A,#N/A,FALSE,"Pharm";#N/A,#N/A,FALSE,"WWCM"}</definedName>
    <definedName name="FJEZK_1" localSheetId="3" hidden="1">{#N/A,#N/A,FALSE,"Pharm";#N/A,#N/A,FALSE,"WWCM"}</definedName>
    <definedName name="FJEZK_1" hidden="1">{#N/A,#N/A,FALSE,"Pharm";#N/A,#N/A,FALSE,"WWCM"}</definedName>
    <definedName name="FJEZK_2" localSheetId="3" hidden="1">{#N/A,#N/A,FALSE,"Pharm";#N/A,#N/A,FALSE,"WWCM"}</definedName>
    <definedName name="FJEZK_2" hidden="1">{#N/A,#N/A,FALSE,"Pharm";#N/A,#N/A,FALSE,"WWCM"}</definedName>
    <definedName name="FJEZK_3" localSheetId="3" hidden="1">{#N/A,#N/A,FALSE,"Pharm";#N/A,#N/A,FALSE,"WWCM"}</definedName>
    <definedName name="FJEZK_3" hidden="1">{#N/A,#N/A,FALSE,"Pharm";#N/A,#N/A,FALSE,"WWCM"}</definedName>
    <definedName name="FJEZK_4" localSheetId="3" hidden="1">{#N/A,#N/A,FALSE,"Pharm";#N/A,#N/A,FALSE,"WWCM"}</definedName>
    <definedName name="FJEZK_4" hidden="1">{#N/A,#N/A,FALSE,"Pharm";#N/A,#N/A,FALSE,"WWCM"}</definedName>
    <definedName name="FJJF" localSheetId="3" hidden="1">{#N/A,#N/A,FALSE,"ALM-ASISC"}</definedName>
    <definedName name="FJJF" hidden="1">{#N/A,#N/A,FALSE,"ALM-ASISC"}</definedName>
    <definedName name="FJK" localSheetId="3" hidden="1">{#N/A,#N/A,FALSE,"FINAL"}</definedName>
    <definedName name="FJK" hidden="1">{#N/A,#N/A,FALSE,"FINAL"}</definedName>
    <definedName name="fjl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localSheetId="3" hidden="1">{#N/A,#N/A,FALSE,"Financial";#N/A,#N/A,FALSE,"Balance Sheet";#N/A,#N/A,FALSE,"Income stmt";#N/A,#N/A,FALSE,"Ratio"}</definedName>
    <definedName name="fjsdjfjkd" hidden="1">{#N/A,#N/A,FALSE,"Financial";#N/A,#N/A,FALSE,"Balance Sheet";#N/A,#N/A,FALSE,"Income stmt";#N/A,#N/A,FALSE,"Ratio"}</definedName>
    <definedName name="FK_Quote">#REF!</definedName>
    <definedName name="Flash" localSheetId="3" hidden="1">{#N/A,#N/A,FALSE,"Créances";#N/A,#N/A,FALSE,"Effectifs";#N/A,#N/A,FALSE,"SI"}</definedName>
    <definedName name="Flash" hidden="1">{#N/A,#N/A,FALSE,"Créances";#N/A,#N/A,FALSE,"Effectifs";#N/A,#N/A,FALSE,"SI"}</definedName>
    <definedName name="Fleet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et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localSheetId="3" hidden="1">{#N/A,#N/A,FALSE,"Land";#N/A,#N/A,FALSE,"Cost Analysis";"Summary",#N/A,FALSE,"Equipment"}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 localSheetId="3">{"'2ND_QUAR'!$A$1:$P$106"}</definedName>
    <definedName name="fn">{"'2ND_QUAR'!$A$1:$P$106"}</definedName>
    <definedName name="fnewcap" localSheetId="3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localSheetId="3" hidden="1">{"histincome",#N/A,FALSE,"hyfins";"closing balance",#N/A,FALSE,"hyfins"}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localSheetId="3" hidden="1">{#N/A,#N/A,FALSE,"PMTABB";#N/A,#N/A,FALSE,"PMTABB"}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localSheetId="3" hidden="1">{#N/A,#N/A,FALSE,"summary";#N/A,#N/A,FALSE,"Input"}</definedName>
    <definedName name="Formula" hidden="1">{#N/A,#N/A,FALSE,"summary";#N/A,#N/A,FALSE,"Input"}</definedName>
    <definedName name="Formula_PL_INPUT">#REF!,#REF!,#REF!,#REF!,#REF!,#REF!,#REF!,#REF!,#REF!,#REF!</definedName>
    <definedName name="formula2" localSheetId="3" hidden="1">{#N/A,#N/A,FALSE,"summary";#N/A,#N/A,FALSE,"Input"}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 localSheetId="3">'Company Name COGS+OPEX Build'!four_scenario</definedName>
    <definedName name="four_scenario">[0]!four_scenario</definedName>
    <definedName name="four_scenarios" localSheetId="3">'Company Name COGS+OPEX Build'!four_scenarios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localSheetId="3" hidden="1">{#N/A,#N/A,FALSE,"Spain MKT";#N/A,#N/A,FALSE,"Assumptions";#N/A,#N/A,FALSE,"Adve";#N/A,#N/A,FALSE,"E-Commerce";#N/A,#N/A,FALSE,"Opex";#N/A,#N/A,FALSE,"P&amp;L";#N/A,#N/A,FALSE,"FCF &amp; DCF"}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localSheetId="3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localSheetId="3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localSheetId="3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localSheetId="3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localSheetId="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localSheetId="3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localSheetId="3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localSheetId="3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localSheetId="3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localSheetId="3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localSheetId="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localSheetId="3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localSheetId="3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localSheetId="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localSheetId="3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localSheetId="3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localSheetId="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localSheetId="3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localSheetId="3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localSheetId="3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localSheetId="3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localSheetId="3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localSheetId="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localSheetId="3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localSheetId="3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localSheetId="3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localSheetId="3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localSheetId="3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localSheetId="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localSheetId="3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localSheetId="3" hidden="1">{"' calendrier 2000'!$A$1:$Q$38"}</definedName>
    <definedName name="FRED" hidden="1">{"' calendrier 2000'!$A$1:$Q$38"}</definedName>
    <definedName name="Free_Rent" localSheetId="4">[155]Wells!#REF!</definedName>
    <definedName name="Free_Rent">#REF!</definedName>
    <definedName name="FreeCashFlow">#REF!</definedName>
    <definedName name="Freq">#REF!</definedName>
    <definedName name="fresfg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localSheetId="3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_1" localSheetId="3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localSheetId="3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localSheetId="3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localSheetId="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localSheetId="3" hidden="1">{#N/A,#N/A,FALSE,"Pharm";#N/A,#N/A,FALSE,"WWCM"}</definedName>
    <definedName name="FRFERFE" hidden="1">{#N/A,#N/A,FALSE,"Pharm";#N/A,#N/A,FALSE,"WWCM"}</definedName>
    <definedName name="FRFERFE_1" localSheetId="3" hidden="1">{#N/A,#N/A,FALSE,"Pharm";#N/A,#N/A,FALSE,"WWCM"}</definedName>
    <definedName name="FRFERFE_1" hidden="1">{#N/A,#N/A,FALSE,"Pharm";#N/A,#N/A,FALSE,"WWCM"}</definedName>
    <definedName name="FRFERFE_2" localSheetId="3" hidden="1">{#N/A,#N/A,FALSE,"Pharm";#N/A,#N/A,FALSE,"WWCM"}</definedName>
    <definedName name="FRFERFE_2" hidden="1">{#N/A,#N/A,FALSE,"Pharm";#N/A,#N/A,FALSE,"WWCM"}</definedName>
    <definedName name="FRFERFE_3" localSheetId="3" hidden="1">{#N/A,#N/A,FALSE,"Pharm";#N/A,#N/A,FALSE,"WWCM"}</definedName>
    <definedName name="FRFERFE_3" hidden="1">{#N/A,#N/A,FALSE,"Pharm";#N/A,#N/A,FALSE,"WWCM"}</definedName>
    <definedName name="FRFERFE_4" localSheetId="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localSheetId="3" hidden="1">{"PRS",#N/A,FALSE,"CM"}</definedName>
    <definedName name="frty" hidden="1">{"PRS",#N/A,FALSE,"CM"}</definedName>
    <definedName name="FS" localSheetId="4">'[28]years-$'!$A$73:$N$102,'[28]years-$'!$A$40:$N$72,'[28]years-$'!$A$1:$O$39</definedName>
    <definedName name="FS">#REF!,#REF!,#REF!</definedName>
    <definedName name="fs_1">#REF!</definedName>
    <definedName name="fsct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localSheetId="3" hidden="1">{#N/A,#N/A,FALSE,"Sheet1"}</definedName>
    <definedName name="fsd" hidden="1">{#N/A,#N/A,FALSE,"Sheet1"}</definedName>
    <definedName name="fsdbdf">"c330"</definedName>
    <definedName name="fsdfdfa" localSheetId="3">{"page1",#N/A,FALSE,"BHCOMPC5";"page2",#N/A,FALSE,"BHCOMPC5";"page3",#N/A,FALSE,"BHCOMPC5";"page4",#N/A,FALSE,"BHCOMPC5"}</definedName>
    <definedName name="fsdfdfa">{"page1",#N/A,FALSE,"BHCOMPC5";"page2",#N/A,FALSE,"BHCOMPC5";"page3",#N/A,FALSE,"BHCOMPC5";"page4",#N/A,FALSE,"BHCOMPC5"}</definedName>
    <definedName name="FSDFDS" localSheetId="3" hidden="1">{#N/A,#N/A,FALSE,"PMTABB";#N/A,#N/A,FALSE,"PMTABB"}</definedName>
    <definedName name="FSDFDS" hidden="1">{#N/A,#N/A,FALSE,"PMTABB";#N/A,#N/A,FALSE,"PMTABB"}</definedName>
    <definedName name="fsdfwe" localSheetId="3" hidden="1">{"comp1",#N/A,FALSE,"COMPS";"footnotes",#N/A,FALSE,"COMPS"}</definedName>
    <definedName name="fsdfwe" hidden="1">{"comp1",#N/A,FALSE,"COMPS";"footnotes",#N/A,FALSE,"COMPS"}</definedName>
    <definedName name="fsdsfafd" localSheetId="3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e" localSheetId="3" hidden="1">{#N/A,#N/A,FALSE,"Sheet1"}</definedName>
    <definedName name="fse" hidden="1">{#N/A,#N/A,FALSE,"Sheet1"}</definedName>
    <definedName name="fsfa" localSheetId="3" hidden="1">{"SchL1",#N/A,FALSE,"Schedules";"SchL2",#N/A,FALSE,"Schedules"}</definedName>
    <definedName name="fsfa" hidden="1">{"SchL1",#N/A,FALSE,"Schedules";"SchL2",#N/A,FALSE,"Schedules"}</definedName>
    <definedName name="fsfs" localSheetId="3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FFSFSFEWS" localSheetId="3" hidden="1">{#N/A,#N/A,FALSE,"ALM-ASISC"}</definedName>
    <definedName name="FSFSFFSFSFEWS" hidden="1">{#N/A,#N/A,FALSE,"ALM-ASISC"}</definedName>
    <definedName name="fsi" hidden="1">#REF!</definedName>
    <definedName name="FSoPacific" localSheetId="3" hidden="1">{"BS",#N/A,FALSE,"USA"}</definedName>
    <definedName name="FSoPacific" hidden="1">{"BS",#N/A,FALSE,"USA"}</definedName>
    <definedName name="fsssadfd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localSheetId="3" hidden="1">{"FTS",#N/A,FALSE,"E"}</definedName>
    <definedName name="ftss" hidden="1">{"FTS",#N/A,FALSE,"E"}</definedName>
    <definedName name="fuck" localSheetId="3" hidden="1">{"by departments",#N/A,TRUE,"FORECAST";"cap_headcount",#N/A,TRUE,"FORECAST";"summary",#N/A,TRUE,"FORECAST"}</definedName>
    <definedName name="fuck" hidden="1">{"by departments",#N/A,TRUE,"FORECAST";"cap_headcount",#N/A,TRUE,"FORECAST";"summary",#N/A,TRUE,"FORECAST"}</definedName>
    <definedName name="fuckme" localSheetId="3" hidden="1">{"SUMMARY",#N/A,TRUE,"SUMMARY";"compare",#N/A,TRUE,"Vs. Bus Plan";"ratios",#N/A,TRUE,"Ratios";"REVENUE",#N/A,TRUE,"Revenue";"expenses",#N/A,TRUE,"1996 budget";"payroll",#N/A,TRUE,"Payroll"}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localSheetId="4" hidden="1">'[142]Amortization Table'!$A$1:$I$377</definedName>
    <definedName name="Full_Print" hidden="1">#REF!</definedName>
    <definedName name="full_year">#REF!</definedName>
    <definedName name="FullAssetRate">#REF!</definedName>
    <definedName name="FullLiabilityRate">'[156]Figures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localSheetId="3" hidden="1">{#N/A,#N/A,FALSE,"Pharm";#N/A,#N/A,FALSE,"WWCM"}</definedName>
    <definedName name="FVG" hidden="1">{#N/A,#N/A,FALSE,"Pharm";#N/A,#N/A,FALSE,"WWCM"}</definedName>
    <definedName name="FVG_1" localSheetId="3" hidden="1">{#N/A,#N/A,FALSE,"Pharm";#N/A,#N/A,FALSE,"WWCM"}</definedName>
    <definedName name="FVG_1" hidden="1">{#N/A,#N/A,FALSE,"Pharm";#N/A,#N/A,FALSE,"WWCM"}</definedName>
    <definedName name="FVG_2" localSheetId="3" hidden="1">{#N/A,#N/A,FALSE,"Pharm";#N/A,#N/A,FALSE,"WWCM"}</definedName>
    <definedName name="FVG_2" hidden="1">{#N/A,#N/A,FALSE,"Pharm";#N/A,#N/A,FALSE,"WWCM"}</definedName>
    <definedName name="FVG_3" localSheetId="3" hidden="1">{#N/A,#N/A,FALSE,"Pharm";#N/A,#N/A,FALSE,"WWCM"}</definedName>
    <definedName name="FVG_3" hidden="1">{#N/A,#N/A,FALSE,"Pharm";#N/A,#N/A,FALSE,"WWCM"}</definedName>
    <definedName name="FVG_4" localSheetId="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localSheetId="3" hidden="1">{#N/A,#N/A,FALSE,"OSBL"}</definedName>
    <definedName name="fwef" hidden="1">{#N/A,#N/A,FALSE,"OSBL"}</definedName>
    <definedName name="fwer" localSheetId="3" hidden="1">{#N/A,"PURCHM",FALSE,"Business Analysis";#N/A,"SPADD",FALSE,"Business Analysis"}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 localSheetId="4">'[79]FX rates'!#REF!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 localSheetId="4">'[54]Basic Assumptions'!$H$8</definedName>
    <definedName name="FYEnd">#REF!</definedName>
    <definedName name="g" localSheetId="4">#REF!</definedName>
    <definedName name="g" localSheetId="3">{"page1",#N/A,FALSE,"BHCOMPC5";"page2",#N/A,FALSE,"BHCOMPC5";"page3",#N/A,FALSE,"BHCOMPC5";"page4",#N/A,FALSE,"BHCOMPC5"}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localSheetId="3" hidden="1">{#N/A,#N/A,FALSE,"Pharm";#N/A,#N/A,FALSE,"WWCM"}</definedName>
    <definedName name="g_1" hidden="1">{#N/A,#N/A,FALSE,"Pharm";#N/A,#N/A,FALSE,"WWCM"}</definedName>
    <definedName name="g_2" localSheetId="3" hidden="1">{#N/A,#N/A,FALSE,"Pharm";#N/A,#N/A,FALSE,"WWCM"}</definedName>
    <definedName name="g_2" hidden="1">{#N/A,#N/A,FALSE,"Pharm";#N/A,#N/A,FALSE,"WWCM"}</definedName>
    <definedName name="g_3" localSheetId="3" hidden="1">{#N/A,#N/A,FALSE,"Pharm";#N/A,#N/A,FALSE,"WWCM"}</definedName>
    <definedName name="g_3" hidden="1">{#N/A,#N/A,FALSE,"Pharm";#N/A,#N/A,FALSE,"WWCM"}</definedName>
    <definedName name="g_4" localSheetId="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'[48]GL-PC'!#REF!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 localSheetId="4">[95]consolidation!#REF!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 localSheetId="4">[124]Parameters!$D$11</definedName>
    <definedName name="GAL">#REF!</definedName>
    <definedName name="GALow">#REF!</definedName>
    <definedName name="GandA" localSheetId="4">'[65]Budget New'!#REF!</definedName>
    <definedName name="GandA">#REF!</definedName>
    <definedName name="ganote" localSheetId="4">[79]Notes!#REF!</definedName>
    <definedName name="ganote">#REF!</definedName>
    <definedName name="garage_dbf">#REF!</definedName>
    <definedName name="garage_rcn">#REF!</definedName>
    <definedName name="GProductIA" localSheetId="3" hidden="1">{#N/A,#N/A,FALSE,"Monthly"}</definedName>
    <definedName name="GProductIA" hidden="1">{#N/A,#N/A,FALSE,"Monthly"}</definedName>
    <definedName name="Gas_T_Put">#REF!</definedName>
    <definedName name="Gas_T_Put2">#REF!</definedName>
    <definedName name="gasgas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[12]מחירון!#REF!</definedName>
    <definedName name="GC_CB_EXTRA">[12]מחירון!#REF!</definedName>
    <definedName name="GC_CB_עיסקי">[140]מחירון!$A$73:$D$79</definedName>
    <definedName name="GCM">'[1]טורים 98'!$HD$64</definedName>
    <definedName name="GCT">'[1]טורים 98'!$GW$69</definedName>
    <definedName name="gd" localSheetId="3" hidden="1">{#N/A,#N/A,FALSE,"FY97";#N/A,#N/A,FALSE,"FY98";#N/A,#N/A,FALSE,"FY99";#N/A,#N/A,FALSE,"FY00";#N/A,#N/A,FALSE,"FY01"}</definedName>
    <definedName name="gd" hidden="1">{#N/A,#N/A,FALSE,"FY97";#N/A,#N/A,FALSE,"FY98";#N/A,#N/A,FALSE,"FY99";#N/A,#N/A,FALSE,"FY00";#N/A,#N/A,FALSE,"FY01"}</definedName>
    <definedName name="gda">#REF!</definedName>
    <definedName name="gd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localSheetId="3" hidden="1">{"detail",#N/A,FALSE,"mfg";"summary",#N/A,FALSE,"mfg"}</definedName>
    <definedName name="GDF" hidden="1">{"detail",#N/A,FALSE,"mfg";"summary",#N/A,FALSE,"mfg"}</definedName>
    <definedName name="GDFA" localSheetId="3" hidden="1">{#N/A,#N/A,FALSE,"COMP"}</definedName>
    <definedName name="GDFA" hidden="1">{#N/A,#N/A,FALSE,"COMP"}</definedName>
    <definedName name="gdfg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localSheetId="3" hidden="1">{#N/A,#N/A,FALSE,"Pharm";#N/A,#N/A,FALSE,"WWCM"}</definedName>
    <definedName name="gdfgdf" hidden="1">{#N/A,#N/A,FALSE,"Pharm";#N/A,#N/A,FALSE,"WWCM"}</definedName>
    <definedName name="gdfgdf_1" localSheetId="3" hidden="1">{#N/A,#N/A,FALSE,"Pharm";#N/A,#N/A,FALSE,"WWCM"}</definedName>
    <definedName name="gdfgdf_1" hidden="1">{#N/A,#N/A,FALSE,"Pharm";#N/A,#N/A,FALSE,"WWCM"}</definedName>
    <definedName name="gdfgdf_2" localSheetId="3" hidden="1">{#N/A,#N/A,FALSE,"Pharm";#N/A,#N/A,FALSE,"WWCM"}</definedName>
    <definedName name="gdfgdf_2" hidden="1">{#N/A,#N/A,FALSE,"Pharm";#N/A,#N/A,FALSE,"WWCM"}</definedName>
    <definedName name="gdfgdf_3" localSheetId="3" hidden="1">{#N/A,#N/A,FALSE,"Pharm";#N/A,#N/A,FALSE,"WWCM"}</definedName>
    <definedName name="gdfgdf_3" hidden="1">{#N/A,#N/A,FALSE,"Pharm";#N/A,#N/A,FALSE,"WWCM"}</definedName>
    <definedName name="gdfgdf_4" localSheetId="3" hidden="1">{#N/A,#N/A,FALSE,"Pharm";#N/A,#N/A,FALSE,"WWCM"}</definedName>
    <definedName name="gdfgdf_4" hidden="1">{#N/A,#N/A,FALSE,"Pharm";#N/A,#N/A,FALSE,"WWCM"}</definedName>
    <definedName name="gdfs" localSheetId="3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gd" localSheetId="3" hidden="1">{#N/A,#N/A,FALSE,"Calc";#N/A,#N/A,FALSE,"Sensitivity";#N/A,#N/A,FALSE,"LT Earn.Dil.";#N/A,#N/A,FALSE,"Dil. AVP"}</definedName>
    <definedName name="gdgd" hidden="1">{#N/A,#N/A,FALSE,"Calc";#N/A,#N/A,FALSE,"Sensitivity";#N/A,#N/A,FALSE,"LT Earn.Dil.";#N/A,#N/A,FALSE,"Dil. AVP"}</definedName>
    <definedName name="gdggdf" localSheetId="3" hidden="1">{#N/A,#N/A,FALSE,"Summary";#N/A,#N/A,FALSE,"proj1";#N/A,#N/A,FALSE,"proj2";#N/A,#N/A,FALSE,"DCF"}</definedName>
    <definedName name="gdggdf" hidden="1">{#N/A,#N/A,FALSE,"Summary";#N/A,#N/A,FALSE,"proj1";#N/A,#N/A,FALSE,"proj2";#N/A,#N/A,FALSE,"DCF"}</definedName>
    <definedName name="GDHD" hidden="1">#REF!</definedName>
    <definedName name="GDT" localSheetId="4">'[157]Financial Summary'!$B$38</definedName>
    <definedName name="GDT">#REF!</definedName>
    <definedName name="ge" hidden="1">"7d5fea11-ce40-4f66-8070-05ad9a0e094a"</definedName>
    <definedName name="GeelCapexFcst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localSheetId="3" hidden="1">{#N/A,#N/A,FALSE,"Monthly"}</definedName>
    <definedName name="Gen" hidden="1">{#N/A,#N/A,FALSE,"Monthly"}</definedName>
    <definedName name="GenAcctList">#REF!</definedName>
    <definedName name="Gender">#REF!</definedName>
    <definedName name="General_Administration_Miscellaneous">'[48]GL-PC'!#REF!</definedName>
    <definedName name="General_Inputs">#REF!</definedName>
    <definedName name="GeneralDBLocation">#REF!</definedName>
    <definedName name="generic_curr" hidden="1">#REF!</definedName>
    <definedName name="generic_month">'[158]general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localSheetId="3" hidden="1">{#N/A,#N/A,FALSE,"Inc";#N/A,#N/A,FALSE,"QInc";#N/A,#N/A,FALSE,"Pro";#N/A,#N/A,FALSE,"QPro"}</definedName>
    <definedName name="GENZ" hidden="1">{#N/A,#N/A,FALSE,"Inc";#N/A,#N/A,FALSE,"QInc";#N/A,#N/A,FALSE,"Pro";#N/A,#N/A,FALSE,"QPro"}</definedName>
    <definedName name="genzff" localSheetId="3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localSheetId="3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localSheetId="3" hidden="1">{#N/A,#N/A,FALSE,"KA CH  (2)"}</definedName>
    <definedName name="gf" hidden="1">{#N/A,#N/A,FALSE,"KA CH  (2)"}</definedName>
    <definedName name="gfd" localSheetId="3" hidden="1">{"FCB_ALL",#N/A,FALSE,"FCB";"GREY_ALL",#N/A,FALSE,"GREY"}</definedName>
    <definedName name="gfd" hidden="1">{"FCB_ALL",#N/A,FALSE,"FCB";"GREY_ALL",#N/A,FALSE,"GREY"}</definedName>
    <definedName name="gfdjhjh" localSheetId="3" hidden="1">{#N/A,#N/A,FALSE,"Pharm";#N/A,#N/A,FALSE,"WWCM"}</definedName>
    <definedName name="gfdjhjh" hidden="1">{#N/A,#N/A,FALSE,"Pharm";#N/A,#N/A,FALSE,"WWCM"}</definedName>
    <definedName name="gfdjhjh_1" localSheetId="3" hidden="1">{#N/A,#N/A,FALSE,"Pharm";#N/A,#N/A,FALSE,"WWCM"}</definedName>
    <definedName name="gfdjhjh_1" hidden="1">{#N/A,#N/A,FALSE,"Pharm";#N/A,#N/A,FALSE,"WWCM"}</definedName>
    <definedName name="gfdjhjh_2" localSheetId="3" hidden="1">{#N/A,#N/A,FALSE,"Pharm";#N/A,#N/A,FALSE,"WWCM"}</definedName>
    <definedName name="gfdjhjh_2" hidden="1">{#N/A,#N/A,FALSE,"Pharm";#N/A,#N/A,FALSE,"WWCM"}</definedName>
    <definedName name="gfdjhjh_3" localSheetId="3" hidden="1">{#N/A,#N/A,FALSE,"Pharm";#N/A,#N/A,FALSE,"WWCM"}</definedName>
    <definedName name="gfdjhjh_3" hidden="1">{#N/A,#N/A,FALSE,"Pharm";#N/A,#N/A,FALSE,"WWCM"}</definedName>
    <definedName name="gfdjhjh_4" localSheetId="3" hidden="1">{#N/A,#N/A,FALSE,"Pharm";#N/A,#N/A,FALSE,"WWCM"}</definedName>
    <definedName name="gfdjhjh_4" hidden="1">{#N/A,#N/A,FALSE,"Pharm";#N/A,#N/A,FALSE,"WWCM"}</definedName>
    <definedName name="gfds" localSheetId="3" hidden="1">{"oct_res_comm",#N/A,FALSE,"VarToBud"}</definedName>
    <definedName name="gfds" hidden="1">{"oct_res_comm",#N/A,FALSE,"VarToBud"}</definedName>
    <definedName name="GFGFDG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localSheetId="3" hidden="1">{#N/A,#N/A,FALSE,"Summary";#N/A,#N/A,FALSE,"proj1";#N/A,#N/A,FALSE,"proj2"}</definedName>
    <definedName name="gfgfsgf" hidden="1">{#N/A,#N/A,FALSE,"Summary";#N/A,#N/A,FALSE,"proj1";#N/A,#N/A,FALSE,"proj2"}</definedName>
    <definedName name="gfghdfgd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localSheetId="3" hidden="1">{#N/A,#N/A,FALSE,"PMTABB";#N/A,#N/A,FALSE,"PMTABB"}</definedName>
    <definedName name="gfh" hidden="1">{#N/A,#N/A,FALSE,"PMTABB";#N/A,#N/A,FALSE,"PMTABB"}</definedName>
    <definedName name="gfhfgh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localSheetId="3" hidden="1">{#N/A,#N/A,FALSE,"Umsatz 99";#N/A,#N/A,FALSE,"ER 99 "}</definedName>
    <definedName name="gfhfghgsdfghfg" hidden="1">{#N/A,#N/A,FALSE,"Umsatz 99";#N/A,#N/A,FALSE,"ER 99 "}</definedName>
    <definedName name="gfhg" hidden="1">#REF!</definedName>
    <definedName name="gfh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localSheetId="3" hidden="1">{"bs",#N/A,FALSE,"SCF"}</definedName>
    <definedName name="gfie" hidden="1">{"bs",#N/A,FALSE,"SCF"}</definedName>
    <definedName name="gfkf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localSheetId="3" hidden="1">{#N/A,#N/A,FALSE,"TOWNSHIP"}</definedName>
    <definedName name="GFNFGJH" hidden="1">{#N/A,#N/A,FALSE,"TOWNSHIP"}</definedName>
    <definedName name="gfrr" localSheetId="3" hidden="1">{#N/A,#N/A,FALSE,"Umsatz 99";#N/A,#N/A,FALSE,"ER 99 "}</definedName>
    <definedName name="gfrr" hidden="1">{#N/A,#N/A,FALSE,"Umsatz 99";#N/A,#N/A,FALSE,"ER 99 "}</definedName>
    <definedName name="gfsd" localSheetId="3" hidden="1">{"consolidated",#N/A,FALSE,"Sheet1";"cms",#N/A,FALSE,"Sheet1";"fse",#N/A,FALSE,"Sheet1"}</definedName>
    <definedName name="gfsd" hidden="1">{"consolidated",#N/A,FALSE,"Sheet1";"cms",#N/A,FALSE,"Sheet1";"fse",#N/A,FALSE,"Sheet1"}</definedName>
    <definedName name="GFT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localSheetId="3" hidden="1">{#N/A,#N/A,FALSE,"SUMMARY";#N/A,#N/A,FALSE,"SUMMARY"}</definedName>
    <definedName name="GGF" hidden="1">{#N/A,#N/A,FALSE,"SUMMARY";#N/A,#N/A,FALSE,"SUMMARY"}</definedName>
    <definedName name="ggg" localSheetId="4" hidden="1">{#N/A,#N/A,FALSE,"מאזן בוחן";"כל_מאזן_בוחן",#N/A,FALSE,"מאזן בוחן"}</definedName>
    <definedName name="ggg" localSheetId="3">{"'Directory'!$A$72:$E$91"}</definedName>
    <definedName name="ggg">{"'Directory'!$A$72:$E$91"}</definedName>
    <definedName name="gggg" localSheetId="3" hidden="1">{#N/A,#N/A,FALSE,"Aging Summary";#N/A,#N/A,FALSE,"Ratio Analysis";#N/A,#N/A,FALSE,"Test 120 Day Accts";#N/A,#N/A,FALSE,"Tickmarks"}</definedName>
    <definedName name="gggg" hidden="1">{#N/A,#N/A,FALSE,"Aging Summary";#N/A,#N/A,FALSE,"Ratio Analysis";#N/A,#N/A,FALSE,"Test 120 Day Accts";#N/A,#N/A,FALSE,"Tickmarks"}</definedName>
    <definedName name="ggggg" localSheetId="3" hidden="1">{"budget992000_customers",#N/A,FALSE,"Celtel alternative 6"}</definedName>
    <definedName name="ggggg" hidden="1">{"budget992000_customers",#N/A,FALSE,"Celtel alternative 6"}</definedName>
    <definedName name="ggggggg" localSheetId="3" hidden="1">{"Term Sheet",#N/A,FALSE,"Term Sheet";"Value Summary",#N/A,FALSE,"Value Sum";"Debt Coverage",#N/A,FALSE,"Debt Coverage"}</definedName>
    <definedName name="ggggggg" hidden="1">{"Term Sheet",#N/A,FALSE,"Term Sheet";"Value Summary",#N/A,FALSE,"Value Sum";"Debt Coverage",#N/A,FALSE,"Debt Coverage"}</definedName>
    <definedName name="ggggggggggggggggggggggggggg" localSheetId="3" hidden="1">{"ASSETS",#N/A,FALSE,"BALANCE SHEET";"LIABILITIES",#N/A,FALSE,"BALANCE SHEET"}</definedName>
    <definedName name="ggggggggggggggggggggggggggg" hidden="1">{"ASSETS",#N/A,FALSE,"BALANCE SHEET";"LIABILITIES",#N/A,FALSE,"BALANCE SHEET"}</definedName>
    <definedName name="ggrgrgsea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localSheetId="3" hidden="1">{"table",#N/A,FALSE,"COVER";"income_statement",#N/A,FALSE,"COVER"}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localSheetId="3" hidden="1">{#N/A,#N/A,FALSE,"KA CH  (2)"}</definedName>
    <definedName name="ghh" hidden="1">{#N/A,#N/A,FALSE,"KA CH  (2)"}</definedName>
    <definedName name="ghj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localSheetId="3" hidden="1">{#N/A,#N/A,FALSE,"Produkte Erw.";#N/A,#N/A,FALSE,"Produkte Plan";#N/A,#N/A,FALSE,"Leistungen Erw.";#N/A,#N/A,FALSE,"Leistungen Plan";#N/A,#N/A,FALSE,"KA Allg.Kosten (2)";#N/A,#N/A,FALSE,"KA All.Kosten"}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localSheetId="3" hidden="1">{#N/A,#N/A,FALSE,"Pharm";#N/A,#N/A,FALSE,"WWCM"}</definedName>
    <definedName name="ghjggjh" hidden="1">{#N/A,#N/A,FALSE,"Pharm";#N/A,#N/A,FALSE,"WWCM"}</definedName>
    <definedName name="ghjggjh_1" localSheetId="3" hidden="1">{#N/A,#N/A,FALSE,"Pharm";#N/A,#N/A,FALSE,"WWCM"}</definedName>
    <definedName name="ghjggjh_1" hidden="1">{#N/A,#N/A,FALSE,"Pharm";#N/A,#N/A,FALSE,"WWCM"}</definedName>
    <definedName name="ghjggjh_2" localSheetId="3" hidden="1">{#N/A,#N/A,FALSE,"Pharm";#N/A,#N/A,FALSE,"WWCM"}</definedName>
    <definedName name="ghjggjh_2" hidden="1">{#N/A,#N/A,FALSE,"Pharm";#N/A,#N/A,FALSE,"WWCM"}</definedName>
    <definedName name="ghjggjh_3" localSheetId="3" hidden="1">{#N/A,#N/A,FALSE,"Pharm";#N/A,#N/A,FALSE,"WWCM"}</definedName>
    <definedName name="ghjggjh_3" hidden="1">{#N/A,#N/A,FALSE,"Pharm";#N/A,#N/A,FALSE,"WWCM"}</definedName>
    <definedName name="ghjggjh_4" localSheetId="3" hidden="1">{#N/A,#N/A,FALSE,"Pharm";#N/A,#N/A,FALSE,"WWCM"}</definedName>
    <definedName name="ghjggjh_4" hidden="1">{#N/A,#N/A,FALSE,"Pharm";#N/A,#N/A,FALSE,"WWCM"}</definedName>
    <definedName name="ghjhgj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localSheetId="3" hidden="1">{#N/A,#N/A,FALSE,"KA CH  (2)"}</definedName>
    <definedName name="ghjhgjh" hidden="1">{#N/A,#N/A,FALSE,"KA CH  (2)"}</definedName>
    <definedName name="ghjhj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localSheetId="3" hidden="1">{#N/A,#N/A,FALSE,"FREE"}</definedName>
    <definedName name="GHJTI" hidden="1">{#N/A,#N/A,FALSE,"FREE"}</definedName>
    <definedName name="ghk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localSheetId="3" hidden="1">{#N/A,"PURCHM",FALSE,"Business Analysis";#N/A,"SPADD",FALSE,"Business Analysis"}</definedName>
    <definedName name="ghuifd" hidden="1">{#N/A,"PURCHM",FALSE,"Business Analysis";#N/A,"SPADD",FALSE,"Business Analysis"}</definedName>
    <definedName name="gibness1" localSheetId="3" hidden="1">{"sales",#N/A,FALSE,"Sales";"sales existing",#N/A,FALSE,"Sales";"sales rd1",#N/A,FALSE,"Sales";"sales rd2",#N/A,FALSE,"Sales"}</definedName>
    <definedName name="gibness1" hidden="1">{"sales",#N/A,FALSE,"Sales";"sales existing",#N/A,FALSE,"Sales";"sales rd1",#N/A,FALSE,"Sales";"sales rd2",#N/A,FALSE,"Sales"}</definedName>
    <definedName name="Gifts_Expense">'[48]GL-PC'!#REF!</definedName>
    <definedName name="gilad" localSheetId="4">[55]gilad!$A$1:$C$49,[55]gilad!$A$50:$C$87,[55]gilad!$A$89:$C$141,[55]gilad!$A$143:$E$157,[55]gilad!$E$1:$M$21</definedName>
    <definedName name="gilad">#REF!,#REF!,#REF!,#REF!,#REF!</definedName>
    <definedName name="gimmel">#REF!</definedName>
    <definedName name="Girokreditering" localSheetId="3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localSheetId="3" hidden="1">{#N/A,#N/A,FALSE,"Umsatz 99";#N/A,#N/A,FALSE,"ER 99 "}</definedName>
    <definedName name="gjh" hidden="1">{#N/A,#N/A,FALSE,"Umsatz 99";#N/A,#N/A,FALSE,"ER 99 "}</definedName>
    <definedName name="gjk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localSheetId="3" hidden="1">{"incomemth",#N/A,TRUE,"forecast00";"incomepercentmth",#N/A,TRUE,"forecast00";"balancemth",#N/A,TRUE,"forecast00";"cashmth",#N/A,TRUE,"forecast00";"covenantmth",#N/A,TRUE,"forecast00"}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localSheetId="3" hidden="1">{#N/A,#N/A,FALSE,"PMTABB";#N/A,#N/A,FALSE,"PMTABB"}</definedName>
    <definedName name="gk0901int" hidden="1">{#N/A,#N/A,FALSE,"PMTABB";#N/A,#N/A,FALSE,"PMTABB"}</definedName>
    <definedName name="gkj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 localSheetId="4">[18]Sensetivities!#REF!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localSheetId="3" hidden="1">{#N/A,#N/A,FALSE,"Pharm";#N/A,#N/A,FALSE,"WWCM"}</definedName>
    <definedName name="Global1" hidden="1">{#N/A,#N/A,FALSE,"Pharm";#N/A,#N/A,FALSE,"WWCM"}</definedName>
    <definedName name="Global1_1" localSheetId="3" hidden="1">{#N/A,#N/A,FALSE,"Pharm";#N/A,#N/A,FALSE,"WWCM"}</definedName>
    <definedName name="Global1_1" hidden="1">{#N/A,#N/A,FALSE,"Pharm";#N/A,#N/A,FALSE,"WWCM"}</definedName>
    <definedName name="Global1_2" localSheetId="3" hidden="1">{#N/A,#N/A,FALSE,"Pharm";#N/A,#N/A,FALSE,"WWCM"}</definedName>
    <definedName name="Global1_2" hidden="1">{#N/A,#N/A,FALSE,"Pharm";#N/A,#N/A,FALSE,"WWCM"}</definedName>
    <definedName name="Global1_3" localSheetId="3" hidden="1">{#N/A,#N/A,FALSE,"Pharm";#N/A,#N/A,FALSE,"WWCM"}</definedName>
    <definedName name="Global1_3" hidden="1">{#N/A,#N/A,FALSE,"Pharm";#N/A,#N/A,FALSE,"WWCM"}</definedName>
    <definedName name="Global1_4" localSheetId="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localSheetId="3" hidden="1">{"Page1",#N/A,FALSE,"CompCo";"Page2",#N/A,FALSE,"CompCo"}</definedName>
    <definedName name="globble" hidden="1">{"Page1",#N/A,FALSE,"CompCo";"Page2",#N/A,FALSE,"CompCo"}</definedName>
    <definedName name="glsglsglsl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arg">#REF!</definedName>
    <definedName name="GMBH" localSheetId="3" hidden="1">{#N/A,#N/A,FALSE,"Aging Summary";#N/A,#N/A,FALSE,"Ratio Analysis";#N/A,#N/A,FALSE,"Test 120 Day Accts";#N/A,#N/A,FALSE,"Tickmarks"}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localSheetId="3" hidden="1">{"Page1",#N/A,FALSE,"CompCo";"Page2",#N/A,FALSE,"CompCo"}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localSheetId="3" hidden="1">{"consolidated",#N/A,FALSE,"Sheet1";"cms",#N/A,FALSE,"Sheet1";"fse",#N/A,FALSE,"Sheet1"}</definedName>
    <definedName name="gods" hidden="1">{"consolidated",#N/A,FALSE,"Sheet1";"cms",#N/A,FALSE,"Sheet1";"fse",#N/A,FALSE,"Sheet1"}</definedName>
    <definedName name="GoIncomeChart">#N/A</definedName>
    <definedName name="gooch" localSheetId="3" hidden="1">{#N/A,#N/A,FALSE,"Projections";#N/A,#N/A,FALSE,"Multiples Valuation";#N/A,#N/A,FALSE,"LBO";#N/A,#N/A,FALSE,"Multiples_Sensitivity";#N/A,#N/A,FALSE,"Summary"}</definedName>
    <definedName name="gooch" hidden="1">{#N/A,#N/A,FALSE,"Projections";#N/A,#N/A,FALSE,"Multiples Valuation";#N/A,#N/A,FALSE,"LBO";#N/A,#N/A,FALSE,"Multiples_Sensitivity";#N/A,#N/A,FALSE,"Summary"}</definedName>
    <definedName name="goodbye" localSheetId="4" hidden="1">{#N/A,#N/A,FALSE,"A&amp;E";#N/A,#N/A,FALSE,"HighTop";#N/A,#N/A,FALSE,"JG";#N/A,#N/A,FALSE,"RI";#N/A,#N/A,FALSE,"woHT";#N/A,#N/A,FALSE,"woHT&amp;JG"}</definedName>
    <definedName name="goodbye" localSheetId="3" hidden="1">{#N/A,#N/A,FALSE,"A&amp;E";#N/A,#N/A,FALSE,"HighTop";#N/A,#N/A,FALSE,"JG";#N/A,#N/A,FALSE,"RI";#N/A,#N/A,FALSE,"woHT";#N/A,#N/A,FALSE,"woHT&amp;JG"}</definedName>
    <definedName name="goodbye" hidden="1">{#N/A,#N/A,FALSE,"A&amp;E";#N/A,#N/A,FALSE,"HighTop";#N/A,#N/A,FALSE,"JG";#N/A,#N/A,FALSE,"RI";#N/A,#N/A,FALSE,"woHT";#N/A,#N/A,FALSE,"woHT&amp;JG"}</definedName>
    <definedName name="goodwill" localSheetId="4">[159]השקעות!$AJ$21:$AJ$31,[159]השקעות!$AI$21:$AI$27,[159]השקעות!$AH$22:$AH$27,[159]השקעות!$AG$21:$AG$31,[159]השקעות!$AF$21:$AF$31,[159]השקעות!$AC$21:$AC$27,[159]השקעות!$AA$21:$AA$28,[159]השקעות!$Z$21:$Z$31,[159]השקעות!$W$21:$W$23,[159]השקעות!$W$27,[159]השקעות!$AH$36,[159]השקעות!$AI$36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'[15]ער"ז דוח מס:מיעוט'!$L$141:$BS$528</definedName>
    <definedName name="gqarefg" localSheetId="3" hidden="1">{#N/A,#N/A,FALSE,"PMTABB";#N/A,#N/A,FALSE,"PMTABB"}</definedName>
    <definedName name="gqarefg" hidden="1">{#N/A,#N/A,FALSE,"PMTABB";#N/A,#N/A,FALSE,"PMTABB"}</definedName>
    <definedName name="gr" localSheetId="3" hidden="1">{#N/A,#N/A,FALSE,"SUMMARY";#N/A,#N/A,FALSE,"SUMMARY"}</definedName>
    <definedName name="gr" hidden="1">{#N/A,#N/A,FALSE,"SUMMARY";#N/A,#N/A,FALSE,"SUMMARY"}</definedName>
    <definedName name="gr_25598_vp" localSheetId="3" hidden="1">{#N/A,#N/A,FALSE,"profile ";#N/A,#N/A,FALSE,"rank";#N/A,#N/A,FALSE,"overbase";#N/A,#N/A,FALSE,"overcash";#N/A,#N/A,FALSE,"overtfp";#N/A,#N/A,FALSE,"overtcc"}</definedName>
    <definedName name="gr_25598_vp" hidden="1">{#N/A,#N/A,FALSE,"profile ";#N/A,#N/A,FALSE,"rank";#N/A,#N/A,FALSE,"overbase";#N/A,#N/A,FALSE,"overcash";#N/A,#N/A,FALSE,"overtfp";#N/A,#N/A,FALSE,"overtcc"}</definedName>
    <definedName name="graham" localSheetId="3" hidden="1">{"ICD Details",#N/A,FALSE,"Current Yr";"ICD Details",#N/A,FALSE,"Budget";"ICD Details",#N/A,FALSE,"Prior Year"}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'[48]GL-PC'!#REF!</definedName>
    <definedName name="GrantType">#REF!</definedName>
    <definedName name="graph" localSheetId="3" hidden="1">{#N/A,#N/A,FALSE,"REPORT"}</definedName>
    <definedName name="graph" hidden="1">{#N/A,#N/A,FALSE,"REPORT"}</definedName>
    <definedName name="graph_1" localSheetId="3" hidden="1">{#N/A,#N/A,FALSE,"REPORT"}</definedName>
    <definedName name="graph_1" hidden="1">{#N/A,#N/A,FALSE,"REPORT"}</definedName>
    <definedName name="graph_2" localSheetId="3" hidden="1">{#N/A,#N/A,FALSE,"REPORT"}</definedName>
    <definedName name="graph_2" hidden="1">{#N/A,#N/A,FALSE,"REPORT"}</definedName>
    <definedName name="graph_3" localSheetId="3" hidden="1">{#N/A,#N/A,FALSE,"REPORT"}</definedName>
    <definedName name="graph_3" hidden="1">{#N/A,#N/A,FALSE,"REPORT"}</definedName>
    <definedName name="graph_4" localSheetId="3" hidden="1">{#N/A,#N/A,FALSE,"REPORT"}</definedName>
    <definedName name="graph_4" hidden="1">{#N/A,#N/A,FALSE,"REPORT"}</definedName>
    <definedName name="gregergege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 localSheetId="4">#REF!</definedName>
    <definedName name="Gross">1.175</definedName>
    <definedName name="gross_exhibit_letter">#REF!</definedName>
    <definedName name="Gross_Margin">#REF!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localSheetId="4" hidden="1">[160]KeyMultInputs!$AB$1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 localSheetId="4">'[161]Cf and Equity Calc'!#REF!</definedName>
    <definedName name="Growth">#REF!</definedName>
    <definedName name="growth.rates">#REF!</definedName>
    <definedName name="Growth_MABENO">#REF!</definedName>
    <definedName name="growth_rate">#REF!</definedName>
    <definedName name="Growth1" localSheetId="4">'[161]Cf and Equity Calc'!#REF!</definedName>
    <definedName name="Growth1">#REF!</definedName>
    <definedName name="Growth14" localSheetId="4">[77]COVER!#REF!</definedName>
    <definedName name="Growth14">#REF!</definedName>
    <definedName name="Growth15" localSheetId="4">[77]COVER!#REF!</definedName>
    <definedName name="Growth15">#REF!</definedName>
    <definedName name="Growth16" localSheetId="4">[77]COVER!#REF!</definedName>
    <definedName name="Growth16">#REF!</definedName>
    <definedName name="growth2005">#REF!</definedName>
    <definedName name="Growth2016" localSheetId="4">[77]COVER!#REF!</definedName>
    <definedName name="Growth2016">#REF!</definedName>
    <definedName name="grp16stb" localSheetId="3" hidden="1">{#N/A,#N/A,FALSE,"PMTABB";#N/A,#N/A,FALSE,"PMTABB"}</definedName>
    <definedName name="grp16stb" hidden="1">{#N/A,#N/A,FALSE,"PMTABB";#N/A,#N/A,FALSE,"PMTABB"}</definedName>
    <definedName name="grp16stb2" localSheetId="3" hidden="1">{#N/A,#N/A,FALSE,"PMTABB";#N/A,#N/A,FALSE,"PMTABB"}</definedName>
    <definedName name="grp16stb2" hidden="1">{#N/A,#N/A,FALSE,"PMTABB";#N/A,#N/A,FALSE,"PMTABB"}</definedName>
    <definedName name="GRPDEBTSPRD2">#REF!</definedName>
    <definedName name="gte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localSheetId="3" hidden="1">{"QTD_PACKAGE",#N/A,FALSE,"QTD"}</definedName>
    <definedName name="gty" hidden="1">{"QTD_PACKAGE",#N/A,FALSE,"QTD"}</definedName>
    <definedName name="guidanc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localSheetId="3" hidden="1">{#N/A,#N/A,FALSE,"ALM-ASISC"}</definedName>
    <definedName name="GW3QR53\" hidden="1">{#N/A,#N/A,FALSE,"ALM-ASISC"}</definedName>
    <definedName name="gwamort">#REF!</definedName>
    <definedName name="gwergwr" localSheetId="3" hidden="1">{#N/A,#N/A,FALSE,"ISBL"}</definedName>
    <definedName name="gwergwr" hidden="1">{#N/A,#N/A,FALSE,"ISBL"}</definedName>
    <definedName name="GWyears">40</definedName>
    <definedName name="H" localSheetId="4">'[1]טורים 98'!$HJ$247</definedName>
    <definedName name="h">#REF!</definedName>
    <definedName name="h.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localSheetId="3" hidden="1">{#N/A,#N/A,FALSE,"REPORT"}</definedName>
    <definedName name="h_1" hidden="1">{#N/A,#N/A,FALSE,"REPORT"}</definedName>
    <definedName name="h_2" localSheetId="3" hidden="1">{#N/A,#N/A,FALSE,"REPORT"}</definedName>
    <definedName name="h_2" hidden="1">{#N/A,#N/A,FALSE,"REPORT"}</definedName>
    <definedName name="h_3" localSheetId="3" hidden="1">{#N/A,#N/A,FALSE,"REPORT"}</definedName>
    <definedName name="h_3" hidden="1">{#N/A,#N/A,FALSE,"REPORT"}</definedName>
    <definedName name="h_4" localSheetId="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'[156]Figures from Company'!#REF!</definedName>
    <definedName name="hang">#REF!</definedName>
    <definedName name="HANNA">#REF!</definedName>
    <definedName name="happy" localSheetId="3" hidden="1">{#N/A,#N/A,FALSE,"3mos";#N/A,#N/A,FALSE,"dedicated"}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 localSheetId="4">'[43]HC &amp; COL'!$AJ$4:$AW$162</definedName>
    <definedName name="HC_ACT">#REF!</definedName>
    <definedName name="HC_BUD" localSheetId="4">'[43]HC &amp; COL'!$P$4:$AA$162</definedName>
    <definedName name="HC_BUD">#REF!</definedName>
    <definedName name="HC_INDEX" localSheetId="4">'[43]HC &amp; COL'!$K$4:$K$171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localSheetId="3" hidden="1">{"'Leading KPI'!$A$1:$P$33","'Leading KPI'!$A$1:$P$33"}</definedName>
    <definedName name="Headcount" hidden="1">{"'Leading KPI'!$A$1:$P$33","'Leading KPI'!$A$1:$P$33"}</definedName>
    <definedName name="headcount2" localSheetId="3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localSheetId="4" hidden="1">ROW('[142]Amortization Table'!$17:$17)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localSheetId="3" hidden="1">{#N/A,#N/A,FALSE,"Monthly"}</definedName>
    <definedName name="Healthcare" hidden="1">{#N/A,#N/A,FALSE,"Monthly"}</definedName>
    <definedName name="Healthcare1" localSheetId="3" hidden="1">{#N/A,#N/A,FALSE,"Monthly"}</definedName>
    <definedName name="Healthcare1" hidden="1">{#N/A,#N/A,FALSE,"Monthly"}</definedName>
    <definedName name="Heating">#REF!</definedName>
    <definedName name="hebesatz">#REF!</definedName>
    <definedName name="he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localSheetId="4" hidden="1">{"rtn",#N/A,FALSE,"RTN";"tables",#N/A,FALSE,"RTN";"cf",#N/A,FALSE,"CF";"stats",#N/A,FALSE,"Stats";"prop",#N/A,FALSE,"Prop"}</definedName>
    <definedName name="Hello" localSheetId="3" hidden="1">{"rtn",#N/A,FALSE,"RTN";"tables",#N/A,FALSE,"RTN";"cf",#N/A,FALSE,"CF";"stats",#N/A,FALSE,"Stats";"prop",#N/A,FALSE,"Prop"}</definedName>
    <definedName name="Hello" hidden="1">{"rtn",#N/A,FALSE,"RTN";"tables",#N/A,FALSE,"RTN";"cf",#N/A,FALSE,"CF";"stats",#N/A,FALSE,"Stats";"prop",#N/A,FALSE,"Prop"}</definedName>
    <definedName name="Hello_1" localSheetId="4" hidden="1">{"rtn",#N/A,FALSE,"RTN";"tables",#N/A,FALSE,"RTN";"cf",#N/A,FALSE,"CF";"stats",#N/A,FALSE,"Stats";"prop",#N/A,FALSE,"Prop"}</definedName>
    <definedName name="Hello_1" localSheetId="3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localSheetId="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localSheetId="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localSheetId="4" hidden="1">{"Outflow 1",#N/A,FALSE,"Outflows-Inflows";"Outflow 2",#N/A,FALSE,"Outflows-Inflows";"Inflow 1",#N/A,FALSE,"Outflows-Inflows";"Inflow 2",#N/A,FALSE,"Outflows-Inflows"}</definedName>
    <definedName name="heryyw" localSheetId="3" hidden="1">{"Outflow 1",#N/A,FALSE,"Outflows-Inflows";"Outflow 2",#N/A,FALSE,"Outflows-Inflows";"Inflow 1",#N/A,FALSE,"Outflows-Inflows";"Inflow 2",#N/A,FALSE,"Outflows-Inflows"}</definedName>
    <definedName name="heryyw" hidden="1">{"Outflow 1",#N/A,FALSE,"Outflows-Inflows";"Outflow 2",#N/A,FALSE,"Outflows-Inflows";"Inflow 1",#N/A,FALSE,"Outflows-Inflows";"Inflow 2",#N/A,FALSE,"Outflows-Inflows"}</definedName>
    <definedName name="heryyw_1" localSheetId="4" hidden="1">{"Outflow 1",#N/A,FALSE,"Outflows-Inflows";"Outflow 2",#N/A,FALSE,"Outflows-Inflows";"Inflow 1",#N/A,FALSE,"Outflows-Inflows";"Inflow 2",#N/A,FALSE,"Outflows-Inflows"}</definedName>
    <definedName name="heryyw_1" localSheetId="3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localSheetId="3" hidden="1">{#N/A,#N/A,FALSE,"3mos";#N/A,#N/A,FALSE,"dedicated"}</definedName>
    <definedName name="hey" hidden="1">{#N/A,#N/A,FALSE,"3mos";#N/A,#N/A,FALSE,"dedicated"}</definedName>
    <definedName name="hf" localSheetId="3" hidden="1">{"detail",#N/A,FALSE,"mfg";"summary",#N/A,FALSE,"mfg"}</definedName>
    <definedName name="hf" hidden="1">{"detail",#N/A,FALSE,"mfg";"summary",#N/A,FALSE,"mfg"}</definedName>
    <definedName name="hfdjfaijoie" localSheetId="3" hidden="1">{#N/A,#N/A,FALSE,"ALM-ASISC"}</definedName>
    <definedName name="hfdjfaijoie" hidden="1">{#N/A,#N/A,FALSE,"ALM-ASISC"}</definedName>
    <definedName name="HFGJM" localSheetId="3" hidden="1">{#N/A,#N/A,FALSE,"PGW"}</definedName>
    <definedName name="HFGJM" hidden="1">{#N/A,#N/A,FALSE,"PGW"}</definedName>
    <definedName name="HFinGraph" localSheetId="3" hidden="1">{#N/A,#N/A,FALSE,"Pharm";#N/A,#N/A,FALSE,"WWCM"}</definedName>
    <definedName name="HFinGraph" hidden="1">{#N/A,#N/A,FALSE,"Pharm";#N/A,#N/A,FALSE,"WWCM"}</definedName>
    <definedName name="HFinGraph_1" localSheetId="3" hidden="1">{#N/A,#N/A,FALSE,"Pharm";#N/A,#N/A,FALSE,"WWCM"}</definedName>
    <definedName name="HFinGraph_1" hidden="1">{#N/A,#N/A,FALSE,"Pharm";#N/A,#N/A,FALSE,"WWCM"}</definedName>
    <definedName name="HFinGraph_2" localSheetId="3" hidden="1">{#N/A,#N/A,FALSE,"Pharm";#N/A,#N/A,FALSE,"WWCM"}</definedName>
    <definedName name="HFinGraph_2" hidden="1">{#N/A,#N/A,FALSE,"Pharm";#N/A,#N/A,FALSE,"WWCM"}</definedName>
    <definedName name="HFinGraph_3" localSheetId="3" hidden="1">{#N/A,#N/A,FALSE,"Pharm";#N/A,#N/A,FALSE,"WWCM"}</definedName>
    <definedName name="HFinGraph_3" hidden="1">{#N/A,#N/A,FALSE,"Pharm";#N/A,#N/A,FALSE,"WWCM"}</definedName>
    <definedName name="HFinGraph_4" localSheetId="3" hidden="1">{#N/A,#N/A,FALSE,"Pharm";#N/A,#N/A,FALSE,"WWCM"}</definedName>
    <definedName name="HFinGraph_4" hidden="1">{#N/A,#N/A,FALSE,"Pharm";#N/A,#N/A,FALSE,"WWCM"}</definedName>
    <definedName name="hfr" localSheetId="3" hidden="1">{"table",#N/A,FALSE,"COVER";"income_statement",#N/A,FALSE,"COVER"}</definedName>
    <definedName name="hfr" hidden="1">{"table",#N/A,FALSE,"COVER";"income_statement",#N/A,FALSE,"COVER"}</definedName>
    <definedName name="hfssk" localSheetId="4" hidden="1">'[5]Herramientas para análisis-VBA'!#REF!</definedName>
    <definedName name="hfssk" hidden="1">#REF!</definedName>
    <definedName name="HFUJYT" localSheetId="3" hidden="1">{#N/A,#N/A,FALSE,"PMTABB";#N/A,#N/A,FALSE,"PMTABB"}</definedName>
    <definedName name="HFUJYT" hidden="1">{#N/A,#N/A,FALSE,"PMTABB";#N/A,#N/A,FALSE,"PMTABB"}</definedName>
    <definedName name="hg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localSheetId="3" hidden="1">{"BA detail",#N/A,FALSE,"Q3YTD "}</definedName>
    <definedName name="hgfd" hidden="1">{"BA detail",#N/A,FALSE,"Q3YTD "}</definedName>
    <definedName name="hgfhhfh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localSheetId="3" hidden="1">{#N/A,#N/A,FALSE,"Monthly"}</definedName>
    <definedName name="HGJ" hidden="1">{#N/A,#N/A,FALSE,"Monthly"}</definedName>
    <definedName name="hgjghjhhg" localSheetId="3" hidden="1">{#N/A,#N/A,FALSE,"Produkte Erw.";#N/A,#N/A,FALSE,"Produkte Plan";#N/A,#N/A,FALSE,"Leistungen Erw.";#N/A,#N/A,FALSE,"Leistungen Plan";#N/A,#N/A,FALSE,"KA Allg.Kosten (2)";#N/A,#N/A,FALSE,"KA All.Kosten"}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localSheetId="4" hidden="1">{#N/A,#N/A,FALSE,"חודשי"}</definedName>
    <definedName name="hgjjgj" localSheetId="3" hidden="1">{#N/A,#N/A,FALSE,"חודשי"}</definedName>
    <definedName name="hgjjgj" hidden="1">{#N/A,#N/A,FALSE,"חודשי"}</definedName>
    <definedName name="hgkh" localSheetId="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GMYGJ" localSheetId="3" hidden="1">{#N/A,#N/A,FALSE,"OSBL"}</definedName>
    <definedName name="HGMYGJ" hidden="1">{#N/A,#N/A,FALSE,"OSBL"}</definedName>
    <definedName name="hgr" localSheetId="3">{0,0,0,0;0,0,0,0;0,0,0,0}</definedName>
    <definedName name="hgr">{0,0,0,0;0,0,0,0;0,0,0,0}</definedName>
    <definedName name="hgwr" localSheetId="3" hidden="1">{#N/A,#N/A,FALSE,"PGW"}</definedName>
    <definedName name="hgwr" hidden="1">{#N/A,#N/A,FALSE,"PGW"}</definedName>
    <definedName name="HH">#REF!</definedName>
    <definedName name="hh.k" localSheetId="3" hidden="1">{#N/A,#N/A,FALSE,"KA CH  (2)"}</definedName>
    <definedName name="hh.k" hidden="1">{#N/A,#N/A,FALSE,"KA CH  (2)"}</definedName>
    <definedName name="hhgjghj" localSheetId="3">{"DCF1",#N/A,FALSE,"SIERRA DCF";"MATRIX1",#N/A,FALSE,"SIERRA DCF"}</definedName>
    <definedName name="hhgjghj">{"DCF1",#N/A,FALSE,"SIERRA DCF";"MATRIX1",#N/A,FALSE,"SIERRA DCF"}</definedName>
    <definedName name="hhgtrewq" localSheetId="4" hidden="1">{#N/A,#N/A,FALSE,"חודשי"}</definedName>
    <definedName name="hhgtrewq" localSheetId="3" hidden="1">{#N/A,#N/A,FALSE,"חודשי"}</definedName>
    <definedName name="hhgtrewq" hidden="1">{#N/A,#N/A,FALSE,"חודשי"}</definedName>
    <definedName name="hhh" localSheetId="4" hidden="1">{#N/A,#N/A,FALSE,"מאזן בוחן";"כל_מאזן_בוחן",#N/A,FALSE,"מאזן בוחן"}</definedName>
    <definedName name="hhh" localSheetId="3" hidden="1">{#N/A,#N/A,FALSE,"מאזן בוחן";"כל_מאזן_בוחן",#N/A,FALSE,"מאזן בוחן"}</definedName>
    <definedName name="hhh" hidden="1">{#N/A,#N/A,FALSE,"מאזן בוחן";"כל_מאזן_בוחן",#N/A,FALSE,"מאזן בוחן"}</definedName>
    <definedName name="hhh_1" localSheetId="4" hidden="1">{"Outflow 1",#N/A,FALSE,"Outflows-Inflows";"Outflow 2",#N/A,FALSE,"Outflows-Inflows";"Inflow 1",#N/A,FALSE,"Outflows-Inflows";"Inflow 2",#N/A,FALSE,"Outflows-Inflows"}</definedName>
    <definedName name="hhh_1" localSheetId="3" hidden="1">{"Outflow 1",#N/A,FALSE,"Outflows-Inflows";"Outflow 2",#N/A,FALSE,"Outflows-Inflows";"Inflow 1",#N/A,FALSE,"Outflows-Inflows";"Inflow 2",#N/A,FALSE,"Outflows-Inflows"}</definedName>
    <definedName name="hhh_1" hidden="1">{"Outflow 1",#N/A,FALSE,"Outflows-Inflows";"Outflow 2",#N/A,FALSE,"Outflows-Inflows";"Inflow 1",#N/A,FALSE,"Outflows-Inflows";"Inflow 2",#N/A,FALSE,"Outflows-Inflows"}</definedName>
    <definedName name="hhhh" localSheetId="3" hidden="1">{#N/A,#N/A,FALSE,"AD_Purchase";#N/A,#N/A,FALSE,"Credit";#N/A,#N/A,FALSE,"PF Acquisition";#N/A,#N/A,FALSE,"PF Offering"}</definedName>
    <definedName name="hhhh" hidden="1">{#N/A,#N/A,FALSE,"AD_Purchase";#N/A,#N/A,FALSE,"Credit";#N/A,#N/A,FALSE,"PF Acquisition";#N/A,#N/A,FALSE,"PF Offering"}</definedName>
    <definedName name="hhhhh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localSheetId="3" hidden="1">{#N/A,#N/A,FALSE,"Aging Summary";#N/A,#N/A,FALSE,"Ratio Analysis";#N/A,#N/A,FALSE,"Test 120 Day Accts";#N/A,#N/A,FALSE,"Tickmarks"}</definedName>
    <definedName name="hhhhhhh" hidden="1">{#N/A,#N/A,FALSE,"Aging Summary";#N/A,#N/A,FALSE,"Ratio Analysis";#N/A,#N/A,FALSE,"Test 120 Day Accts";#N/A,#N/A,FALSE,"Tickmarks"}</definedName>
    <definedName name="hhhhhhhhhhhhh" localSheetId="3" hidden="1">{"Page1",#N/A,FALSE,"CompCo";"Page2",#N/A,FALSE,"CompCo"}</definedName>
    <definedName name="hhhhhhhhhhhhh" hidden="1">{"Page1",#N/A,FALSE,"CompCo";"Page2",#N/A,FALSE,"CompCo"}</definedName>
    <definedName name="hhhsdf" localSheetId="3" hidden="1">{"up stand alones",#N/A,FALSE,"Acquiror"}</definedName>
    <definedName name="hhhsdf" hidden="1">{"up stand alones",#N/A,FALSE,"Acquiror"}</definedName>
    <definedName name="HHIhs" localSheetId="4" hidden="1">{"short1",#N/A,FALSE,"masmode";"short2",#N/A,FALSE,"masmode";"qtrres",#N/A,FALSE,"QTR. RES.";"sales",#N/A,FALSE,"Sales &amp; Market Share"}</definedName>
    <definedName name="HHIhs" localSheetId="3" hidden="1">{"short1",#N/A,FALSE,"masmode";"short2",#N/A,FALSE,"masmode";"qtrres",#N/A,FALSE,"QTR. RES.";"sales",#N/A,FALSE,"Sales &amp; Market Share"}</definedName>
    <definedName name="HHIhs" hidden="1">{"short1",#N/A,FALSE,"masmode";"short2",#N/A,FALSE,"masmode";"qtrres",#N/A,FALSE,"QTR. RES.";"sales",#N/A,FALSE,"Sales &amp; Market Share"}</definedName>
    <definedName name="hhj" localSheetId="3" hidden="1">{"table",#N/A,FALSE,"COVER";"income_statement",#N/A,FALSE,"COVER"}</definedName>
    <definedName name="hhj" hidden="1">{"table",#N/A,FALSE,"COVER";"income_statement",#N/A,FALSE,"COVER"}</definedName>
    <definedName name="hhj.ls" localSheetId="3" hidden="1">{#N/A,#N/A,FALSE,"Produkte Erw.";#N/A,#N/A,FALSE,"Produkte Plan";#N/A,#N/A,FALSE,"Leistungen Erw.";#N/A,#N/A,FALSE,"Leistungen Plan";#N/A,#N/A,FALSE,"KA Allg.Kosten (2)";#N/A,#N/A,FALSE,"KA All.Kosten"}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localSheetId="3">{"'Directory'!$A$72:$E$91"}</definedName>
    <definedName name="hi">{"'Directory'!$A$72:$E$91"}</definedName>
    <definedName name="Hibh" localSheetId="3" hidden="1">{#N/A,#N/A,FALSE,"Pharm";#N/A,#N/A,FALSE,"WWCM"}</definedName>
    <definedName name="Hibh" hidden="1">{#N/A,#N/A,FALSE,"Pharm";#N/A,#N/A,FALSE,"WWCM"}</definedName>
    <definedName name="Hibh_1" localSheetId="3" hidden="1">{#N/A,#N/A,FALSE,"Pharm";#N/A,#N/A,FALSE,"WWCM"}</definedName>
    <definedName name="Hibh_1" hidden="1">{#N/A,#N/A,FALSE,"Pharm";#N/A,#N/A,FALSE,"WWCM"}</definedName>
    <definedName name="Hibh_2" localSheetId="3" hidden="1">{#N/A,#N/A,FALSE,"Pharm";#N/A,#N/A,FALSE,"WWCM"}</definedName>
    <definedName name="Hibh_2" hidden="1">{#N/A,#N/A,FALSE,"Pharm";#N/A,#N/A,FALSE,"WWCM"}</definedName>
    <definedName name="Hibh_3" localSheetId="3" hidden="1">{#N/A,#N/A,FALSE,"Pharm";#N/A,#N/A,FALSE,"WWCM"}</definedName>
    <definedName name="Hibh_3" hidden="1">{#N/A,#N/A,FALSE,"Pharm";#N/A,#N/A,FALSE,"WWCM"}</definedName>
    <definedName name="Hibh_4" localSheetId="3" hidden="1">{#N/A,#N/A,FALSE,"Pharm";#N/A,#N/A,FALSE,"WWCM"}</definedName>
    <definedName name="Hibh_4" hidden="1">{#N/A,#N/A,FALSE,"Pharm";#N/A,#N/A,FALSE,"WWCM"}</definedName>
    <definedName name="HiddenRows" hidden="1">#REF!</definedName>
    <definedName name="High" localSheetId="3" hidden="1">{#N/A,#N/A,FALSE,"Pharm";#N/A,#N/A,FALSE,"WWCM"}</definedName>
    <definedName name="High" hidden="1">{#N/A,#N/A,FALSE,"Pharm";#N/A,#N/A,FALSE,"WWCM"}</definedName>
    <definedName name="High_1" localSheetId="3" hidden="1">{#N/A,#N/A,FALSE,"Pharm";#N/A,#N/A,FALSE,"WWCM"}</definedName>
    <definedName name="High_1" hidden="1">{#N/A,#N/A,FALSE,"Pharm";#N/A,#N/A,FALSE,"WWCM"}</definedName>
    <definedName name="High_2" localSheetId="3" hidden="1">{#N/A,#N/A,FALSE,"Pharm";#N/A,#N/A,FALSE,"WWCM"}</definedName>
    <definedName name="High_2" hidden="1">{#N/A,#N/A,FALSE,"Pharm";#N/A,#N/A,FALSE,"WWCM"}</definedName>
    <definedName name="High_3" localSheetId="3" hidden="1">{#N/A,#N/A,FALSE,"Pharm";#N/A,#N/A,FALSE,"WWCM"}</definedName>
    <definedName name="High_3" hidden="1">{#N/A,#N/A,FALSE,"Pharm";#N/A,#N/A,FALSE,"WWCM"}</definedName>
    <definedName name="High_4" localSheetId="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 localSheetId="3">{"'Directory'!$A$72:$E$91"}</definedName>
    <definedName name="hihi">{"'Directory'!$A$72:$E$91"}</definedName>
    <definedName name="hii" localSheetId="3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localSheetId="3" hidden="1">{"GTI monthly IS",#N/A,FALSE,"gti";#N/A,#N/A,FALSE,"gti"}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localSheetId="3" hidden="1">{#N/A,#N/A,FALSE,"Produkte Erw.";#N/A,#N/A,FALSE,"Produkte Plan";#N/A,#N/A,FALSE,"Leistungen Erw.";#N/A,#N/A,FALSE,"Leistungen Plan";#N/A,#N/A,FALSE,"KA Allg.Kosten (2)";#N/A,#N/A,FALSE,"KA All.Kosten"}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localSheetId="3" hidden="1">{"Polymers Details",#N/A,FALSE,"Current Yr";"Polymer Details",#N/A,FALSE,"Budget";"Polymer Details",#N/A,FALSE,"Prior Year"}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localSheetId="3" hidden="1">{#N/A,#N/A,FALSE,"Produkte Erw.";#N/A,#N/A,FALSE,"Produkte Plan";#N/A,#N/A,FALSE,"Leistungen Erw.";#N/A,#N/A,FALSE,"Leistungen Plan";#N/A,#N/A,FALSE,"KA Allg.Kosten (2)";#N/A,#N/A,FALSE,"KA All.Kosten"}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localSheetId="3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localSheetId="3" hidden="1">{#N/A,#N/A,FALSE,"Pharm";#N/A,#N/A,FALSE,"WWCM"}</definedName>
    <definedName name="hjhjffukfuk" hidden="1">{#N/A,#N/A,FALSE,"Pharm";#N/A,#N/A,FALSE,"WWCM"}</definedName>
    <definedName name="hjhjffukfuk_1" localSheetId="3" hidden="1">{#N/A,#N/A,FALSE,"Pharm";#N/A,#N/A,FALSE,"WWCM"}</definedName>
    <definedName name="hjhjffukfuk_1" hidden="1">{#N/A,#N/A,FALSE,"Pharm";#N/A,#N/A,FALSE,"WWCM"}</definedName>
    <definedName name="hjhjffukfuk_2" localSheetId="3" hidden="1">{#N/A,#N/A,FALSE,"Pharm";#N/A,#N/A,FALSE,"WWCM"}</definedName>
    <definedName name="hjhjffukfuk_2" hidden="1">{#N/A,#N/A,FALSE,"Pharm";#N/A,#N/A,FALSE,"WWCM"}</definedName>
    <definedName name="hjhjffukfuk_3" localSheetId="3" hidden="1">{#N/A,#N/A,FALSE,"Pharm";#N/A,#N/A,FALSE,"WWCM"}</definedName>
    <definedName name="hjhjffukfuk_3" hidden="1">{#N/A,#N/A,FALSE,"Pharm";#N/A,#N/A,FALSE,"WWCM"}</definedName>
    <definedName name="hjhjffukfuk_4" localSheetId="3" hidden="1">{#N/A,#N/A,FALSE,"Pharm";#N/A,#N/A,FALSE,"WWCM"}</definedName>
    <definedName name="hjhjffukfuk_4" hidden="1">{#N/A,#N/A,FALSE,"Pharm";#N/A,#N/A,FALSE,"WWCM"}</definedName>
    <definedName name="hjhjfkfukywrte" localSheetId="3" hidden="1">{#N/A,#N/A,FALSE,"Pharm";#N/A,#N/A,FALSE,"WWCM"}</definedName>
    <definedName name="hjhjfkfukywrte" hidden="1">{#N/A,#N/A,FALSE,"Pharm";#N/A,#N/A,FALSE,"WWCM"}</definedName>
    <definedName name="hjhjfkfukywrte_1" localSheetId="3" hidden="1">{#N/A,#N/A,FALSE,"Pharm";#N/A,#N/A,FALSE,"WWCM"}</definedName>
    <definedName name="hjhjfkfukywrte_1" hidden="1">{#N/A,#N/A,FALSE,"Pharm";#N/A,#N/A,FALSE,"WWCM"}</definedName>
    <definedName name="hjhjfkfukywrte_2" localSheetId="3" hidden="1">{#N/A,#N/A,FALSE,"Pharm";#N/A,#N/A,FALSE,"WWCM"}</definedName>
    <definedName name="hjhjfkfukywrte_2" hidden="1">{#N/A,#N/A,FALSE,"Pharm";#N/A,#N/A,FALSE,"WWCM"}</definedName>
    <definedName name="hjhjfkfukywrte_3" localSheetId="3" hidden="1">{#N/A,#N/A,FALSE,"Pharm";#N/A,#N/A,FALSE,"WWCM"}</definedName>
    <definedName name="hjhjfkfukywrte_3" hidden="1">{#N/A,#N/A,FALSE,"Pharm";#N/A,#N/A,FALSE,"WWCM"}</definedName>
    <definedName name="hjhjfkfukywrte_4" localSheetId="3" hidden="1">{#N/A,#N/A,FALSE,"Pharm";#N/A,#N/A,FALSE,"WWCM"}</definedName>
    <definedName name="hjhjfkfukywrte_4" hidden="1">{#N/A,#N/A,FALSE,"Pharm";#N/A,#N/A,FALSE,"WWCM"}</definedName>
    <definedName name="hjhjhjhjhj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localSheetId="3" hidden="1">{#N/A,#N/A,FALSE,"Pharm";#N/A,#N/A,FALSE,"WWCM"}</definedName>
    <definedName name="hjhkjkl" hidden="1">{#N/A,#N/A,FALSE,"Pharm";#N/A,#N/A,FALSE,"WWCM"}</definedName>
    <definedName name="hjhkjkl_1" localSheetId="3" hidden="1">{#N/A,#N/A,FALSE,"Pharm";#N/A,#N/A,FALSE,"WWCM"}</definedName>
    <definedName name="hjhkjkl_1" hidden="1">{#N/A,#N/A,FALSE,"Pharm";#N/A,#N/A,FALSE,"WWCM"}</definedName>
    <definedName name="hjhkjkl_2" localSheetId="3" hidden="1">{#N/A,#N/A,FALSE,"Pharm";#N/A,#N/A,FALSE,"WWCM"}</definedName>
    <definedName name="hjhkjkl_2" hidden="1">{#N/A,#N/A,FALSE,"Pharm";#N/A,#N/A,FALSE,"WWCM"}</definedName>
    <definedName name="hjhkjkl_3" localSheetId="3" hidden="1">{#N/A,#N/A,FALSE,"Pharm";#N/A,#N/A,FALSE,"WWCM"}</definedName>
    <definedName name="hjhkjkl_3" hidden="1">{#N/A,#N/A,FALSE,"Pharm";#N/A,#N/A,FALSE,"WWCM"}</definedName>
    <definedName name="hjhkjkl_4" localSheetId="3" hidden="1">{#N/A,#N/A,FALSE,"Pharm";#N/A,#N/A,FALSE,"WWCM"}</definedName>
    <definedName name="hjhkjkl_4" hidden="1">{#N/A,#N/A,FALSE,"Pharm";#N/A,#N/A,FALSE,"WWCM"}</definedName>
    <definedName name="hjjjkk" localSheetId="3" hidden="1">{#N/A,#N/A,FALSE,"REPORT"}</definedName>
    <definedName name="hjjjkk" hidden="1">{#N/A,#N/A,FALSE,"REPORT"}</definedName>
    <definedName name="hjjjkk_1" localSheetId="3" hidden="1">{#N/A,#N/A,FALSE,"REPORT"}</definedName>
    <definedName name="hjjjkk_1" hidden="1">{#N/A,#N/A,FALSE,"REPORT"}</definedName>
    <definedName name="hjjjkk_2" localSheetId="3" hidden="1">{#N/A,#N/A,FALSE,"REPORT"}</definedName>
    <definedName name="hjjjkk_2" hidden="1">{#N/A,#N/A,FALSE,"REPORT"}</definedName>
    <definedName name="hjjjkk_3" localSheetId="3" hidden="1">{#N/A,#N/A,FALSE,"REPORT"}</definedName>
    <definedName name="hjjjkk_3" hidden="1">{#N/A,#N/A,FALSE,"REPORT"}</definedName>
    <definedName name="hjjjkk_4" localSheetId="3" hidden="1">{#N/A,#N/A,FALSE,"REPORT"}</definedName>
    <definedName name="hjjjkk_4" hidden="1">{#N/A,#N/A,FALSE,"REPORT"}</definedName>
    <definedName name="hjjkk" localSheetId="3" hidden="1">{#N/A,#N/A,FALSE,"Pharm";#N/A,#N/A,FALSE,"WWCM"}</definedName>
    <definedName name="hjjkk" hidden="1">{#N/A,#N/A,FALSE,"Pharm";#N/A,#N/A,FALSE,"WWCM"}</definedName>
    <definedName name="hjjkk_1" localSheetId="3" hidden="1">{#N/A,#N/A,FALSE,"Pharm";#N/A,#N/A,FALSE,"WWCM"}</definedName>
    <definedName name="hjjkk_1" hidden="1">{#N/A,#N/A,FALSE,"Pharm";#N/A,#N/A,FALSE,"WWCM"}</definedName>
    <definedName name="hjjkk_2" localSheetId="3" hidden="1">{#N/A,#N/A,FALSE,"Pharm";#N/A,#N/A,FALSE,"WWCM"}</definedName>
    <definedName name="hjjkk_2" hidden="1">{#N/A,#N/A,FALSE,"Pharm";#N/A,#N/A,FALSE,"WWCM"}</definedName>
    <definedName name="hjjkk_3" localSheetId="3" hidden="1">{#N/A,#N/A,FALSE,"Pharm";#N/A,#N/A,FALSE,"WWCM"}</definedName>
    <definedName name="hjjkk_3" hidden="1">{#N/A,#N/A,FALSE,"Pharm";#N/A,#N/A,FALSE,"WWCM"}</definedName>
    <definedName name="hjjkk_4" localSheetId="3" hidden="1">{#N/A,#N/A,FALSE,"Pharm";#N/A,#N/A,FALSE,"WWCM"}</definedName>
    <definedName name="hjjkk_4" hidden="1">{#N/A,#N/A,FALSE,"Pharm";#N/A,#N/A,FALSE,"WWCM"}</definedName>
    <definedName name="hjk" localSheetId="3" hidden="1">{#N/A,#N/A,FALSE,"Umsatz 99";#N/A,#N/A,FALSE,"ER 99 "}</definedName>
    <definedName name="hjk" hidden="1">{#N/A,#N/A,FALSE,"Umsatz 99";#N/A,#N/A,FALSE,"ER 99 "}</definedName>
    <definedName name="hjk.l" localSheetId="3" hidden="1">{#N/A,#N/A,FALSE,"Produkte Erw.";#N/A,#N/A,FALSE,"Produkte Plan";#N/A,#N/A,FALSE,"Leistungen Erw.";#N/A,#N/A,FALSE,"Leistungen Plan";#N/A,#N/A,FALSE,"KA Allg.Kosten (2)";#N/A,#N/A,FALSE,"KA All.Kosten"}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localSheetId="3" hidden="1">{#N/A,#N/A,FALSE,"KA CH  (2)"}</definedName>
    <definedName name="hjkhjk" hidden="1">{#N/A,#N/A,FALSE,"KA CH  (2)"}</definedName>
    <definedName name="hjkjhk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localSheetId="3" hidden="1">{#N/A,#N/A,FALSE,"Pharm";#N/A,#N/A,FALSE,"WWCM"}</definedName>
    <definedName name="hjkk" hidden="1">{#N/A,#N/A,FALSE,"Pharm";#N/A,#N/A,FALSE,"WWCM"}</definedName>
    <definedName name="hjkk_1" localSheetId="3" hidden="1">{#N/A,#N/A,FALSE,"Pharm";#N/A,#N/A,FALSE,"WWCM"}</definedName>
    <definedName name="hjkk_1" hidden="1">{#N/A,#N/A,FALSE,"Pharm";#N/A,#N/A,FALSE,"WWCM"}</definedName>
    <definedName name="hjkk_2" localSheetId="3" hidden="1">{#N/A,#N/A,FALSE,"Pharm";#N/A,#N/A,FALSE,"WWCM"}</definedName>
    <definedName name="hjkk_2" hidden="1">{#N/A,#N/A,FALSE,"Pharm";#N/A,#N/A,FALSE,"WWCM"}</definedName>
    <definedName name="hjkk_3" localSheetId="3" hidden="1">{#N/A,#N/A,FALSE,"Pharm";#N/A,#N/A,FALSE,"WWCM"}</definedName>
    <definedName name="hjkk_3" hidden="1">{#N/A,#N/A,FALSE,"Pharm";#N/A,#N/A,FALSE,"WWCM"}</definedName>
    <definedName name="hjkk_4" localSheetId="3" hidden="1">{#N/A,#N/A,FALSE,"Pharm";#N/A,#N/A,FALSE,"WWCM"}</definedName>
    <definedName name="hjkk_4" hidden="1">{#N/A,#N/A,FALSE,"Pharm";#N/A,#N/A,FALSE,"WWCM"}</definedName>
    <definedName name="hjkl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localSheetId="3" hidden="1">{"Summary",#N/A,FALSE,"Summary";"Summary Diagnotics",#N/A,FALSE,"Summary"}</definedName>
    <definedName name="hjkuil" hidden="1">{"Summary",#N/A,FALSE,"Summary";"Summary Diagnotics",#N/A,FALSE,"Summary"}</definedName>
    <definedName name="hjkuil_1" localSheetId="3" hidden="1">{"Summary",#N/A,FALSE,"Summary";"Summary Diagnotics",#N/A,FALSE,"Summary"}</definedName>
    <definedName name="hjkuil_1" hidden="1">{"Summary",#N/A,FALSE,"Summary";"Summary Diagnotics",#N/A,FALSE,"Summary"}</definedName>
    <definedName name="hjkuil_1_1" localSheetId="3" hidden="1">{"Summary",#N/A,FALSE,"Summary";"Summary Diagnotics",#N/A,FALSE,"Summary"}</definedName>
    <definedName name="hjkuil_1_1" hidden="1">{"Summary",#N/A,FALSE,"Summary";"Summary Diagnotics",#N/A,FALSE,"Summary"}</definedName>
    <definedName name="hjkuil_1_2" localSheetId="3" hidden="1">{"Summary",#N/A,FALSE,"Summary";"Summary Diagnotics",#N/A,FALSE,"Summary"}</definedName>
    <definedName name="hjkuil_1_2" hidden="1">{"Summary",#N/A,FALSE,"Summary";"Summary Diagnotics",#N/A,FALSE,"Summary"}</definedName>
    <definedName name="hjkuil_1_3" localSheetId="3" hidden="1">{"Summary",#N/A,FALSE,"Summary";"Summary Diagnotics",#N/A,FALSE,"Summary"}</definedName>
    <definedName name="hjkuil_1_3" hidden="1">{"Summary",#N/A,FALSE,"Summary";"Summary Diagnotics",#N/A,FALSE,"Summary"}</definedName>
    <definedName name="hjkuil_1_4" localSheetId="3" hidden="1">{"Summary",#N/A,FALSE,"Summary";"Summary Diagnotics",#N/A,FALSE,"Summary"}</definedName>
    <definedName name="hjkuil_1_4" hidden="1">{"Summary",#N/A,FALSE,"Summary";"Summary Diagnotics",#N/A,FALSE,"Summary"}</definedName>
    <definedName name="hjkuil_1_5" localSheetId="3" hidden="1">{"Summary",#N/A,FALSE,"Summary";"Summary Diagnotics",#N/A,FALSE,"Summary"}</definedName>
    <definedName name="hjkuil_1_5" hidden="1">{"Summary",#N/A,FALSE,"Summary";"Summary Diagnotics",#N/A,FALSE,"Summary"}</definedName>
    <definedName name="hjkuil_2" localSheetId="3" hidden="1">{"Summary",#N/A,FALSE,"Summary";"Summary Diagnotics",#N/A,FALSE,"Summary"}</definedName>
    <definedName name="hjkuil_2" hidden="1">{"Summary",#N/A,FALSE,"Summary";"Summary Diagnotics",#N/A,FALSE,"Summary"}</definedName>
    <definedName name="hjkuil_2_1" localSheetId="3" hidden="1">{"Summary",#N/A,FALSE,"Summary";"Summary Diagnotics",#N/A,FALSE,"Summary"}</definedName>
    <definedName name="hjkuil_2_1" hidden="1">{"Summary",#N/A,FALSE,"Summary";"Summary Diagnotics",#N/A,FALSE,"Summary"}</definedName>
    <definedName name="hjkuil_2_2" localSheetId="3" hidden="1">{"Summary",#N/A,FALSE,"Summary";"Summary Diagnotics",#N/A,FALSE,"Summary"}</definedName>
    <definedName name="hjkuil_2_2" hidden="1">{"Summary",#N/A,FALSE,"Summary";"Summary Diagnotics",#N/A,FALSE,"Summary"}</definedName>
    <definedName name="hjkuil_2_3" localSheetId="3" hidden="1">{"Summary",#N/A,FALSE,"Summary";"Summary Diagnotics",#N/A,FALSE,"Summary"}</definedName>
    <definedName name="hjkuil_2_3" hidden="1">{"Summary",#N/A,FALSE,"Summary";"Summary Diagnotics",#N/A,FALSE,"Summary"}</definedName>
    <definedName name="hjkuil_2_4" localSheetId="3" hidden="1">{"Summary",#N/A,FALSE,"Summary";"Summary Diagnotics",#N/A,FALSE,"Summary"}</definedName>
    <definedName name="hjkuil_2_4" hidden="1">{"Summary",#N/A,FALSE,"Summary";"Summary Diagnotics",#N/A,FALSE,"Summary"}</definedName>
    <definedName name="hjkuil_2_5" localSheetId="3" hidden="1">{"Summary",#N/A,FALSE,"Summary";"Summary Diagnotics",#N/A,FALSE,"Summary"}</definedName>
    <definedName name="hjkuil_2_5" hidden="1">{"Summary",#N/A,FALSE,"Summary";"Summary Diagnotics",#N/A,FALSE,"Summary"}</definedName>
    <definedName name="hjkuil_3" localSheetId="3" hidden="1">{"Summary",#N/A,FALSE,"Summary";"Summary Diagnotics",#N/A,FALSE,"Summary"}</definedName>
    <definedName name="hjkuil_3" hidden="1">{"Summary",#N/A,FALSE,"Summary";"Summary Diagnotics",#N/A,FALSE,"Summary"}</definedName>
    <definedName name="hjkuil_3_1" localSheetId="3" hidden="1">{"Summary",#N/A,FALSE,"Summary";"Summary Diagnotics",#N/A,FALSE,"Summary"}</definedName>
    <definedName name="hjkuil_3_1" hidden="1">{"Summary",#N/A,FALSE,"Summary";"Summary Diagnotics",#N/A,FALSE,"Summary"}</definedName>
    <definedName name="hjkuil_3_2" localSheetId="3" hidden="1">{"Summary",#N/A,FALSE,"Summary";"Summary Diagnotics",#N/A,FALSE,"Summary"}</definedName>
    <definedName name="hjkuil_3_2" hidden="1">{"Summary",#N/A,FALSE,"Summary";"Summary Diagnotics",#N/A,FALSE,"Summary"}</definedName>
    <definedName name="hjkuil_3_3" localSheetId="3" hidden="1">{"Summary",#N/A,FALSE,"Summary";"Summary Diagnotics",#N/A,FALSE,"Summary"}</definedName>
    <definedName name="hjkuil_3_3" hidden="1">{"Summary",#N/A,FALSE,"Summary";"Summary Diagnotics",#N/A,FALSE,"Summary"}</definedName>
    <definedName name="hjkuil_3_4" localSheetId="3" hidden="1">{"Summary",#N/A,FALSE,"Summary";"Summary Diagnotics",#N/A,FALSE,"Summary"}</definedName>
    <definedName name="hjkuil_3_4" hidden="1">{"Summary",#N/A,FALSE,"Summary";"Summary Diagnotics",#N/A,FALSE,"Summary"}</definedName>
    <definedName name="hjkuil_3_5" localSheetId="3" hidden="1">{"Summary",#N/A,FALSE,"Summary";"Summary Diagnotics",#N/A,FALSE,"Summary"}</definedName>
    <definedName name="hjkuil_3_5" hidden="1">{"Summary",#N/A,FALSE,"Summary";"Summary Diagnotics",#N/A,FALSE,"Summary"}</definedName>
    <definedName name="hjkuil_4" localSheetId="3" hidden="1">{"Summary",#N/A,FALSE,"Summary";"Summary Diagnotics",#N/A,FALSE,"Summary"}</definedName>
    <definedName name="hjkuil_4" hidden="1">{"Summary",#N/A,FALSE,"Summary";"Summary Diagnotics",#N/A,FALSE,"Summary"}</definedName>
    <definedName name="hjkuil_4_1" localSheetId="3" hidden="1">{"Summary",#N/A,FALSE,"Summary";"Summary Diagnotics",#N/A,FALSE,"Summary"}</definedName>
    <definedName name="hjkuil_4_1" hidden="1">{"Summary",#N/A,FALSE,"Summary";"Summary Diagnotics",#N/A,FALSE,"Summary"}</definedName>
    <definedName name="hjkuil_4_2" localSheetId="3" hidden="1">{"Summary",#N/A,FALSE,"Summary";"Summary Diagnotics",#N/A,FALSE,"Summary"}</definedName>
    <definedName name="hjkuil_4_2" hidden="1">{"Summary",#N/A,FALSE,"Summary";"Summary Diagnotics",#N/A,FALSE,"Summary"}</definedName>
    <definedName name="hjkuil_4_3" localSheetId="3" hidden="1">{"Summary",#N/A,FALSE,"Summary";"Summary Diagnotics",#N/A,FALSE,"Summary"}</definedName>
    <definedName name="hjkuil_4_3" hidden="1">{"Summary",#N/A,FALSE,"Summary";"Summary Diagnotics",#N/A,FALSE,"Summary"}</definedName>
    <definedName name="hjkuil_4_4" localSheetId="3" hidden="1">{"Summary",#N/A,FALSE,"Summary";"Summary Diagnotics",#N/A,FALSE,"Summary"}</definedName>
    <definedName name="hjkuil_4_4" hidden="1">{"Summary",#N/A,FALSE,"Summary";"Summary Diagnotics",#N/A,FALSE,"Summary"}</definedName>
    <definedName name="hjkuil_4_5" localSheetId="3" hidden="1">{"Summary",#N/A,FALSE,"Summary";"Summary Diagnotics",#N/A,FALSE,"Summary"}</definedName>
    <definedName name="hjkuil_4_5" hidden="1">{"Summary",#N/A,FALSE,"Summary";"Summary Diagnotics",#N/A,FALSE,"Summary"}</definedName>
    <definedName name="hjkuil_5" localSheetId="3" hidden="1">{"Summary",#N/A,FALSE,"Summary";"Summary Diagnotics",#N/A,FALSE,"Summary"}</definedName>
    <definedName name="hjkuil_5" hidden="1">{"Summary",#N/A,FALSE,"Summary";"Summary Diagnotics",#N/A,FALSE,"Summary"}</definedName>
    <definedName name="hjkuil_5_1" localSheetId="3" hidden="1">{"Summary",#N/A,FALSE,"Summary";"Summary Diagnotics",#N/A,FALSE,"Summary"}</definedName>
    <definedName name="hjkuil_5_1" hidden="1">{"Summary",#N/A,FALSE,"Summary";"Summary Diagnotics",#N/A,FALSE,"Summary"}</definedName>
    <definedName name="hjkuil_5_2" localSheetId="3" hidden="1">{"Summary",#N/A,FALSE,"Summary";"Summary Diagnotics",#N/A,FALSE,"Summary"}</definedName>
    <definedName name="hjkuil_5_2" hidden="1">{"Summary",#N/A,FALSE,"Summary";"Summary Diagnotics",#N/A,FALSE,"Summary"}</definedName>
    <definedName name="hjkuil_5_3" localSheetId="3" hidden="1">{"Summary",#N/A,FALSE,"Summary";"Summary Diagnotics",#N/A,FALSE,"Summary"}</definedName>
    <definedName name="hjkuil_5_3" hidden="1">{"Summary",#N/A,FALSE,"Summary";"Summary Diagnotics",#N/A,FALSE,"Summary"}</definedName>
    <definedName name="hjkuil_5_4" localSheetId="3" hidden="1">{"Summary",#N/A,FALSE,"Summary";"Summary Diagnotics",#N/A,FALSE,"Summary"}</definedName>
    <definedName name="hjkuil_5_4" hidden="1">{"Summary",#N/A,FALSE,"Summary";"Summary Diagnotics",#N/A,FALSE,"Summary"}</definedName>
    <definedName name="hjkuil_5_5" localSheetId="3" hidden="1">{"Summary",#N/A,FALSE,"Summary";"Summary Diagnotics",#N/A,FALSE,"Summary"}</definedName>
    <definedName name="hjkuil_5_5" hidden="1">{"Summary",#N/A,FALSE,"Summary";"Summary Diagnotics",#N/A,FALSE,"Summary"}</definedName>
    <definedName name="hjyny" localSheetId="3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localSheetId="3" hidden="1">{#N/A,#N/A,FALSE,"REPORT"}</definedName>
    <definedName name="HKSH" hidden="1">{#N/A,#N/A,FALSE,"REPORT"}</definedName>
    <definedName name="HKSH_1" localSheetId="3" hidden="1">{#N/A,#N/A,FALSE,"REPORT"}</definedName>
    <definedName name="HKSH_1" hidden="1">{#N/A,#N/A,FALSE,"REPORT"}</definedName>
    <definedName name="HKSH_2" localSheetId="3" hidden="1">{#N/A,#N/A,FALSE,"REPORT"}</definedName>
    <definedName name="HKSH_2" hidden="1">{#N/A,#N/A,FALSE,"REPORT"}</definedName>
    <definedName name="HKSH_3" localSheetId="3" hidden="1">{#N/A,#N/A,FALSE,"REPORT"}</definedName>
    <definedName name="HKSH_3" hidden="1">{#N/A,#N/A,FALSE,"REPORT"}</definedName>
    <definedName name="HKSH_4" localSheetId="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localSheetId="3" hidden="1">{#N/A,#N/A,FALSE,"REPORT"}</definedName>
    <definedName name="HMG" hidden="1">{#N/A,#N/A,FALSE,"REPORT"}</definedName>
    <definedName name="HMG_1" localSheetId="3" hidden="1">{#N/A,#N/A,FALSE,"REPORT"}</definedName>
    <definedName name="HMG_1" hidden="1">{#N/A,#N/A,FALSE,"REPORT"}</definedName>
    <definedName name="HMG_2" localSheetId="3" hidden="1">{#N/A,#N/A,FALSE,"REPORT"}</definedName>
    <definedName name="HMG_2" hidden="1">{#N/A,#N/A,FALSE,"REPORT"}</definedName>
    <definedName name="HMG_3" localSheetId="3" hidden="1">{#N/A,#N/A,FALSE,"REPORT"}</definedName>
    <definedName name="HMG_3" hidden="1">{#N/A,#N/A,FALSE,"REPORT"}</definedName>
    <definedName name="HMG_4" localSheetId="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localSheetId="3" hidden="1">{"Pulp Production",#N/A,FALSE,"Pulp";"Pulp Earnings",#N/A,FALSE,"Pulp"}</definedName>
    <definedName name="ho" hidden="1">{"Pulp Production",#N/A,FALSE,"Pulp";"Pulp Earnings",#N/A,FALSE,"Pulp"}</definedName>
    <definedName name="hod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localSheetId="3" hidden="1">{"AR",#N/A,FALSE,"ASMGTSUM";"INV",#N/A,FALSE,"ASMGTSUM";"HCCOMP",#N/A,FALSE,"ASMGTSUM";"cap.depr",#N/A,FALSE,"ASMGTSUM"}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localSheetId="3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localSheetId="3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localSheetId="3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localSheetId="3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localSheetId="3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localSheetId="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localSheetId="3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localSheetId="3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localSheetId="3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localSheetId="3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localSheetId="3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localSheetId="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localSheetId="3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localSheetId="3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localSheetId="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localSheetId="3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localSheetId="3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localSheetId="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localSheetId="3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localSheetId="3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localSheetId="3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localSheetId="3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localSheetId="3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localSheetId="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localSheetId="3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localSheetId="3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localSheetId="3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localSheetId="3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localSheetId="3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localSheetId="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localSheetId="3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localSheetId="3" hidden="1">{#N/A,#N/A,FALSE,"PMTABB";#N/A,#N/A,FALSE,"PMTABB"}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localSheetId="3" hidden="1">{"'MIS format'!$B$2:$W$101"}</definedName>
    <definedName name="Horz" hidden="1">{"'MIS format'!$B$2:$W$101"}</definedName>
    <definedName name="hospital_dbf">#REF!</definedName>
    <definedName name="hospital_rcn">#REF!</definedName>
    <definedName name="Hospitality_in_Israel_Expense">'[48]GL-PC'!#REF!</definedName>
    <definedName name="Hosting__servers_Cogs_operation">'[48]GL-PC'!#REF!</definedName>
    <definedName name="Hosting__servers_R_D">'[48]GL-PC'!#REF!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localSheetId="4" hidden="1">{#N/A,#N/A,FALSE,"AD_Purchase";#N/A,#N/A,FALSE,"Credit";#N/A,#N/A,FALSE,"PF Acquisition";#N/A,#N/A,FALSE,"PF Offering"}</definedName>
    <definedName name="houy" localSheetId="3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uy_1" localSheetId="3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localSheetId="3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localSheetId="3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localSheetId="3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localSheetId="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localSheetId="3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localSheetId="3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localSheetId="3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localSheetId="3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localSheetId="3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localSheetId="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localSheetId="3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localSheetId="3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localSheetId="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localSheetId="3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localSheetId="3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localSheetId="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localSheetId="3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localSheetId="3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localSheetId="3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localSheetId="3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localSheetId="3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localSheetId="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localSheetId="3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localSheetId="3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localSheetId="3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localSheetId="3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localSheetId="3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localSheetId="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localSheetId="3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localSheetId="3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'[48]GL-PC'!#REF!</definedName>
    <definedName name="HR_Data">#REF!</definedName>
    <definedName name="HR_Platforms">'[48]GL-PC'!#REF!</definedName>
    <definedName name="hr_sum">#REF!</definedName>
    <definedName name="hre" localSheetId="3" hidden="1">{#N/A,#N/A,FALSE,"TOWNSHIP"}</definedName>
    <definedName name="hre" hidden="1">{#N/A,#N/A,FALSE,"TOWNSHIP"}</definedName>
    <definedName name="HRI">#REF!</definedName>
    <definedName name="HSS" localSheetId="3" hidden="1">{#N/A,#N/A,FALSE,"ALM-ASISC"}</definedName>
    <definedName name="HSS" hidden="1">{#N/A,#N/A,FALSE,"ALM-ASISC"}</definedName>
    <definedName name="hsv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 localSheetId="3">{"page1",#N/A,FALSE,"BHCOMPC5";"page2",#N/A,FALSE,"BHCOMPC5";"page3",#N/A,FALSE,"BHCOMPC5";"page4",#N/A,FALSE,"BHCOMPC5"}</definedName>
    <definedName name="htgrer">{"page1",#N/A,FALSE,"BHCOMPC5";"page2",#N/A,FALSE,"BHCOMPC5";"page3",#N/A,FALSE,"BHCOMPC5";"page4",#N/A,FALSE,"BHCOMPC5"}</definedName>
    <definedName name="hth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localSheetId="3" hidden="1">{"'debtors'!$A$1:$I$305","'debtors'!$A$1:$J$285"}</definedName>
    <definedName name="html" hidden="1">{"'debtors'!$A$1:$I$305","'debtors'!$A$1:$J$285"}</definedName>
    <definedName name="HTML_CodePage" hidden="1">1252</definedName>
    <definedName name="HTML_Control" localSheetId="4" hidden="1">{"'Aug Rev Area'!$A$4:$J$120"}</definedName>
    <definedName name="HTML_Control" localSheetId="3" hidden="1">{"'2ND_QUAR'!$A$1:$P$106"}</definedName>
    <definedName name="HTML_Control" hidden="1">{"'2ND_QUAR'!$A$1:$P$106"}</definedName>
    <definedName name="HTML_Control_1" localSheetId="4" hidden="1">{"'1-99'!$A$4:$H$37","'1-99'!$A$7:$H$26"}</definedName>
    <definedName name="HTML_Control_1" localSheetId="3">{"'Summary Long List'!$A$1:$H$20"}</definedName>
    <definedName name="HTML_Control_1">{"'Summary Long List'!$A$1:$H$20"}</definedName>
    <definedName name="HTML_Control_1_1" localSheetId="3">{"'Summary Long List'!$A$1:$H$20"}</definedName>
    <definedName name="HTML_Control_1_1">{"'Summary Long List'!$A$1:$H$20"}</definedName>
    <definedName name="HTML_Control_1_1_1" localSheetId="3">{"'Summary Long List'!$A$1:$H$20"}</definedName>
    <definedName name="HTML_Control_1_1_1">{"'Summary Long List'!$A$1:$H$20"}</definedName>
    <definedName name="HTML_Control_1_1_2" localSheetId="3">{"'Summary Long List'!$A$1:$H$20"}</definedName>
    <definedName name="HTML_Control_1_1_2">{"'Summary Long List'!$A$1:$H$20"}</definedName>
    <definedName name="HTML_Control_1_1_3" localSheetId="3">{"'Summary Long List'!$A$1:$H$20"}</definedName>
    <definedName name="HTML_Control_1_1_3">{"'Summary Long List'!$A$1:$H$20"}</definedName>
    <definedName name="HTML_Control_1_1_4" localSheetId="3">{"'Summary Long List'!$A$1:$H$20"}</definedName>
    <definedName name="HTML_Control_1_1_4">{"'Summary Long List'!$A$1:$H$20"}</definedName>
    <definedName name="HTML_Control_1_1_5" localSheetId="3">{"'Summary Long List'!$A$1:$H$20"}</definedName>
    <definedName name="HTML_Control_1_1_5">{"'Summary Long List'!$A$1:$H$20"}</definedName>
    <definedName name="HTML_Control_1_2" localSheetId="3">{"'Summary Long List'!$A$1:$H$20"}</definedName>
    <definedName name="HTML_Control_1_2">{"'Summary Long List'!$A$1:$H$20"}</definedName>
    <definedName name="HTML_Control_1_2_1" localSheetId="3">{"'Summary Long List'!$A$1:$H$20"}</definedName>
    <definedName name="HTML_Control_1_2_1">{"'Summary Long List'!$A$1:$H$20"}</definedName>
    <definedName name="HTML_Control_1_2_2" localSheetId="3">{"'Summary Long List'!$A$1:$H$20"}</definedName>
    <definedName name="HTML_Control_1_2_2">{"'Summary Long List'!$A$1:$H$20"}</definedName>
    <definedName name="HTML_Control_1_2_3" localSheetId="3">{"'Summary Long List'!$A$1:$H$20"}</definedName>
    <definedName name="HTML_Control_1_2_3">{"'Summary Long List'!$A$1:$H$20"}</definedName>
    <definedName name="HTML_Control_1_2_4" localSheetId="3">{"'Summary Long List'!$A$1:$H$20"}</definedName>
    <definedName name="HTML_Control_1_2_4">{"'Summary Long List'!$A$1:$H$20"}</definedName>
    <definedName name="HTML_Control_1_3" localSheetId="3">{"'Summary Long List'!$A$1:$H$20"}</definedName>
    <definedName name="HTML_Control_1_3">{"'Summary Long List'!$A$1:$H$20"}</definedName>
    <definedName name="HTML_Control_1_3_1" localSheetId="3">{"'Summary Long List'!$A$1:$H$20"}</definedName>
    <definedName name="HTML_Control_1_3_1">{"'Summary Long List'!$A$1:$H$20"}</definedName>
    <definedName name="HTML_Control_1_3_2" localSheetId="3">{"'Summary Long List'!$A$1:$H$20"}</definedName>
    <definedName name="HTML_Control_1_3_2">{"'Summary Long List'!$A$1:$H$20"}</definedName>
    <definedName name="HTML_Control_1_3_3" localSheetId="3">{"'Summary Long List'!$A$1:$H$20"}</definedName>
    <definedName name="HTML_Control_1_3_3">{"'Summary Long List'!$A$1:$H$20"}</definedName>
    <definedName name="HTML_Control_1_3_4" localSheetId="3">{"'Summary Long List'!$A$1:$H$20"}</definedName>
    <definedName name="HTML_Control_1_3_4">{"'Summary Long List'!$A$1:$H$20"}</definedName>
    <definedName name="HTML_Control_1_4" localSheetId="3">{"'Summary Long List'!$A$1:$H$20"}</definedName>
    <definedName name="HTML_Control_1_4">{"'Summary Long List'!$A$1:$H$20"}</definedName>
    <definedName name="HTML_Control_1_4_1" localSheetId="3">{"'Summary Long List'!$A$1:$H$20"}</definedName>
    <definedName name="HTML_Control_1_4_1">{"'Summary Long List'!$A$1:$H$20"}</definedName>
    <definedName name="HTML_Control_1_4_2" localSheetId="3">{"'Summary Long List'!$A$1:$H$20"}</definedName>
    <definedName name="HTML_Control_1_4_2">{"'Summary Long List'!$A$1:$H$20"}</definedName>
    <definedName name="HTML_Control_1_4_3" localSheetId="3">{"'Summary Long List'!$A$1:$H$20"}</definedName>
    <definedName name="HTML_Control_1_4_3">{"'Summary Long List'!$A$1:$H$20"}</definedName>
    <definedName name="HTML_Control_1_4_4" localSheetId="3">{"'Summary Long List'!$A$1:$H$20"}</definedName>
    <definedName name="HTML_Control_1_4_4">{"'Summary Long List'!$A$1:$H$20"}</definedName>
    <definedName name="HTML_Control_1_5" localSheetId="3">{"'Summary Long List'!$A$1:$H$20"}</definedName>
    <definedName name="HTML_Control_1_5">{"'Summary Long List'!$A$1:$H$20"}</definedName>
    <definedName name="HTML_Control_2" localSheetId="3">{"'Summary Long List'!$A$1:$H$20"}</definedName>
    <definedName name="HTML_Control_2">{"'Summary Long List'!$A$1:$H$20"}</definedName>
    <definedName name="HTML_Control_2_1" localSheetId="3">{"'Summary Long List'!$A$1:$H$20"}</definedName>
    <definedName name="HTML_Control_2_1">{"'Summary Long List'!$A$1:$H$20"}</definedName>
    <definedName name="HTML_Control_2_2" localSheetId="3">{"'Summary Long List'!$A$1:$H$20"}</definedName>
    <definedName name="HTML_Control_2_2">{"'Summary Long List'!$A$1:$H$20"}</definedName>
    <definedName name="HTML_Control_2_3" localSheetId="3">{"'Summary Long List'!$A$1:$H$20"}</definedName>
    <definedName name="HTML_Control_2_3">{"'Summary Long List'!$A$1:$H$20"}</definedName>
    <definedName name="HTML_Control_2_4" localSheetId="3">{"'Summary Long List'!$A$1:$H$20"}</definedName>
    <definedName name="HTML_Control_2_4">{"'Summary Long List'!$A$1:$H$20"}</definedName>
    <definedName name="HTML_Control_2_5" localSheetId="3">{"'Summary Long List'!$A$1:$H$20"}</definedName>
    <definedName name="HTML_Control_2_5">{"'Summary Long List'!$A$1:$H$20"}</definedName>
    <definedName name="HTML_Control_3" localSheetId="3">{"'Summary Long List'!$A$1:$H$20"}</definedName>
    <definedName name="HTML_Control_3">{"'Summary Long List'!$A$1:$H$20"}</definedName>
    <definedName name="HTML_Control_3_1" localSheetId="3">{"'Summary Long List'!$A$1:$H$20"}</definedName>
    <definedName name="HTML_Control_3_1">{"'Summary Long List'!$A$1:$H$20"}</definedName>
    <definedName name="HTML_Control_3_2" localSheetId="3">{"'Summary Long List'!$A$1:$H$20"}</definedName>
    <definedName name="HTML_Control_3_2">{"'Summary Long List'!$A$1:$H$20"}</definedName>
    <definedName name="HTML_Control_3_3" localSheetId="3">{"'Summary Long List'!$A$1:$H$20"}</definedName>
    <definedName name="HTML_Control_3_3">{"'Summary Long List'!$A$1:$H$20"}</definedName>
    <definedName name="HTML_Control_3_4" localSheetId="3">{"'Summary Long List'!$A$1:$H$20"}</definedName>
    <definedName name="HTML_Control_3_4">{"'Summary Long List'!$A$1:$H$20"}</definedName>
    <definedName name="HTML_Control_3_5" localSheetId="3" hidden="1">{"'2ND_QUAR'!$A$1:$P$106"}</definedName>
    <definedName name="HTML_Control_3_5" hidden="1">{"'2ND_QUAR'!$A$1:$P$106"}</definedName>
    <definedName name="HTML_Control_4" localSheetId="3">{"'Summary Long List'!$A$1:$H$20"}</definedName>
    <definedName name="HTML_Control_4">{"'Summary Long List'!$A$1:$H$20"}</definedName>
    <definedName name="HTML_Control_4_1" localSheetId="3">{"'Summary Long List'!$A$1:$H$20"}</definedName>
    <definedName name="HTML_Control_4_1">{"'Summary Long List'!$A$1:$H$20"}</definedName>
    <definedName name="HTML_Control_4_2" localSheetId="3">{"'Summary Long List'!$A$1:$H$20"}</definedName>
    <definedName name="HTML_Control_4_2">{"'Summary Long List'!$A$1:$H$20"}</definedName>
    <definedName name="HTML_Control_4_3" localSheetId="3">{"'Summary Long List'!$A$1:$H$20"}</definedName>
    <definedName name="HTML_Control_4_3">{"'Summary Long List'!$A$1:$H$20"}</definedName>
    <definedName name="HTML_Control_4_4" localSheetId="3">{"'Summary Long List'!$A$1:$H$20"}</definedName>
    <definedName name="HTML_Control_4_4">{"'Summary Long List'!$A$1:$H$20"}</definedName>
    <definedName name="HTML_Control_4_5" localSheetId="3" hidden="1">{"'2ND_QUAR'!$A$1:$P$106"}</definedName>
    <definedName name="HTML_Control_4_5" hidden="1">{"'2ND_QUAR'!$A$1:$P$106"}</definedName>
    <definedName name="HTML_Control_5" localSheetId="3">{"'Summary Long List'!$A$1:$H$20"}</definedName>
    <definedName name="HTML_Control_5">{"'Summary Long List'!$A$1:$H$20"}</definedName>
    <definedName name="HTML_Control_5_1" localSheetId="3" hidden="1">{"'2ND_QUAR'!$A$1:$P$106"}</definedName>
    <definedName name="HTML_Control_5_1" hidden="1">{"'2ND_QUAR'!$A$1:$P$106"}</definedName>
    <definedName name="HTML_Control_5_2" localSheetId="3" hidden="1">{"'2ND_QUAR'!$A$1:$P$106"}</definedName>
    <definedName name="HTML_Control_5_2" hidden="1">{"'2ND_QUAR'!$A$1:$P$106"}</definedName>
    <definedName name="HTML_Control_5_3" localSheetId="3" hidden="1">{"'2ND_QUAR'!$A$1:$P$106"}</definedName>
    <definedName name="HTML_Control_5_3" hidden="1">{"'2ND_QUAR'!$A$1:$P$106"}</definedName>
    <definedName name="HTML_Control_5_4" localSheetId="3" hidden="1">{"'2ND_QUAR'!$A$1:$P$106"}</definedName>
    <definedName name="HTML_Control_5_4" hidden="1">{"'2ND_QUAR'!$A$1:$P$106"}</definedName>
    <definedName name="HTML_Control_5_5" localSheetId="3" hidden="1">{"'2ND_QUAR'!$A$1:$P$106"}</definedName>
    <definedName name="HTML_Control_5_5" hidden="1">{"'2ND_QUAR'!$A$1:$P$106"}</definedName>
    <definedName name="HTML_Control_BS" localSheetId="3" hidden="1">{"'Sheet1'!$A$1:$L$21"}</definedName>
    <definedName name="HTML_Control_BS" hidden="1">{"'Sheet1'!$A$1:$L$21"}</definedName>
    <definedName name="HTML_control1" localSheetId="3">{"'August 2000'!$A$1:$J$101"}</definedName>
    <definedName name="HTML_control1">{"'August 2000'!$A$1:$J$101"}</definedName>
    <definedName name="html_control1_1" localSheetId="3" hidden="1">{"'Income Statement'!$D$96:$E$101"}</definedName>
    <definedName name="html_control1_1" hidden="1">{"'Income Statement'!$D$96:$E$101"}</definedName>
    <definedName name="HTML_Control2" localSheetId="3">{"'Sheet1'!$A$1:$O$40"}</definedName>
    <definedName name="HTML_Control2">{"'Sheet1'!$A$1:$O$40"}</definedName>
    <definedName name="HTML_Control3" localSheetId="3">{"'1-TheatreBkgs'!$A$1:$L$102"}</definedName>
    <definedName name="HTML_Control3">{"'1-TheatreBkgs'!$A$1:$L$102"}</definedName>
    <definedName name="HTML_Description" localSheetId="4" hidden="1">"COMPANY CONFIDENTIAL"</definedName>
    <definedName name="HTML_Description" hidden="1">""</definedName>
    <definedName name="HTML_Email" localSheetId="4" hidden="1">"mroberts"</definedName>
    <definedName name="HTML_Email" hidden="1">""</definedName>
    <definedName name="HTML_Header" localSheetId="4" hidden="1">"Aug Rev Area"</definedName>
    <definedName name="HTML_Header" hidden="1">"2ND_QUARTER   Houston Elevator P&amp;L"</definedName>
    <definedName name="HTML_LastUpdate" localSheetId="4" hidden="1">"8/27/97"</definedName>
    <definedName name="HTML_LastUpdate" hidden="1">"8/3/00"</definedName>
    <definedName name="HTML_LineAfter" localSheetId="4" hidden="1">TRUE</definedName>
    <definedName name="HTML_LineAfter" hidden="1">FALSE</definedName>
    <definedName name="HTML_LineBefore" localSheetId="4" hidden="1">FALSE</definedName>
    <definedName name="HTML_LineBefore" hidden="1">TRUE</definedName>
    <definedName name="HTML_Name" localSheetId="4" hidden="1">"Matt Roberts"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localSheetId="4" hidden="1">"E:\groups\Accounting\wwwi\0897 Revenue Detail.htm"</definedName>
    <definedName name="HTML_PathFile" hidden="1">"D:\Web_Pages\HPEQTR2.htm"</definedName>
    <definedName name="HTML_PathFileMac" localSheetId="4" hidden="1">"Macintosh HD:HomePageStuff:pc:datasets:implprem.html"</definedName>
    <definedName name="HTML_PathFileMac">"Macintosh HD:HomePageStuff:New_Home_Page:datafile:ctryprem.html"</definedName>
    <definedName name="HTML_PathTemplate">"H:\Intranet\exchrate.htm"</definedName>
    <definedName name="HTML_Title" localSheetId="4" hidden="1">"Q3RevDetail827"</definedName>
    <definedName name="HTML_Title" hidden="1">"HOUSTON_p&amp;l"</definedName>
    <definedName name="HTML1" localSheetId="3" hidden="1">{"'Trend_Total'!$A$7:$V$10","'Trend_Total'!$A$1:$V$4"}</definedName>
    <definedName name="HTML1" hidden="1">{"'Trend_Total'!$A$7:$V$10","'Trend_Total'!$A$1:$V$4"}</definedName>
    <definedName name="HTML1_1" localSheetId="4" hidden="1">"[RiskPremiumUS]Sheet1!$A$1:$M$38"</definedName>
    <definedName name="HTML1_1" hidden="1">"'[Financials V2.01 Sub Sales Excite 4.xls]Income Statement'!$B$1:$AA$38"</definedName>
    <definedName name="HTML1_10" localSheetId="4" hidden="1">""</definedName>
    <definedName name="HTML1_10">"JDDonath@dow.com"</definedName>
    <definedName name="HTML1_11">1</definedName>
    <definedName name="HTML1_12" localSheetId="4" hidden="1">"Zip 100:New_Home_Page:datafile:implpr.html"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 localSheetId="4" hidden="1">"RiskPremiumUS"</definedName>
    <definedName name="HTML1_3">"Energiepreise Schk"</definedName>
    <definedName name="HTML1_4" localSheetId="4" hidden="1">"Implied Risk Premiums for US"</definedName>
    <definedName name="HTML1_4">"110 KV"</definedName>
    <definedName name="HTML1_5">""</definedName>
    <definedName name="HTML1_6">-4146</definedName>
    <definedName name="HTML1_7">-4146</definedName>
    <definedName name="HTML1_8" localSheetId="4" hidden="1">"3/19/97"</definedName>
    <definedName name="HTML1_8">"10.03.99"</definedName>
    <definedName name="HTML1_9" localSheetId="4" hidden="1">"Aswath Damodaran"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 localSheetId="4" hidden="1">"NDX Daily Cash Report"</definedName>
    <definedName name="HTML6_3">""</definedName>
    <definedName name="HTML6_4" localSheetId="4" hidden="1">"NDX Lockbox Cash"</definedName>
    <definedName name="HTML6_4">""</definedName>
    <definedName name="HTML6_5">""</definedName>
    <definedName name="HTML6_6">-4146</definedName>
    <definedName name="HTML6_7">-4146</definedName>
    <definedName name="HTML6_8" localSheetId="4" hidden="1">"11/2/98"</definedName>
    <definedName name="HTML6_8">""</definedName>
    <definedName name="HTML6_9" localSheetId="4" hidden="1">"Nicole Covone"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 localSheetId="4" hidden="1">"NDX Daily Cash Report"</definedName>
    <definedName name="HTML7_3">""</definedName>
    <definedName name="HTML7_4" localSheetId="4" hidden="1">"NDX Lockbox Cash"</definedName>
    <definedName name="HTML7_4">""</definedName>
    <definedName name="HTML7_5">""</definedName>
    <definedName name="HTML7_6">-4146</definedName>
    <definedName name="HTML7_7">-4146</definedName>
    <definedName name="HTML7_8" localSheetId="4" hidden="1">"12/1/98"</definedName>
    <definedName name="HTML7_8">""</definedName>
    <definedName name="HTML7_9" localSheetId="4" hidden="1">"Nicole Covone"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 localSheetId="4" hidden="1">"NDX Daily Cash Report"</definedName>
    <definedName name="HTML8_3">""</definedName>
    <definedName name="HTML8_4" localSheetId="4" hidden="1">"NDX Lockbox Cash"</definedName>
    <definedName name="HTML8_4">""</definedName>
    <definedName name="HTML8_5">""</definedName>
    <definedName name="HTML8_6">-4146</definedName>
    <definedName name="HTML8_7">-4146</definedName>
    <definedName name="HTML8_8" localSheetId="4" hidden="1">"1/4/99"</definedName>
    <definedName name="HTML8_8">""</definedName>
    <definedName name="HTML8_9" localSheetId="4" hidden="1">"Nicole Covone"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 localSheetId="4" hidden="1">"NDX Daily Cash Report"</definedName>
    <definedName name="HTML9_3">""</definedName>
    <definedName name="HTML9_4" localSheetId="4" hidden="1">"NDX Lockbox Cash"</definedName>
    <definedName name="HTML9_4">""</definedName>
    <definedName name="HTML9_5">""</definedName>
    <definedName name="HTML9_6">-4146</definedName>
    <definedName name="HTML9_7">-4146</definedName>
    <definedName name="HTML9_8" localSheetId="4" hidden="1">"1/7/99"</definedName>
    <definedName name="HTML9_8">""</definedName>
    <definedName name="HTML9_9" localSheetId="4" hidden="1">"Nicole Covone"</definedName>
    <definedName name="HTML9_9">""</definedName>
    <definedName name="HTMLControl" localSheetId="3" hidden="1">{"'Edit'!$A$1:$V$2277"}</definedName>
    <definedName name="HTMLControl" hidden="1">{"'Edit'!$A$1:$V$2277"}</definedName>
    <definedName name="HTMLCount">1</definedName>
    <definedName name="htyuityuiotio" localSheetId="3" hidden="1">{#N/A,#N/A,FALSE,"REPORT"}</definedName>
    <definedName name="htyuityuiotio" hidden="1">{#N/A,#N/A,FALSE,"REPORT"}</definedName>
    <definedName name="htyuityuiotio_1" localSheetId="3" hidden="1">{#N/A,#N/A,FALSE,"REPORT"}</definedName>
    <definedName name="htyuityuiotio_1" hidden="1">{#N/A,#N/A,FALSE,"REPORT"}</definedName>
    <definedName name="htyuityuiotio_2" localSheetId="3" hidden="1">{#N/A,#N/A,FALSE,"REPORT"}</definedName>
    <definedName name="htyuityuiotio_2" hidden="1">{#N/A,#N/A,FALSE,"REPORT"}</definedName>
    <definedName name="htyuityuiotio_3" localSheetId="3" hidden="1">{#N/A,#N/A,FALSE,"REPORT"}</definedName>
    <definedName name="htyuityuiotio_3" hidden="1">{#N/A,#N/A,FALSE,"REPORT"}</definedName>
    <definedName name="htyuityuiotio_4" localSheetId="3" hidden="1">{#N/A,#N/A,FALSE,"REPORT"}</definedName>
    <definedName name="htyuityuiotio_4" hidden="1">{#N/A,#N/A,FALSE,"REPORT"}</definedName>
    <definedName name="hu">#REF!</definedName>
    <definedName name="Hufsha">#REF!</definedName>
    <definedName name="huh" localSheetId="3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localSheetId="3" hidden="1">{"Cover",#N/A,FALSE,"Cover";"Summary",#N/A,FALSE,"Summarpage"}</definedName>
    <definedName name="Huh?" hidden="1">{"Cover",#N/A,FALSE,"Cover";"Summary",#N/A,FALSE,"Summarpage"}</definedName>
    <definedName name="hui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 localSheetId="3">{"'NPCGUIDELINES'!$A$1:$J$41"}</definedName>
    <definedName name="huiahduha">{"'NPCGUIDELINES'!$A$1:$J$41"}</definedName>
    <definedName name="Humana_CAD_August">#REF!</definedName>
    <definedName name="huy" localSheetId="3">{"'Sheet1'!$L$16"}</definedName>
    <definedName name="huy">{"'Sheet1'!$L$16"}</definedName>
    <definedName name="hw" localSheetId="3" hidden="1">{"sales growth",#N/A,FALSE,"summary";"oper income",#N/A,FALSE,"summary";"oros rank",#N/A,FALSE,"summary";"net assets",#N/A,FALSE,"summary";"asset turnover",#N/A,FALSE,"summary";"orona",#N/A,FALSE,"summary"}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localSheetId="3" hidden="1">{#N/A,#N/A,FALSE,"Pharm";#N/A,#N/A,FALSE,"WWCM"}</definedName>
    <definedName name="Hypertention" hidden="1">{#N/A,#N/A,FALSE,"Pharm";#N/A,#N/A,FALSE,"WWCM"}</definedName>
    <definedName name="Hypertention_1" localSheetId="3" hidden="1">{#N/A,#N/A,FALSE,"Pharm";#N/A,#N/A,FALSE,"WWCM"}</definedName>
    <definedName name="Hypertention_1" hidden="1">{#N/A,#N/A,FALSE,"Pharm";#N/A,#N/A,FALSE,"WWCM"}</definedName>
    <definedName name="Hypertention_2" localSheetId="3" hidden="1">{#N/A,#N/A,FALSE,"Pharm";#N/A,#N/A,FALSE,"WWCM"}</definedName>
    <definedName name="Hypertention_2" hidden="1">{#N/A,#N/A,FALSE,"Pharm";#N/A,#N/A,FALSE,"WWCM"}</definedName>
    <definedName name="Hypertention_3" localSheetId="3" hidden="1">{#N/A,#N/A,FALSE,"Pharm";#N/A,#N/A,FALSE,"WWCM"}</definedName>
    <definedName name="Hypertention_3" hidden="1">{#N/A,#N/A,FALSE,"Pharm";#N/A,#N/A,FALSE,"WWCM"}</definedName>
    <definedName name="Hypertention_4" localSheetId="3" hidden="1">{#N/A,#N/A,FALSE,"Pharm";#N/A,#N/A,FALSE,"WWCM"}</definedName>
    <definedName name="Hypertention_4" hidden="1">{#N/A,#N/A,FALSE,"Pharm";#N/A,#N/A,FALSE,"WWCM"}</definedName>
    <definedName name="hypo" localSheetId="3" hidden="1">{#N/A,#N/A,FALSE,"Pharm";#N/A,#N/A,FALSE,"WWCM"}</definedName>
    <definedName name="hypo" hidden="1">{#N/A,#N/A,FALSE,"Pharm";#N/A,#N/A,FALSE,"WWCM"}</definedName>
    <definedName name="hypo_1" localSheetId="3" hidden="1">{#N/A,#N/A,FALSE,"Pharm";#N/A,#N/A,FALSE,"WWCM"}</definedName>
    <definedName name="hypo_1" hidden="1">{#N/A,#N/A,FALSE,"Pharm";#N/A,#N/A,FALSE,"WWCM"}</definedName>
    <definedName name="hypo_2" localSheetId="3" hidden="1">{#N/A,#N/A,FALSE,"Pharm";#N/A,#N/A,FALSE,"WWCM"}</definedName>
    <definedName name="hypo_2" hidden="1">{#N/A,#N/A,FALSE,"Pharm";#N/A,#N/A,FALSE,"WWCM"}</definedName>
    <definedName name="hypo_3" localSheetId="3" hidden="1">{#N/A,#N/A,FALSE,"Pharm";#N/A,#N/A,FALSE,"WWCM"}</definedName>
    <definedName name="hypo_3" hidden="1">{#N/A,#N/A,FALSE,"Pharm";#N/A,#N/A,FALSE,"WWCM"}</definedName>
    <definedName name="hypo_4" localSheetId="3" hidden="1">{#N/A,#N/A,FALSE,"Pharm";#N/A,#N/A,FALSE,"WWCM"}</definedName>
    <definedName name="hypo_4" hidden="1">{#N/A,#N/A,FALSE,"Pharm";#N/A,#N/A,FALSE,"WWCM"}</definedName>
    <definedName name="hyt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localSheetId="3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4">#REF!</definedName>
    <definedName name="i" localSheetId="3">{"DCF1",#N/A,FALSE,"SIERRA DCF";"MATRIX1",#N/A,FALSE,"SIERRA DCF"}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localSheetId="3" hidden="1">{"detail",#N/A,FALSE,"mfg";"summary",#N/A,FALSE,"mfg"}</definedName>
    <definedName name="ibnjks" hidden="1">{"detail",#N/A,FALSE,"mfg";"summary",#N/A,FALSE,"mfg"}</definedName>
    <definedName name="IC" localSheetId="4">'[112]Data Carlsrom'!$B$5:$C$260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 localSheetId="4">'[98]Parameters '!$M$3</definedName>
    <definedName name="Id">#REF!</definedName>
    <definedName name="Identifier" localSheetId="3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localSheetId="3" hidden="1">{#N/A,#N/A,FALSE,"Sheet1";#N/A,#N/A,FALSE,"Summary";#N/A,#N/A,FALSE,"proj1";#N/A,#N/A,FALSE,"proj2"}</definedName>
    <definedName name="iii" hidden="1">{#N/A,#N/A,FALSE,"Sheet1";#N/A,#N/A,FALSE,"Summary";#N/A,#N/A,FALSE,"proj1";#N/A,#N/A,FALSE,"proj2"}</definedName>
    <definedName name="iiii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localSheetId="3" hidden="1">{#N/A,#N/A,FALSE,"Detailed";#N/A,#N/A,FALSE,"Total";#N/A,#N/A,FALSE,"Detailed (2)"}</definedName>
    <definedName name="iiir" hidden="1">{#N/A,#N/A,FALSE,"Detailed";#N/A,#N/A,FALSE,"Total";#N/A,#N/A,FALSE,"Detailed (2)"}</definedName>
    <definedName name="iiir_1" localSheetId="3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localSheetId="3" hidden="1">{#N/A,#N/A,FALSE,"TSUM";#N/A,#N/A,FALSE,"shares";#N/A,#N/A,FALSE,"earnout";#N/A,#N/A,FALSE,"Heaty";#N/A,#N/A,FALSE,"self-tend";#N/A,#N/A,FALSE,"self-sum"}</definedName>
    <definedName name="iioo" hidden="1">{#N/A,#N/A,FALSE,"TSUM";#N/A,#N/A,FALSE,"shares";#N/A,#N/A,FALSE,"earnout";#N/A,#N/A,FALSE,"Heaty";#N/A,#N/A,FALSE,"self-tend";#N/A,#N/A,FALSE,"self-sum"}</definedName>
    <definedName name="ijhgdbdb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localSheetId="3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joi" localSheetId="3" hidden="1">{#N/A,#N/A,FALSE,"Produkte Erw.";#N/A,#N/A,FALSE,"Produkte Plan";#N/A,#N/A,FALSE,"Leistungen Erw.";#N/A,#N/A,FALSE,"Leistungen Plan";#N/A,#N/A,FALSE,"KA Allg.Kosten (2)";#N/A,#N/A,FALSE,"KA All.Kosten"}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localSheetId="3" hidden="1">{"detail",#N/A,FALSE,"mfg";"summary",#N/A,FALSE,"mfg"}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localSheetId="3" hidden="1">{"FINSUM",#N/A,FALSE,"SUMMARY"}</definedName>
    <definedName name="imagecast" hidden="1">{"FINSUM",#N/A,FALSE,"SUMMARY"}</definedName>
    <definedName name="Imagyn" localSheetId="3" hidden="1">{#N/A,#N/A,FALSE,"Projections";#N/A,#N/A,FALSE,"Multiples Valuation";#N/A,#N/A,FALSE,"LBO";#N/A,#N/A,FALSE,"Multiples_Sensitivity";#N/A,#N/A,FALSE,"Summary"}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 localSheetId="4">'[90]Page 304'!$B$13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'[48]GL-PC'!#REF!</definedName>
    <definedName name="Income_Tax_Rate">#REF!</definedName>
    <definedName name="incomeQ">#REF!</definedName>
    <definedName name="IncomeTaxes">#REF!</definedName>
    <definedName name="Incoming_Freight_Expense">'[48]GL-PC'!#REF!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[162]אינדקס!$A$2:$C$251</definedName>
    <definedName name="Index_urb">#REF!</definedName>
    <definedName name="Indexation1" localSheetId="4">[163]Input_Portfolio!$D$16</definedName>
    <definedName name="Indexation1">#REF!</definedName>
    <definedName name="Indexation10" localSheetId="4">[163]Input_Portfolio!$M$16</definedName>
    <definedName name="Indexation10">#REF!</definedName>
    <definedName name="Indexation11" localSheetId="4">[163]Input_Portfolio!$N$16</definedName>
    <definedName name="Indexation11">#REF!</definedName>
    <definedName name="Indexation12" localSheetId="4">[163]Input_Portfolio!$O$16</definedName>
    <definedName name="Indexation12">#REF!</definedName>
    <definedName name="Indexation13" localSheetId="4">[163]Input_Portfolio!$P$16</definedName>
    <definedName name="Indexation13">#REF!</definedName>
    <definedName name="Indexation14" localSheetId="4">[163]Input_Portfolio!$Q$16</definedName>
    <definedName name="Indexation14">#REF!</definedName>
    <definedName name="Indexation15" localSheetId="4">[163]Input_Portfolio!$R$16</definedName>
    <definedName name="Indexation15">#REF!</definedName>
    <definedName name="Indexation16" localSheetId="4">[163]Input_Portfolio!$S$16</definedName>
    <definedName name="Indexation16">#REF!</definedName>
    <definedName name="Indexation17" localSheetId="4">[163]Input_Portfolio!$T$16</definedName>
    <definedName name="Indexation17">#REF!</definedName>
    <definedName name="Indexation18" localSheetId="4">[163]Input_Portfolio!$U$16</definedName>
    <definedName name="Indexation18">#REF!</definedName>
    <definedName name="Indexation19" localSheetId="4">[163]Input_Portfolio!$V$16</definedName>
    <definedName name="Indexation19">#REF!</definedName>
    <definedName name="Indexation2" localSheetId="4">[163]Input_Portfolio!$E$16</definedName>
    <definedName name="Indexation2">#REF!</definedName>
    <definedName name="Indexation20" localSheetId="4">[163]Input_Portfolio!$W$16</definedName>
    <definedName name="Indexation20">#REF!</definedName>
    <definedName name="Indexation3" localSheetId="4">[163]Input_Portfolio!$F$16</definedName>
    <definedName name="Indexation3">#REF!</definedName>
    <definedName name="Indexation4" localSheetId="4">[163]Input_Portfolio!$G$16</definedName>
    <definedName name="Indexation4">#REF!</definedName>
    <definedName name="Indexation5" localSheetId="4">[163]Input_Portfolio!$H$16</definedName>
    <definedName name="Indexation5">#REF!</definedName>
    <definedName name="Indexation6" localSheetId="4">[163]Input_Portfolio!$I$16</definedName>
    <definedName name="Indexation6">#REF!</definedName>
    <definedName name="Indexation7" localSheetId="4">[163]Input_Portfolio!$J$16</definedName>
    <definedName name="Indexation7">#REF!</definedName>
    <definedName name="Indexation8" localSheetId="4">[163]Input_Portfolio!$K$16</definedName>
    <definedName name="Indexation8">#REF!</definedName>
    <definedName name="Indexation9" localSheetId="4">[163]Input_Portfolio!$L$16</definedName>
    <definedName name="Indexation9">#REF!</definedName>
    <definedName name="INDFINC">#REF!</definedName>
    <definedName name="INDTVAL">#REF!</definedName>
    <definedName name="Industries">#REF!</definedName>
    <definedName name="industry" localSheetId="4">[164]ASSUMPTIONS!$E$10</definedName>
    <definedName name="industry">#REF!</definedName>
    <definedName name="IndustryGroup">#REF!</definedName>
    <definedName name="Infgod" localSheetId="4" hidden="1">{"monthlyunits",#N/A,FALSE,"openings"}</definedName>
    <definedName name="Infgod" localSheetId="3" hidden="1">{"monthlyunits",#N/A,FALSE,"openings"}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localSheetId="4" hidden="1">{"quartfin",#N/A,FALSE,"quartfin"}</definedName>
    <definedName name="Infosed" localSheetId="3" hidden="1">{"quartfin",#N/A,FALSE,"quartfin"}</definedName>
    <definedName name="Infosed" hidden="1">{"quartfin",#N/A,FALSE,"quartfin"}</definedName>
    <definedName name="ingjks" localSheetId="3" hidden="1">{"detail",#N/A,FALSE,"mfg";"summary",#N/A,FALSE,"mfg"}</definedName>
    <definedName name="ingjks" hidden="1">{"detail",#N/A,FALSE,"mfg";"summary",#N/A,FALSE,"mfg"}</definedName>
    <definedName name="iniske" localSheetId="3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 localSheetId="4">[165]Sensetivities!#REF!</definedName>
    <definedName name="inject">#REF!</definedName>
    <definedName name="inksl" localSheetId="3" hidden="1">{"detail",#N/A,FALSE,"mfg";"summary",#N/A,FALSE,"mfg"}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 localSheetId="3">'Company Name COGS+OPEX Build'!Input_One</definedName>
    <definedName name="Input_One">[0]!Input_One</definedName>
    <definedName name="Input_One2" localSheetId="3">'Company Name COGS+OPEX Build'!Input_One2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'[48]GL-PC'!#REF!</definedName>
    <definedName name="Installations_Subscription Revenue">'[48]GL-PC'!#REF!</definedName>
    <definedName name="INSTBALANCE">#REF!</definedName>
    <definedName name="instcost">#REF!</definedName>
    <definedName name="Instr" localSheetId="3" hidden="1">{#N/A,#N/A,FALSE,"summary";#N/A,#N/A,FALSE,"Input"}</definedName>
    <definedName name="Instr" hidden="1">{#N/A,#N/A,FALSE,"summary";#N/A,#N/A,FALSE,"Input"}</definedName>
    <definedName name="INSTROUBLE">#REF!</definedName>
    <definedName name="instructions1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'[48]GL-PC'!#REF!</definedName>
    <definedName name="Insurance_Expense_R_D">'[48]GL-PC'!#REF!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localSheetId="3" hidden="1">{"'Edit'!$A$1:$V$2277"}</definedName>
    <definedName name="INTEGRA" hidden="1">{"'Edit'!$A$1:$V$2277"}</definedName>
    <definedName name="INTER2_SA" localSheetId="3" hidden="1">{#N/A,#N/A,FALSE,"Aging Summary";#N/A,#N/A,FALSE,"Ratio Analysis";#N/A,#N/A,FALSE,"Test 120 Day Accts";#N/A,#N/A,FALSE,"Tickmarks"}</definedName>
    <definedName name="INTER2_SA" hidden="1">{#N/A,#N/A,FALSE,"Aging Summary";#N/A,#N/A,FALSE,"Ratio Analysis";#N/A,#N/A,FALSE,"Test 120 Day Accts";#N/A,#N/A,FALSE,"Tickmarks"}</definedName>
    <definedName name="INTER3" localSheetId="3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localSheetId="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localSheetId="4" hidden="1">{#N/A,#N/A,FALSE,"Job Sched"}</definedName>
    <definedName name="Interco2" localSheetId="3" hidden="1">{#N/A,#N/A,FALSE,"Job Sched"}</definedName>
    <definedName name="Interco2" hidden="1">{#N/A,#N/A,FALSE,"Job Sched"}</definedName>
    <definedName name="Intercomp_Region">#REF!</definedName>
    <definedName name="Intercompany">#REF!</definedName>
    <definedName name="interest" localSheetId="4">'[90]Page 300'!$B$6</definedName>
    <definedName name="interest">#REF!</definedName>
    <definedName name="Interest_Expense">#REF!</definedName>
    <definedName name="Interest_Rate" localSheetId="4" hidden="1">'[142]Amortization Table'!$D$7</definedName>
    <definedName name="Interest_Rate" hidden="1">#REF!</definedName>
    <definedName name="InterestExpense">#REF!</definedName>
    <definedName name="InterestIncome">#REF!</definedName>
    <definedName name="InterestLoanTwoPaid" localSheetId="4">[45]Workings!$D$918:$O$918</definedName>
    <definedName name="InterestLoanTwoPaid">#REF!</definedName>
    <definedName name="internalTravel">#REF!</definedName>
    <definedName name="international" localSheetId="3" hidden="1">{"INTRON98",#N/A,FALSE,"REVCDLR";"MERCK98",#N/A,FALSE,"REVCDLR";"SKB98",#N/A,FALSE,"REVCDLR"}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 localSheetId="4">[95]consolidation!#REF!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 localSheetId="4">[45]Workings!$D$518:$O$518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'[48]GL-PC'!#REF!</definedName>
    <definedName name="Investments">#REF!</definedName>
    <definedName name="InvestmentsInUnconsolidatedAffiliates">#REF!</definedName>
    <definedName name="INVESTOR">#REF!</definedName>
    <definedName name="investorO" localSheetId="3">#REF!</definedName>
    <definedName name="investorO">#REF!</definedName>
    <definedName name="io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localSheetId="3" hidden="1">{#N/A,"PURCHM",FALSE,"Business Analysis";#N/A,"SPADD",FALSE,"Business Analysis"}</definedName>
    <definedName name="iop" hidden="1">{#N/A,"PURCHM",FALSE,"Business Analysis";#N/A,"SPADD",FALSE,"Business Analysis"}</definedName>
    <definedName name="IP" localSheetId="4">[12]מחירון!#REF!</definedName>
    <definedName name="IP" localSheetId="3" hidden="1">{#N/A,#N/A,FALSE,"Pharm";#N/A,#N/A,FALSE,"WWCM"}</definedName>
    <definedName name="IP" hidden="1">{#N/A,#N/A,FALSE,"Pharm";#N/A,#N/A,FALSE,"WWCM"}</definedName>
    <definedName name="IP_1" localSheetId="3" hidden="1">{#N/A,#N/A,FALSE,"Pharm";#N/A,#N/A,FALSE,"WWCM"}</definedName>
    <definedName name="IP_1" hidden="1">{#N/A,#N/A,FALSE,"Pharm";#N/A,#N/A,FALSE,"WWCM"}</definedName>
    <definedName name="IP_2" localSheetId="3" hidden="1">{#N/A,#N/A,FALSE,"Pharm";#N/A,#N/A,FALSE,"WWCM"}</definedName>
    <definedName name="IP_2" hidden="1">{#N/A,#N/A,FALSE,"Pharm";#N/A,#N/A,FALSE,"WWCM"}</definedName>
    <definedName name="IP_3" localSheetId="3" hidden="1">{#N/A,#N/A,FALSE,"Pharm";#N/A,#N/A,FALSE,"WWCM"}</definedName>
    <definedName name="IP_3" hidden="1">{#N/A,#N/A,FALSE,"Pharm";#N/A,#N/A,FALSE,"WWCM"}</definedName>
    <definedName name="IP_4" localSheetId="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[12]מחירון!#REF!</definedName>
    <definedName name="IP_עיסקי">[140]מחירון!$G$3:$J$9</definedName>
    <definedName name="IP_שדרוג_CSR">[12]מחירון!#REF!</definedName>
    <definedName name="IP_שדרוג_CSR_BUS">[12]מחירון!#REF!</definedName>
    <definedName name="IP_שדרוג_CSR_BUS_EXTRA">[12]מחירון!#REF!</definedName>
    <definedName name="IP_שדרוג_CSR_EXTRA">[12]מחירון!#REF!</definedName>
    <definedName name="IPASS">[12]מחירון!#REF!</definedName>
    <definedName name="IPASS_EXTRA">[12]מחירון!#REF!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 localSheetId="4" hidden="1">"c1449"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 localSheetId="4" hidden="1">"c1343"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 localSheetId="4" hidden="1">"c1341"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 localSheetId="4" hidden="1">"c1340"</definedName>
    <definedName name="IQ_ACCUM_DEP">"c7"</definedName>
    <definedName name="IQ_ACCUM_DEP_1">"c1340"</definedName>
    <definedName name="IQ_ACCUMULATED_PENSION_OBLIGATION" localSheetId="4" hidden="1">"c2244"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 localSheetId="4" hidden="1">"c1344"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 localSheetId="4" hidden="1">"c1342"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localSheetId="4" hidden="1">"c1591"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 localSheetId="4" hidden="1">"c1346"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localSheetId="4" hidden="1">"c2133"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localSheetId="4" hidden="1">"IQ_BONDRATING_FITCH"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localSheetId="4" hidden="1">"IQ_BONDRATING_SP"</definedName>
    <definedName name="IQ_BONDRATING_SP" hidden="1">"c224"</definedName>
    <definedName name="IQ_BONDRATING_SP_DATE" hidden="1">"c242"</definedName>
    <definedName name="IQ_BOOK_VALUE" localSheetId="4" hidden="1">"IQ_BOOK_VALUE"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 localSheetId="4" hidden="1">"c1349"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 localSheetId="4" hidden="1">"c2869"</definedName>
    <definedName name="IQ_CABLE_ARPU">"c16151"</definedName>
    <definedName name="IQ_CABLE_ARPU_ANALOG" localSheetId="4" hidden="1">"c2864"</definedName>
    <definedName name="IQ_CABLE_ARPU_ANALOG">"c16146"</definedName>
    <definedName name="IQ_CABLE_ARPU_BASIC" localSheetId="4" hidden="1">"c2866"</definedName>
    <definedName name="IQ_CABLE_ARPU_BASIC">"c16148"</definedName>
    <definedName name="IQ_CABLE_ARPU_BBAND" localSheetId="4" hidden="1">"c2867"</definedName>
    <definedName name="IQ_CABLE_ARPU_BBAND">"c16150"</definedName>
    <definedName name="IQ_CABLE_ARPU_DIG" localSheetId="4" hidden="1">"c2865"</definedName>
    <definedName name="IQ_CABLE_ARPU_DIG">"c16147"</definedName>
    <definedName name="IQ_CABLE_ARPU_PHONE" localSheetId="4" hidden="1">"c2868"</definedName>
    <definedName name="IQ_CABLE_ARPU_PHONE">"c16149"</definedName>
    <definedName name="IQ_CABLE_BASIC_PENETRATION" localSheetId="4" hidden="1">"c2850"</definedName>
    <definedName name="IQ_CABLE_BASIC_PENETRATION">"c16130"</definedName>
    <definedName name="IQ_CABLE_BBAND_PENETRATION" localSheetId="4" hidden="1">"c2852"</definedName>
    <definedName name="IQ_CABLE_BBAND_PENETRATION">"c16131"</definedName>
    <definedName name="IQ_CABLE_BBAND_PENETRATION_THP" localSheetId="4" hidden="1">"c2851"</definedName>
    <definedName name="IQ_CABLE_BBAND_PENETRATION_THP">"c16132"</definedName>
    <definedName name="IQ_CABLE_CHURN" localSheetId="4" hidden="1">"c2874"</definedName>
    <definedName name="IQ_CABLE_CHURN">"c16156"</definedName>
    <definedName name="IQ_CABLE_CHURN_BASIC" localSheetId="4" hidden="1">"c2871"</definedName>
    <definedName name="IQ_CABLE_CHURN_BASIC">"c16153"</definedName>
    <definedName name="IQ_CABLE_CHURN_BBAND" localSheetId="4" hidden="1">"c2872"</definedName>
    <definedName name="IQ_CABLE_CHURN_BBAND">"c16155"</definedName>
    <definedName name="IQ_CABLE_CHURN_DIG" localSheetId="4" hidden="1">"c2870"</definedName>
    <definedName name="IQ_CABLE_CHURN_DIG">"c16152"</definedName>
    <definedName name="IQ_CABLE_CHURN_PHONE" localSheetId="4" hidden="1">"c2873"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 localSheetId="4" hidden="1">"c2848"</definedName>
    <definedName name="IQ_CABLE_MILES_PASSED">"c16145"</definedName>
    <definedName name="IQ_CABLE_OTHER_REV" localSheetId="4" hidden="1">"c2882"</definedName>
    <definedName name="IQ_CABLE_OTHER_REV">"c16164"</definedName>
    <definedName name="IQ_CABLE_PHONE_PENETRATION" localSheetId="4" hidden="1">"c2853"</definedName>
    <definedName name="IQ_CABLE_PHONE_PENETRATION">"c16133"</definedName>
    <definedName name="IQ_CABLE_PROGRAMMING_COSTS" localSheetId="4" hidden="1">"c2884"</definedName>
    <definedName name="IQ_CABLE_PROGRAMMING_COSTS">"c16144"</definedName>
    <definedName name="IQ_CABLE_REV_ADVERT" localSheetId="4" hidden="1">"c2880"</definedName>
    <definedName name="IQ_CABLE_REV_ADVERT">"c16162"</definedName>
    <definedName name="IQ_CABLE_REV_ANALOG" localSheetId="4" hidden="1">"c2875"</definedName>
    <definedName name="IQ_CABLE_REV_ANALOG">"c16157"</definedName>
    <definedName name="IQ_CABLE_REV_BASIC" localSheetId="4" hidden="1">"c2877"</definedName>
    <definedName name="IQ_CABLE_REV_BASIC">"c16159"</definedName>
    <definedName name="IQ_CABLE_REV_BBAND" localSheetId="4" hidden="1">"c2878"</definedName>
    <definedName name="IQ_CABLE_REV_BBAND">"c16160"</definedName>
    <definedName name="IQ_CABLE_REV_COMMERCIAL" localSheetId="4" hidden="1">"c2881"</definedName>
    <definedName name="IQ_CABLE_REV_COMMERCIAL">"c16163"</definedName>
    <definedName name="IQ_CABLE_REV_DIG" localSheetId="4" hidden="1">"c2876"</definedName>
    <definedName name="IQ_CABLE_REV_DIG">"c16158"</definedName>
    <definedName name="IQ_CABLE_REV_PHONE" localSheetId="4" hidden="1">"c2879"</definedName>
    <definedName name="IQ_CABLE_REV_PHONE">"c16161"</definedName>
    <definedName name="IQ_CABLE_RGU" localSheetId="4" hidden="1">"c2863"</definedName>
    <definedName name="IQ_CABLE_RGU">"c16143"</definedName>
    <definedName name="IQ_CABLE_SUBS_ANALOG" localSheetId="4" hidden="1">"c2855"</definedName>
    <definedName name="IQ_CABLE_SUBS_ANALOG">"c16135"</definedName>
    <definedName name="IQ_CABLE_SUBS_BASIC" localSheetId="4" hidden="1">"c2857"</definedName>
    <definedName name="IQ_CABLE_SUBS_BASIC">"c16137"</definedName>
    <definedName name="IQ_CABLE_SUBS_BBAND" localSheetId="4" hidden="1">"c2858"</definedName>
    <definedName name="IQ_CABLE_SUBS_BBAND">"c16138"</definedName>
    <definedName name="IQ_CABLE_SUBS_BUNDLED" localSheetId="4" hidden="1">"c2861"</definedName>
    <definedName name="IQ_CABLE_SUBS_BUNDLED">"c16141"</definedName>
    <definedName name="IQ_CABLE_SUBS_BUS_PHONE">"c15773"</definedName>
    <definedName name="IQ_CABLE_SUBS_DIG" localSheetId="4" hidden="1">"c2856"</definedName>
    <definedName name="IQ_CABLE_SUBS_DIG">"c16136"</definedName>
    <definedName name="IQ_CABLE_SUBS_LONG_DIST_PHONE">"c15775"</definedName>
    <definedName name="IQ_CABLE_SUBS_NON_VIDEO" localSheetId="4" hidden="1">"c2860"</definedName>
    <definedName name="IQ_CABLE_SUBS_NON_VIDEO">"c16140"</definedName>
    <definedName name="IQ_CABLE_SUBS_PHONE" localSheetId="4" hidden="1">"c2859"</definedName>
    <definedName name="IQ_CABLE_SUBS_PHONE">"c16139"</definedName>
    <definedName name="IQ_CABLE_SUBS_RES_PHONE">"c15772"</definedName>
    <definedName name="IQ_CABLE_SUBS_SATELITE">"c15771"</definedName>
    <definedName name="IQ_CABLE_SUBS_TOTAL" localSheetId="4" hidden="1">"c2862"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 localSheetId="4" hidden="1">"c2883"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 localSheetId="4" hidden="1">"c1350"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 localSheetId="4" hidden="1">"c3460"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localSheetId="4" hidden="1">"c1458"</definedName>
    <definedName name="IQ_CASH">"c118"</definedName>
    <definedName name="IQ_CASH_1">"c1458"</definedName>
    <definedName name="IQ_CASH_ACQUIRE_CF" localSheetId="4" hidden="1">"c116"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 localSheetId="4" hidden="1">"c1351"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 localSheetId="4" hidden="1">"c1355"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 localSheetId="4" hidden="1">"c1357"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 localSheetId="4" hidden="1">"c1358"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 localSheetId="4" hidden="1">"c1359"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 localSheetId="4" hidden="1">"c1362"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 localSheetId="4" hidden="1">"c1363"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localSheetId="4" hidden="1">"c1364"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 localSheetId="4" hidden="1">"c1365"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 localSheetId="4" hidden="1">"c1447"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localSheetId="4" hidden="1">"c1356"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4" hidden="1">"c1360"</definedName>
    <definedName name="IQ_DEPRE_AMORT">"c247"</definedName>
    <definedName name="IQ_DEPRE_AMORT_1">"c1360"</definedName>
    <definedName name="IQ_DEPRE_AMORT_SUPPL">"c1593"</definedName>
    <definedName name="IQ_DEPRE_DEPLE" localSheetId="4" hidden="1">"c1361"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localSheetId="4" hidden="1">"c1520"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localSheetId="4" hidden="1">"c1367"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 localSheetId="4" hidden="1">"c2205"</definedName>
    <definedName name="IQ_DIV_PAYMENT_DATE">"c2106"</definedName>
    <definedName name="IQ_DIV_PAYMENT_DATE_1">"c2106"</definedName>
    <definedName name="IQ_DIV_PAYMENT_TYPE">"c12752"</definedName>
    <definedName name="IQ_DIV_RECORD_DATE" localSheetId="4" hidden="1">"c2204"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 localSheetId="4" hidden="1">"c1366"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localSheetId="4" hidden="1">"IQ_EBIT_GROWTH_1"</definedName>
    <definedName name="IQ_EBIT_GROWTH_1" hidden="1">"c157"</definedName>
    <definedName name="IQ_EBIT_GROWTH_2" localSheetId="4" hidden="1">"IQ_EBIT_GROWTH_2"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 localSheetId="4" hidden="1">"c1369"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 localSheetId="4" hidden="1">"c1370"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localSheetId="4" hidden="1">"IQ_EBITDA_GROWTH_1"</definedName>
    <definedName name="IQ_EBITDA_GROWTH_1" hidden="1">"c156"</definedName>
    <definedName name="IQ_EBITDA_GROWTH_2" localSheetId="4" hidden="1">"IQ_EBITDA_GROWTH_2"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 localSheetId="4" hidden="1">"c1371"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 localSheetId="4" hidden="1">"c1348"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localSheetId="4" hidden="1">"IQ_EPS_EST_1"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 localSheetId="4" hidden="1">"c1451"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 localSheetId="4" hidden="1">"c1390"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localSheetId="4" hidden="1">"c4407"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localSheetId="4" hidden="1">"c4444"</definedName>
    <definedName name="IQ_EST_FFO_DIFF">"c1869"</definedName>
    <definedName name="IQ_EST_FFO_DIFF_REUT" hidden="1">"c3890"</definedName>
    <definedName name="IQ_EST_FFO_DIFF_THOM" hidden="1">"c5186"</definedName>
    <definedName name="IQ_EST_FFO_GROWTH_1YR" localSheetId="4" hidden="1">"c4425"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 localSheetId="4" hidden="1">"c4426"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 localSheetId="4" hidden="1">"c4427"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 localSheetId="4" hidden="1">"c4428"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 localSheetId="4" hidden="1">"c4453"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 localSheetId="4" hidden="1">"c12040"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localSheetId="4" hidden="1">"c1428"</definedName>
    <definedName name="IQ_EV_OVER_EMPLOYEE">"c1225"</definedName>
    <definedName name="IQ_EV_OVER_EMPLOYEE_1">"c1428"</definedName>
    <definedName name="IQ_EV_OVER_LTM_EBIT" localSheetId="4" hidden="1">"c1426"</definedName>
    <definedName name="IQ_EV_OVER_LTM_EBIT">"c1221"</definedName>
    <definedName name="IQ_EV_OVER_LTM_EBIT_1">"c1426"</definedName>
    <definedName name="IQ_EV_OVER_LTM_EBITDA" localSheetId="4" hidden="1">"c1427"</definedName>
    <definedName name="IQ_EV_OVER_LTM_EBITDA">"c1223"</definedName>
    <definedName name="IQ_EV_OVER_LTM_EBITDA_1">"c1427"</definedName>
    <definedName name="IQ_EV_OVER_LTM_REVENUE" localSheetId="4" hidden="1">"c1429"</definedName>
    <definedName name="IQ_EV_OVER_LTM_REVENUE">"c1227"</definedName>
    <definedName name="IQ_EV_OVER_LTM_REVENUE_1">"c1429"</definedName>
    <definedName name="IQ_EV_OVER_REVENUE_EST" localSheetId="4" hidden="1">"IQ_EV_OVER_REVENUE_EST"</definedName>
    <definedName name="IQ_EV_OVER_REVENUE_EST" hidden="1">"c165"</definedName>
    <definedName name="IQ_EV_OVER_REVENUE_EST_1" localSheetId="4" hidden="1">"IQ_EV_OVER_REVENUE_EST_1"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 localSheetId="4" hidden="1">"c1897"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localSheetId="4" hidden="1">"ba"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 localSheetId="4" hidden="1">"c1459"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 localSheetId="4" hidden="1">"c4445"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 localSheetId="4" hidden="1">"c4448"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 localSheetId="4" hidden="1">"c4449"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 localSheetId="4" hidden="1">"c4450"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 localSheetId="4" hidden="1">"c4451"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localSheetId="4" hidden="1">"c4446"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 localSheetId="4" hidden="1">"c4452"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localSheetId="4" hidden="1">"c1405"</definedName>
    <definedName name="IQ_FINANCING_CASH">"c893"</definedName>
    <definedName name="IQ_FINANCING_CASH_1">"c1405"</definedName>
    <definedName name="IQ_FINANCING_CASH_SUPPL" localSheetId="4" hidden="1">"c1406"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 localSheetId="4" hidden="1">"c1376"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 localSheetId="4" hidden="1">"c1377"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localSheetId="4" hidden="1">"c1380"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 localSheetId="4" hidden="1">"c1446"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localSheetId="4" hidden="1">"c1378"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 localSheetId="4" hidden="1">"c1395"</definedName>
    <definedName name="IQ_INC_AVAIL_EXCL">"c789"</definedName>
    <definedName name="IQ_INC_AVAIL_EXCL_1">"c1395"</definedName>
    <definedName name="IQ_INC_AVAIL_INCL" localSheetId="4" hidden="1">"c1396"</definedName>
    <definedName name="IQ_INC_AVAIL_INCL">"c791"</definedName>
    <definedName name="IQ_INC_AVAIL_INCL_1">"c1396"</definedName>
    <definedName name="IQ_INC_BEFORE_TAX" localSheetId="4" hidden="1">"c1375"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 localSheetId="4" hidden="1">"c1407"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 localSheetId="4" hidden="1">"c1383"</definedName>
    <definedName name="IQ_INTEREST_EXP_NON">"c618"</definedName>
    <definedName name="IQ_INTEREST_EXP_NON_1">"c1383"</definedName>
    <definedName name="IQ_INTEREST_EXP_SUPPL">"c1460"</definedName>
    <definedName name="IQ_INTEREST_INC" localSheetId="4" hidden="1">"c1393"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4" hidden="1">"c1384"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 localSheetId="4" hidden="1">"c1391"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localSheetId="4" hidden="1">"IQ_LAST_EBIT_MARGIN"</definedName>
    <definedName name="IQ_LAST_EBIT_MARGIN" hidden="1">"c151"</definedName>
    <definedName name="IQ_LAST_EBITDA_MARGIN" localSheetId="4" hidden="1">"IQ_LAST_EBITDA_MARGIN"</definedName>
    <definedName name="IQ_LAST_EBITDA_MARGIN" hidden="1">"c150"</definedName>
    <definedName name="IQ_LAST_GROSS_MARGIN" localSheetId="4" hidden="1">"IQ_LAST_GROSS_MARGIN"</definedName>
    <definedName name="IQ_LAST_GROSS_MARGIN" hidden="1">"c149"</definedName>
    <definedName name="IQ_LAST_NET_INC_MARGIN" localSheetId="4" hidden="1">"IQ_LAST_NET_INC_MARGIN"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 localSheetId="4" hidden="1">"c1386"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localSheetId="4" hidden="1">"c1387"</definedName>
    <definedName name="IQ_LONG_TERM_DEBT">"c674"</definedName>
    <definedName name="IQ_LONG_TERM_DEBT_1">"c1387"</definedName>
    <definedName name="IQ_LONG_TERM_DEBT_OVER_TOTAL_CAP" localSheetId="4" hidden="1">"c1388"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 localSheetId="4" hidden="1">"c1389"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 localSheetId="4" hidden="1">"c1437"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localSheetId="4" hidden="1">43076.8533217593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localSheetId="4" hidden="1">"c1394"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4" hidden="1">"c1368"</definedName>
    <definedName name="IQ_NET_INC_BEFORE">"c344"</definedName>
    <definedName name="IQ_NET_INC_BEFORE_1">"c1368"</definedName>
    <definedName name="IQ_NET_INC_CF" localSheetId="4" hidden="1">"c1397"</definedName>
    <definedName name="IQ_NET_INC_CF">"c793"</definedName>
    <definedName name="IQ_NET_INC_CF_1">"c1397"</definedName>
    <definedName name="IQ_NET_INC_GROWTH_1" localSheetId="4" hidden="1">"IQ_NET_INC_GROWTH_1"</definedName>
    <definedName name="IQ_NET_INC_GROWTH_1" hidden="1">"c158"</definedName>
    <definedName name="IQ_NET_INC_GROWTH_2" localSheetId="4" hidden="1">"IQ_NET_INC_GROWTH_2"</definedName>
    <definedName name="IQ_NET_INC_GROWTH_2" hidden="1">"c162"</definedName>
    <definedName name="IQ_NET_INC_MARGIN" localSheetId="4" hidden="1">"c1398"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 localSheetId="4" hidden="1">"c1392"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 localSheetId="4" hidden="1">"c1399"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localSheetId="4" hidden="1">"c1400"</definedName>
    <definedName name="IQ_NON_INTEREST_EXP">"c801"</definedName>
    <definedName name="IQ_NON_INTEREST_EXP_1">"c1400"</definedName>
    <definedName name="IQ_NON_INTEREST_INC" localSheetId="4" hidden="1">"c1401"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 localSheetId="4" hidden="1">"c1423"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 localSheetId="4" hidden="1">"c1448"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localSheetId="4" hidden="1">"c1403"</definedName>
    <definedName name="IQ_OTHER_CURRENT_ASSETS">"c868"</definedName>
    <definedName name="IQ_OTHER_CURRENT_ASSETS_1">"c1403"</definedName>
    <definedName name="IQ_OTHER_CURRENT_LIAB" localSheetId="4" hidden="1">"c1404"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 localSheetId="4" hidden="1">"c1408"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 localSheetId="4" hidden="1">"c1409"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 localSheetId="4" hidden="1">"c1453"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 localSheetId="4" hidden="1">"c1410"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 localSheetId="4" hidden="1">"c2128"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localSheetId="4" hidden="1">"c1457"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localSheetId="4" hidden="1">"c1414"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ProductH_DEV">"c12743"</definedName>
    <definedName name="IQ_PHARMBIO_NUMBER_PROD_APPROVED_DURING_PERIOD">"c10027"</definedName>
    <definedName name="IQ_PHARMBIO_NUMBER_PROD_CLINICAL_DEV">"c10022"</definedName>
    <definedName name="IQ_PHARMBIO_NUMBER_PROD_DISCOVERY_RESEProduct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Product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 localSheetId="4" hidden="1">"c1416"</definedName>
    <definedName name="IQ_PREF_STOCK">"c1052"</definedName>
    <definedName name="IQ_PREF_STOCK_1">"c1416"</definedName>
    <definedName name="IQ_PREF_STOCK_FFIEC">"c12875"</definedName>
    <definedName name="IQ_PREF_TOT" localSheetId="4" hidden="1">"c1415"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 localSheetId="4" hidden="1">"c1418"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localSheetId="4" hidden="1">"IQ_PRETAX_INC"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 localSheetId="4" hidden="1">"c1412"</definedName>
    <definedName name="IQ_PRICE_OVER_BVPS">"c1026"</definedName>
    <definedName name="IQ_PRICE_OVER_BVPS_1">"c1412"</definedName>
    <definedName name="IQ_PRICE_OVER_EPS_EST" localSheetId="4" hidden="1">"IQ_PRICE_OVER_EPS_EST"</definedName>
    <definedName name="IQ_PRICE_OVER_EPS_EST" hidden="1">"c174"</definedName>
    <definedName name="IQ_PRICE_OVER_EPS_EST_1" localSheetId="4" hidden="1">"IQ_PRICE_OVER_EPS_EST_1"</definedName>
    <definedName name="IQ_PRICE_OVER_EPS_EST_1" hidden="1">"c175"</definedName>
    <definedName name="IQ_PRICE_OVER_LTM_EPS" localSheetId="4" hidden="1">"c1413"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 localSheetId="4" hidden="1">"c1452"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 localSheetId="4" hidden="1">"c1379"</definedName>
    <definedName name="IQ_PROPERTY_GROSS">"c518"</definedName>
    <definedName name="IQ_PROPERTY_GROSS_1">"c1379"</definedName>
    <definedName name="IQ_PROPERTY_MGMT_FEE">"c1074"</definedName>
    <definedName name="IQ_PROPERTY_NET" localSheetId="4" hidden="1">"c1402"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localSheetId="4" hidden="1">"c1417"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ProductH_DEV" localSheetId="4" hidden="1">"c1419"</definedName>
    <definedName name="IQ_RESEProductH_DEV">"c1090"</definedName>
    <definedName name="IQ_RESEProduct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 localSheetId="4" hidden="1">"c1420"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 localSheetId="4" hidden="1">"c1421"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 localSheetId="4" hidden="1">"c1422"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localSheetId="4" hidden="1">"IQ_REVENUE_EST_1"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localSheetId="4" hidden="1">"IQ_REVENUE_GROWTH_1"</definedName>
    <definedName name="IQ_REVENUE_GROWTH_1" hidden="1">"c155"</definedName>
    <definedName name="IQ_REVENUE_GROWTH_2" localSheetId="4" hidden="1">"IQ_REVENUE_GROWTH_2"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localSheetId="4" hidden="1">39527.6287847222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 localSheetId="4" hidden="1">"c1425"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 localSheetId="4" hidden="1">"c1455"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 localSheetId="4" hidden="1">"c1352"</definedName>
    <definedName name="IQ_TOTAL_CASH_FINAN">"c119"</definedName>
    <definedName name="IQ_TOTAL_CASH_FINAN_1">"c1352"</definedName>
    <definedName name="IQ_TOTAL_CASH_INVEST" localSheetId="4" hidden="1">"c1353"</definedName>
    <definedName name="IQ_TOTAL_CASH_INVEST">"c121"</definedName>
    <definedName name="IQ_TOTAL_CASH_INVEST_1">"c1353"</definedName>
    <definedName name="IQ_TOTAL_CASH_OPER" localSheetId="4" hidden="1">"c1354"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 localSheetId="4" hidden="1">"c1411"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localSheetId="4" hidden="1">"c1430"</definedName>
    <definedName name="IQ_TOTAL_CURRENT_ASSETS">"c1243"</definedName>
    <definedName name="IQ_TOTAL_CURRENT_ASSETS_1">"c1430"</definedName>
    <definedName name="IQ_TOTAL_CURRENT_LIAB" localSheetId="4" hidden="1">"c1431"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 localSheetId="4" hidden="1">"c1433"</definedName>
    <definedName name="IQ_TOTAL_DEBT_OVER_EBITDA">"c1249"</definedName>
    <definedName name="IQ_TOTAL_DEBT_OVER_EBITDA_1">"c1433"</definedName>
    <definedName name="IQ_TOTAL_DEBT_OVER_TOTAL_BV" localSheetId="4" hidden="1">"c1434"</definedName>
    <definedName name="IQ_TOTAL_DEBT_OVER_TOTAL_BV">"c1250"</definedName>
    <definedName name="IQ_TOTAL_DEBT_OVER_TOTAL_BV_1">"c1434"</definedName>
    <definedName name="IQ_TOTAL_DEBT_OVER_TOTAL_CAP" localSheetId="4" hidden="1">"c1432"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 localSheetId="4" hidden="1">"c2141"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localSheetId="4" hidden="1">"c1382"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 localSheetId="4" hidden="1">"c1385"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 localSheetId="4" hidden="1">"c1435"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 localSheetId="4" hidden="1">"c1436"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 localSheetId="4" hidden="1">"c1424"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 localSheetId="4" hidden="1">"c2274"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 localSheetId="4" hidden="1">"c2298"</definedName>
    <definedName name="IQ_TR_TERM_FEE">"c13640"</definedName>
    <definedName name="IQ_TR_TERM_FEE_PCT" localSheetId="4" hidden="1">"c2297"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 localSheetId="4" hidden="1">"c1345"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 localSheetId="4" hidden="1">"c1438"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localSheetId="4" hidden="1">"c2203"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localSheetId="4" hidden="1">1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 localSheetId="4" hidden="1">"$G$60:$BF$60"</definedName>
    <definedName name="IQRF60">"$F$61:$F$90"</definedName>
    <definedName name="IQRF61" localSheetId="4" hidden="1">"$G$61:$BF$61"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localSheetId="4" hidden="1">"iQShowAnnual"</definedName>
    <definedName name="iQShowHideColumns" hidden="1">"iQShowAll"</definedName>
    <definedName name="IQSSheet1A1">"$A$2:$A$73"</definedName>
    <definedName name="irass">#REF!</definedName>
    <definedName name="Irbe" localSheetId="3" hidden="1">{#N/A,#N/A,FALSE,"Pharm";#N/A,#N/A,FALSE,"WWCM"}</definedName>
    <definedName name="Irbe" hidden="1">{#N/A,#N/A,FALSE,"Pharm";#N/A,#N/A,FALSE,"WWCM"}</definedName>
    <definedName name="Irbe_1" localSheetId="3" hidden="1">{#N/A,#N/A,FALSE,"Pharm";#N/A,#N/A,FALSE,"WWCM"}</definedName>
    <definedName name="Irbe_1" hidden="1">{#N/A,#N/A,FALSE,"Pharm";#N/A,#N/A,FALSE,"WWCM"}</definedName>
    <definedName name="Irbe_2" localSheetId="3" hidden="1">{#N/A,#N/A,FALSE,"Pharm";#N/A,#N/A,FALSE,"WWCM"}</definedName>
    <definedName name="Irbe_2" hidden="1">{#N/A,#N/A,FALSE,"Pharm";#N/A,#N/A,FALSE,"WWCM"}</definedName>
    <definedName name="Irbe_3" localSheetId="3" hidden="1">{#N/A,#N/A,FALSE,"Pharm";#N/A,#N/A,FALSE,"WWCM"}</definedName>
    <definedName name="Irbe_3" hidden="1">{#N/A,#N/A,FALSE,"Pharm";#N/A,#N/A,FALSE,"WWCM"}</definedName>
    <definedName name="Irbe_4" localSheetId="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localSheetId="3" hidden="1">{#N/A,#N/A,FALSE,"Monthly"}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 localSheetId="4">'[55]NESS ISI'!$A$1:$C$141,'[55]NESS ISI'!$F$1:$N$35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localSheetId="3" hidden="1">{"up stand alones",#N/A,FALSE,"Acquiror"}</definedName>
    <definedName name="isto2" hidden="1">{"up stand alones",#N/A,FALSE,"Acquiror"}</definedName>
    <definedName name="ISYTD2">#REF!</definedName>
    <definedName name="IT" localSheetId="4">'[48]GL-PC'!#REF!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 localSheetId="4">'[112]Data URB'!$B$5:$C$260</definedName>
    <definedName name="IU">#REF!</definedName>
    <definedName name="iuhiliu" localSheetId="3" hidden="1">{#N/A,#N/A,FALSE,"Sheet1"}</definedName>
    <definedName name="iuhiliu" hidden="1">{#N/A,#N/A,FALSE,"Sheet1"}</definedName>
    <definedName name="IUHWFA" localSheetId="3" hidden="1">{#N/A,#N/A,FALSE,"ALM-ASISC"}</definedName>
    <definedName name="IUHWFA" hidden="1">{#N/A,#N/A,FALSE,"ALM-ASISC"}</definedName>
    <definedName name="iuiuiiiiiiiiiii" localSheetId="4" hidden="1">{#N/A,#N/A,FALSE,"מאזן בוחן";"כל_מאזן_בוחן",#N/A,FALSE,"מאזן בוחן"}</definedName>
    <definedName name="iuiuiiiiiiiiiii" localSheetId="3" hidden="1">{#N/A,#N/A,FALSE,"מאזן בוחן";"כל_מאזן_בוחן",#N/A,FALSE,"מאזן בוחן"}</definedName>
    <definedName name="iuiuiiiiiiiiiii" hidden="1">{#N/A,#N/A,FALSE,"מאזן בוחן";"כל_מאזן_בוחן",#N/A,FALSE,"מאזן בוחן"}</definedName>
    <definedName name="iungds" localSheetId="3" hidden="1">{"detail",#N/A,FALSE,"mfg";"summary",#N/A,FALSE,"mfg"}</definedName>
    <definedName name="iungds" hidden="1">{"detail",#N/A,FALSE,"mfg";"summary",#N/A,FALSE,"mfg"}</definedName>
    <definedName name="iupuhhu">#REF!</definedName>
    <definedName name="iuyt" localSheetId="3" hidden="1">{"AS REP",#N/A,FALSE,"EEFSNAP2";"PROP",#N/A,FALSE,"EEFSNAP2";"RISKS",#N/A,FALSE,"EEFSNAP2";"VIEW ALL",#N/A,FALSE,"EEFSNAP2"}</definedName>
    <definedName name="iuyt" hidden="1">{"AS REP",#N/A,FALSE,"EEFSNAP2";"PROP",#N/A,FALSE,"EEFSNAP2";"RISKS",#N/A,FALSE,"EEFSNAP2";"VIEW ALL",#N/A,FALSE,"EEFSNAP2"}</definedName>
    <definedName name="iv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localSheetId="3" hidden="1">{#N/A,#N/A,FALSE,"ALM-ASISC"}</definedName>
    <definedName name="IWFIC" hidden="1">{#N/A,#N/A,FALSE,"ALM-ASISC"}</definedName>
    <definedName name="iy" localSheetId="3" hidden="1">{"AS REP",#N/A,FALSE,"EEFSNAP2";"PROP",#N/A,FALSE,"EEFSNAP2";"RISKS",#N/A,FALSE,"EEFSNAP2";"VIEW ALL",#N/A,FALSE,"EEFSNAP2"}</definedName>
    <definedName name="iy" hidden="1">{"AS REP",#N/A,FALSE,"EEFSNAP2";"PROP",#N/A,FALSE,"EEFSNAP2";"RISKS",#N/A,FALSE,"EEFSNAP2";"VIEW ALL",#N/A,FALSE,"EEFSNAP2"}</definedName>
    <definedName name="j" localSheetId="3">{"EVA",#N/A,FALSE,"EVA";"WACC",#N/A,FALSE,"WACC"}</definedName>
    <definedName name="j">{"EVA",#N/A,FALSE,"EVA";"WACC",#N/A,FALSE,"WACC"}</definedName>
    <definedName name="j_1" localSheetId="3" hidden="1">{#N/A,#N/A,FALSE,"REPORT"}</definedName>
    <definedName name="j_1" hidden="1">{#N/A,#N/A,FALSE,"REPORT"}</definedName>
    <definedName name="j_2" localSheetId="3" hidden="1">{#N/A,#N/A,FALSE,"REPORT"}</definedName>
    <definedName name="j_2" hidden="1">{#N/A,#N/A,FALSE,"REPORT"}</definedName>
    <definedName name="j_3" localSheetId="3" hidden="1">{#N/A,#N/A,FALSE,"REPORT"}</definedName>
    <definedName name="j_3" hidden="1">{#N/A,#N/A,FALSE,"REPORT"}</definedName>
    <definedName name="j_4" localSheetId="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 localSheetId="4">'[43]P&amp;L Breakdown'!$I:$I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 localSheetId="4">[43]TB!$F:$F</definedName>
    <definedName name="JAN_TB">#REF!</definedName>
    <definedName name="JanActuals" localSheetId="3" hidden="1">{"legalsumm",#N/A,FALSE,"Forecast (no FAW)";"legaldetail",#N/A,FALSE,"Forecast (no FAW)"}</definedName>
    <definedName name="JanActuals" hidden="1">{"legalsumm",#N/A,FALSE,"Forecast (no FAW)";"legaldetail",#N/A,FALSE,"Forecast (no FAW)"}</definedName>
    <definedName name="Jane" localSheetId="3">{"'1-TheatreBkgs'!$A$1:$L$102"}</definedName>
    <definedName name="Jane">{"'1-TheatreBkgs'!$A$1:$L$102"}</definedName>
    <definedName name="JanJFK">#REF!</definedName>
    <definedName name="januar_2000" localSheetId="4">'[126]מדדים ודולר'!#REF!</definedName>
    <definedName name="januar_2000">#REF!</definedName>
    <definedName name="Japan" localSheetId="4">'[80]Customer Support Group'!$A$139:$F$152</definedName>
    <definedName name="Japan">#REF!</definedName>
    <definedName name="Japan_Share" localSheetId="4">'[99]Overall market'!#REF!</definedName>
    <definedName name="Japan_Share">#REF!</definedName>
    <definedName name="Jasmine" localSheetId="3" hidden="1">{#N/A,#N/A,FALSE,"Monthly"}</definedName>
    <definedName name="Jasmine" hidden="1">{#N/A,#N/A,FALSE,"Monthly"}</definedName>
    <definedName name="jaso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localSheetId="3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localSheetId="3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localSheetId="3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localSheetId="3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localSheetId="3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localSheetId="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localSheetId="3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localSheetId="3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localSheetId="3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localSheetId="3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localSheetId="3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localSheetId="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localSheetId="3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localSheetId="3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localSheetId="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localSheetId="3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localSheetId="3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localSheetId="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localSheetId="3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localSheetId="3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localSheetId="3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localSheetId="3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localSheetId="3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localSheetId="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localSheetId="3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localSheetId="3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localSheetId="3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localSheetId="3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localSheetId="3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localSheetId="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localSheetId="3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localSheetId="3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localSheetId="3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localSheetId="3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localSheetId="3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localSheetId="3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localSheetId="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localSheetId="3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localSheetId="3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localSheetId="3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localSheetId="3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localSheetId="3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localSheetId="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localSheetId="3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localSheetId="3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localSheetId="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localSheetId="3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localSheetId="3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localSheetId="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localSheetId="3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localSheetId="3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localSheetId="3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localSheetId="3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localSheetId="3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localSheetId="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localSheetId="3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localSheetId="3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localSheetId="3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localSheetId="3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localSheetId="3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localSheetId="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localSheetId="3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localSheetId="3" hidden="1">{#N/A,#N/A,FALSE,"Sheet1"}</definedName>
    <definedName name="jb" hidden="1">{#N/A,#N/A,FALSE,"Sheet1"}</definedName>
    <definedName name="jdsf" localSheetId="4" hidden="1">{#N/A,#N/A,FALSE,"FAB VENDORS";"BUD SUM",#N/A,FALSE,"BUD SUM WO TEX"}</definedName>
    <definedName name="jdsf" localSheetId="3" hidden="1">{#N/A,#N/A,FALSE,"FAB VENDORS";"BUD SUM",#N/A,FALSE,"BUD SUM WO TEX"}</definedName>
    <definedName name="jdsf" hidden="1">{#N/A,#N/A,FALSE,"FAB VENDORS";"BUD SUM",#N/A,FALSE,"BUD SUM WO TEX"}</definedName>
    <definedName name="JE" localSheetId="4">{"חובה","SUM(חובה)","YNNNN",FALSE}</definedName>
    <definedName name="JE" localSheetId="3">{"חובה","SUM(חובה)","YNNNN",FALSE}</definedName>
    <definedName name="JE">{"חובה","SUM(חובה)","YNNNN",FALSE}</definedName>
    <definedName name="JEFF">#REF!</definedName>
    <definedName name="jeffrey6" localSheetId="3" hidden="1">{0,#N/A,TRUE,0;0,#N/A,TRUE,0;0,#N/A,TRUE,0;0,#N/A,TRUE,0;0,#N/A,TRUE,0}</definedName>
    <definedName name="jeffrey6" hidden="1">{0,#N/A,TRUE,0;0,#N/A,TRUE,0;0,#N/A,TRUE,0;0,#N/A,TRUE,0;0,#N/A,TRUE,0}</definedName>
    <definedName name="jen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localSheetId="3" hidden="1">{"glc1",#N/A,FALSE,"GLC";"glc2",#N/A,FALSE,"GLC";"glc3",#N/A,FALSE,"GLC";"glc4",#N/A,FALSE,"GLC";"glc5",#N/A,FALSE,"GLC"}</definedName>
    <definedName name="jf" hidden="1">{"glc1",#N/A,FALSE,"GLC";"glc2",#N/A,FALSE,"GLC";"glc3",#N/A,FALSE,"GLC";"glc4",#N/A,FALSE,"GLC";"glc5",#N/A,FALSE,"GLC"}</definedName>
    <definedName name="jfalkf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alkf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localSheetId="3" hidden="1">{"YTD",#N/A,FALSE,"SUM"}</definedName>
    <definedName name="jfdsir" hidden="1">{"YTD",#N/A,FALSE,"SUM"}</definedName>
    <definedName name="jg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localSheetId="3" hidden="1">{#N/A,#N/A,FALSE,"Produkte Erw.";#N/A,#N/A,FALSE,"Produkte Plan";#N/A,#N/A,FALSE,"Leistungen Erw.";#N/A,#N/A,FALSE,"Leistungen Plan";#N/A,#N/A,FALSE,"KA Allg.Kosten (2)";#N/A,#N/A,FALSE,"KA All.Kosten"}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localSheetId="3" hidden="1">{#N/A,#N/A,FALSE,"Assump";#N/A,#N/A,FALSE,"Income";#N/A,#N/A,FALSE,"Balance";#N/A,#N/A,FALSE,"DCF Pump";#N/A,#N/A,FALSE,"Trans Assump";#N/A,#N/A,FALSE,"Combined Income";#N/A,#N/A,FALSE,"Combined Balance"}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localSheetId="3" hidden="1">{#N/A,#N/A,FALSE,"PMTABB";#N/A,#N/A,FALSE,"PMTABB"}</definedName>
    <definedName name="jhfjhfhjf" hidden="1">{#N/A,#N/A,FALSE,"PMTABB";#N/A,#N/A,FALSE,"PMTABB"}</definedName>
    <definedName name="jhgf" localSheetId="3" hidden="1">{"Commentary",#N/A,FALSE,"May"}</definedName>
    <definedName name="jhgf" hidden="1">{"Commentary",#N/A,FALSE,"May"}</definedName>
    <definedName name="jhgfd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localSheetId="3" hidden="1">{#N/A,#N/A,FALSE,"KA CH  (2)"}</definedName>
    <definedName name="jhhgjh" hidden="1">{#N/A,#N/A,FALSE,"KA CH  (2)"}</definedName>
    <definedName name="jh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localSheetId="3" hidden="1">{#N/A,#N/A,FALSE,"Heat";#N/A,#N/A,FALSE,"DCF";#N/A,#N/A,FALSE,"LBO";#N/A,#N/A,FALSE,"A";#N/A,#N/A,FALSE,"C";#N/A,#N/A,FALSE,"impd";#N/A,#N/A,FALSE,"Accr-Dilu"}</definedName>
    <definedName name="jhjgf" hidden="1">{#N/A,#N/A,FALSE,"Heat";#N/A,#N/A,FALSE,"DCF";#N/A,#N/A,FALSE,"LBO";#N/A,#N/A,FALSE,"A";#N/A,#N/A,FALSE,"C";#N/A,#N/A,FALSE,"impd";#N/A,#N/A,FALSE,"Accr-Dilu"}</definedName>
    <definedName name="jhjh" localSheetId="3" hidden="1">{"Olk by Qtr Full",#N/A,FALSE,"Tot PalmPalm";"Olk by Qtr Full",#N/A,FALSE,"Tot Device";"Olk by Qtr Full",#N/A,FALSE,"Platform";"Olk by Qtr Full",#N/A,FALSE,"Palm.Net";"Olk by Qtr Full",#N/A,FALSE,"Elim"}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localSheetId="3" hidden="1">{#N/A,#N/A,FALSE,"Sheet1"}</definedName>
    <definedName name="jhl" hidden="1">{#N/A,#N/A,FALSE,"Sheet1"}</definedName>
    <definedName name="jhl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localSheetId="3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hu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localSheetId="3" hidden="1">{#N/A,#N/A,FALSE,"Sheet1"}</definedName>
    <definedName name="ji" hidden="1">{#N/A,#N/A,FALSE,"Sheet1"}</definedName>
    <definedName name="jih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 localSheetId="3">{"'NPCGUIDELINES'!$A$1:$J$41"}</definedName>
    <definedName name="jiiui">{"'NPCGUIDELINES'!$A$1:$J$41"}</definedName>
    <definedName name="JIm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localSheetId="3" hidden="1">{#N/A,#N/A,FALSE,"Second";#N/A,#N/A,FALSE,"ownership";#N/A,#N/A,FALSE,"Valuation";#N/A,#N/A,FALSE,"Eqiv";#N/A,#N/A,FALSE,"Mults";#N/A,#N/A,FALSE,"ISCG Graphics"}</definedName>
    <definedName name="jjj" hidden="1">{#N/A,#N/A,FALSE,"Second";#N/A,#N/A,FALSE,"ownership";#N/A,#N/A,FALSE,"Valuation";#N/A,#N/A,FALSE,"Eqiv";#N/A,#N/A,FALSE,"Mults";#N/A,#N/A,FALSE,"ISCG Graphics"}</definedName>
    <definedName name="jjj_1" localSheetId="3" hidden="1">{#N/A,#N/A,FALSE,"REPORT"}</definedName>
    <definedName name="jjj_1" hidden="1">{#N/A,#N/A,FALSE,"REPORT"}</definedName>
    <definedName name="jjj_2" localSheetId="3" hidden="1">{#N/A,#N/A,FALSE,"REPORT"}</definedName>
    <definedName name="jjj_2" hidden="1">{#N/A,#N/A,FALSE,"REPORT"}</definedName>
    <definedName name="jjj_3" localSheetId="3" hidden="1">{#N/A,#N/A,FALSE,"REPORT"}</definedName>
    <definedName name="jjj_3" hidden="1">{#N/A,#N/A,FALSE,"REPORT"}</definedName>
    <definedName name="jjj_4" localSheetId="3" hidden="1">{#N/A,#N/A,FALSE,"REPORT"}</definedName>
    <definedName name="jjj_4" hidden="1">{#N/A,#N/A,FALSE,"REPORT"}</definedName>
    <definedName name="jjjhh" localSheetId="3" hidden="1">{#N/A,#N/A,FALSE,"Aging Summary";#N/A,#N/A,FALSE,"Ratio Analysis";#N/A,#N/A,FALSE,"Test 120 Day Accts";#N/A,#N/A,FALSE,"Tickmarks"}</definedName>
    <definedName name="jjjhh" hidden="1">{#N/A,#N/A,FALSE,"Aging Summary";#N/A,#N/A,FALSE,"Ratio Analysis";#N/A,#N/A,FALSE,"Test 120 Day Accts";#N/A,#N/A,FALSE,"Tickmarks"}</definedName>
    <definedName name="jjjj" localSheetId="3" hidden="1">{"Assumptions",#N/A,FALSE,"Sheet1";"Main Report",#N/A,FALSE,"Sheet1";"Results",#N/A,FALSE,"Sheet1";"Advances",#N/A,FALSE,"Sheet1"}</definedName>
    <definedName name="jjjj" hidden="1">{"Assumptions",#N/A,FALSE,"Sheet1";"Main Report",#N/A,FALSE,"Sheet1";"Results",#N/A,FALSE,"Sheet1";"Advances",#N/A,FALSE,"Sheet1"}</definedName>
    <definedName name="jjjjjj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localSheetId="3" hidden="1">{#N/A,#N/A,FALSE,"Summary";#N/A,#N/A,FALSE,"proj1";#N/A,#N/A,FALSE,"proj2";#N/A,#N/A,FALSE,"DCF"}</definedName>
    <definedName name="jjjjjjj" hidden="1">{#N/A,#N/A,FALSE,"Summary";#N/A,#N/A,FALSE,"proj1";#N/A,#N/A,FALSE,"proj2";#N/A,#N/A,FALSE,"DCF"}</definedName>
    <definedName name="JJJJJJJJ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localSheetId="3" hidden="1">{"table",#N/A,FALSE,"COVER";"income_statement",#N/A,FALSE,"COVER"}</definedName>
    <definedName name="jk" hidden="1">{"table",#N/A,FALSE,"COVER";"income_statement",#N/A,FALSE,"COVER"}</definedName>
    <definedName name="jkh" hidden="1">#REF!</definedName>
    <definedName name="jkhjkhjk" localSheetId="3" hidden="1">{#N/A,#N/A,FALSE,"Aging Summary";#N/A,#N/A,FALSE,"Ratio Analysis";#N/A,#N/A,FALSE,"Test 120 Day Accts";#N/A,#N/A,FALSE,"Tickmarks"}</definedName>
    <definedName name="jkhjkhjk" hidden="1">{#N/A,#N/A,FALSE,"Aging Summary";#N/A,#N/A,FALSE,"Ratio Analysis";#N/A,#N/A,FALSE,"Test 120 Day Accts";#N/A,#N/A,FALSE,"Tickmarks"}</definedName>
    <definedName name="jkiu" localSheetId="3" hidden="1">{#N/A,"PURCHM",FALSE,"Business Analysis";#N/A,"SPADD",FALSE,"Business Analysis"}</definedName>
    <definedName name="jkiu" hidden="1">{#N/A,"PURCHM",FALSE,"Business Analysis";#N/A,"SPADD",FALSE,"Business Analysis"}</definedName>
    <definedName name="jkjhk" localSheetId="3" hidden="1">{#N/A,#N/A,FALSE,"Produkte Erw.";#N/A,#N/A,FALSE,"Produkte Plan";#N/A,#N/A,FALSE,"Leistungen Erw.";#N/A,#N/A,FALSE,"Leistungen Plan";#N/A,#N/A,FALSE,"KA Allg.Kosten (2)";#N/A,#N/A,FALSE,"KA All.Kosten"}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localSheetId="3" hidden="1">{"assets",#N/A,FALSE,"historicBS";"liab",#N/A,FALSE,"historicBS";"is",#N/A,FALSE,"historicIS";"ratios",#N/A,FALSE,"ratios"}</definedName>
    <definedName name="jkjk" hidden="1">{"assets",#N/A,FALSE,"historicBS";"liab",#N/A,FALSE,"historicBS";"is",#N/A,FALSE,"historicIS";"ratios",#N/A,FALSE,"ratios"}</definedName>
    <definedName name="jkkjh" localSheetId="3" hidden="1">{"'Server Configuration'!$A$1:$DB$281"}</definedName>
    <definedName name="jkkjh" hidden="1">{"'Server Configuration'!$A$1:$DB$281"}</definedName>
    <definedName name="jkkjhkj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localSheetId="3" hidden="1">{#N/A,#N/A,FALSE,"REPORT"}</definedName>
    <definedName name="jkl" hidden="1">{#N/A,#N/A,FALSE,"REPORT"}</definedName>
    <definedName name="jkl_1" localSheetId="3" hidden="1">{#N/A,#N/A,FALSE,"REPORT"}</definedName>
    <definedName name="jkl_1" hidden="1">{#N/A,#N/A,FALSE,"REPORT"}</definedName>
    <definedName name="jkl_2" localSheetId="3" hidden="1">{#N/A,#N/A,FALSE,"REPORT"}</definedName>
    <definedName name="jkl_2" hidden="1">{#N/A,#N/A,FALSE,"REPORT"}</definedName>
    <definedName name="jkl_3" localSheetId="3" hidden="1">{#N/A,#N/A,FALSE,"REPORT"}</definedName>
    <definedName name="jkl_3" hidden="1">{#N/A,#N/A,FALSE,"REPORT"}</definedName>
    <definedName name="jkl_4" localSheetId="3" hidden="1">{#N/A,#N/A,FALSE,"REPORT"}</definedName>
    <definedName name="jkl_4" hidden="1">{#N/A,#N/A,FALSE,"REPORT"}</definedName>
    <definedName name="jklk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localSheetId="3" hidden="1">{"detail",#N/A,FALSE,"mfg";"summary",#N/A,FALSE,"mfg"}</definedName>
    <definedName name="jkwsd" hidden="1">{"detail",#N/A,FALSE,"mfg";"summary",#N/A,FALSE,"mfg"}</definedName>
    <definedName name="jl" localSheetId="3" hidden="1">{"trbcash",#N/A,FALSE,"INCPF";"trbinc",#N/A,FALSE,"INCPF";"trbchic",#N/A,FALSE,"INCPF";"trbadrev",#N/A,FALSE,"INCPF";"trbstns",#N/A,FALSE,"INCPF";"trbtvstns",#N/A,FALSE,"INCPF"}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localSheetId="3" hidden="1">{"detail",#N/A,FALSE,"mfg";"summary",#N/A,FALSE,"mfg"}</definedName>
    <definedName name="jnbid" hidden="1">{"detail",#N/A,FALSE,"mfg";"summary",#N/A,FALSE,"mfg"}</definedName>
    <definedName name="Job.NoAKD1" localSheetId="3" hidden="1">{#N/A,#N/A,FALSE,"CMN_FE"}</definedName>
    <definedName name="Job.NoAKD1" hidden="1">{#N/A,#N/A,FALSE,"CMN_FE"}</definedName>
    <definedName name="job_id" hidden="1">#REF!</definedName>
    <definedName name="jo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localSheetId="3" hidden="1">{"pro_view",#N/A,FALSE,"EEFSNAP2";"rep_view",#N/A,FALSE,"EEFSNAP2"}</definedName>
    <definedName name="jomn" hidden="1">{"pro_view",#N/A,FALSE,"EEFSNAP2";"rep_view",#N/A,FALSE,"EEFSNAP2"}</definedName>
    <definedName name="jop" localSheetId="3" hidden="1">{"bs",#N/A,FALSE,"SCF"}</definedName>
    <definedName name="jop" hidden="1">{"bs",#N/A,FALSE,"SCF"}</definedName>
    <definedName name="jöuiuiuzi" localSheetId="3" hidden="1">{#N/A,#N/A,FALSE,"Umsatz 99";#N/A,#N/A,FALSE,"ER 99 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localSheetId="4" hidden="1">{"sch56",#N/A,FALSE,"savings";"sch64",#N/A,FALSE,"savings"}</definedName>
    <definedName name="JR" localSheetId="3" hidden="1">{"sch56",#N/A,FALSE,"savings";"sch64",#N/A,FALSE,"savings"}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localSheetId="3" hidden="1">{"incomemth",#N/A,TRUE,"forecast00";"incomepercentmth",#N/A,TRUE,"forecast00";"balancemth",#N/A,TRUE,"forecast00";"cashmth",#N/A,TRUE,"forecast00";"covenantmth",#N/A,TRUE,"forecast00"}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localSheetId="3" hidden="1">{#N/A,#N/A,FALSE,"Pharm";#N/A,#N/A,FALSE,"WWCM"}</definedName>
    <definedName name="judy" hidden="1">{#N/A,#N/A,FALSE,"Pharm";#N/A,#N/A,FALSE,"WWCM"}</definedName>
    <definedName name="judy_1" localSheetId="3" hidden="1">{#N/A,#N/A,FALSE,"Pharm";#N/A,#N/A,FALSE,"WWCM"}</definedName>
    <definedName name="judy_1" hidden="1">{#N/A,#N/A,FALSE,"Pharm";#N/A,#N/A,FALSE,"WWCM"}</definedName>
    <definedName name="judy_2" localSheetId="3" hidden="1">{#N/A,#N/A,FALSE,"Pharm";#N/A,#N/A,FALSE,"WWCM"}</definedName>
    <definedName name="judy_2" hidden="1">{#N/A,#N/A,FALSE,"Pharm";#N/A,#N/A,FALSE,"WWCM"}</definedName>
    <definedName name="judy_3" localSheetId="3" hidden="1">{#N/A,#N/A,FALSE,"Pharm";#N/A,#N/A,FALSE,"WWCM"}</definedName>
    <definedName name="judy_3" hidden="1">{#N/A,#N/A,FALSE,"Pharm";#N/A,#N/A,FALSE,"WWCM"}</definedName>
    <definedName name="judy_4" localSheetId="3" hidden="1">{#N/A,#N/A,FALSE,"Pharm";#N/A,#N/A,FALSE,"WWCM"}</definedName>
    <definedName name="judy_4" hidden="1">{#N/A,#N/A,FALSE,"Pharm";#N/A,#N/A,FALSE,"WWCM"}</definedName>
    <definedName name="judy1" localSheetId="3" hidden="1">{#N/A,#N/A,FALSE,"Pharm";#N/A,#N/A,FALSE,"WWCM"}</definedName>
    <definedName name="judy1" hidden="1">{#N/A,#N/A,FALSE,"Pharm";#N/A,#N/A,FALSE,"WWCM"}</definedName>
    <definedName name="judy1_1" localSheetId="3" hidden="1">{#N/A,#N/A,FALSE,"Pharm";#N/A,#N/A,FALSE,"WWCM"}</definedName>
    <definedName name="judy1_1" hidden="1">{#N/A,#N/A,FALSE,"Pharm";#N/A,#N/A,FALSE,"WWCM"}</definedName>
    <definedName name="judy1_2" localSheetId="3" hidden="1">{#N/A,#N/A,FALSE,"Pharm";#N/A,#N/A,FALSE,"WWCM"}</definedName>
    <definedName name="judy1_2" hidden="1">{#N/A,#N/A,FALSE,"Pharm";#N/A,#N/A,FALSE,"WWCM"}</definedName>
    <definedName name="judy1_3" localSheetId="3" hidden="1">{#N/A,#N/A,FALSE,"Pharm";#N/A,#N/A,FALSE,"WWCM"}</definedName>
    <definedName name="judy1_3" hidden="1">{#N/A,#N/A,FALSE,"Pharm";#N/A,#N/A,FALSE,"WWCM"}</definedName>
    <definedName name="judy1_4" localSheetId="3" hidden="1">{#N/A,#N/A,FALSE,"Pharm";#N/A,#N/A,FALSE,"WWCM"}</definedName>
    <definedName name="judy1_4" hidden="1">{#N/A,#N/A,FALSE,"Pharm";#N/A,#N/A,FALSE,"WWCM"}</definedName>
    <definedName name="jui" localSheetId="3" hidden="1">{"YD OTHER",#N/A,FALSE,"YTD"}</definedName>
    <definedName name="jui" hidden="1">{"YD OTHER",#N/A,FALSE,"YTD"}</definedName>
    <definedName name="juio" localSheetId="3" hidden="1">{"Page 1",#N/A,FALSE,"OpExJanVsPY";"Page 2",#N/A,FALSE,"OpExJanVsPY"}</definedName>
    <definedName name="juio" hidden="1">{"Page 1",#N/A,FALSE,"OpExJanVsPY";"Page 2",#N/A,FALSE,"OpExJanVsPY"}</definedName>
    <definedName name="JUL_ACT">#REF!</definedName>
    <definedName name="JUL_AOP">#REF!</definedName>
    <definedName name="JUL_BUD" localSheetId="4">'[43]P&amp;L Breakdown'!$O:$O</definedName>
    <definedName name="JUL_BUD">#REF!</definedName>
    <definedName name="jul_detail">#REF!</definedName>
    <definedName name="Jul_TB_18">#REF!</definedName>
    <definedName name="JUN_BUD" localSheetId="4">'[43]P&amp;L Breakdown'!$N:$N</definedName>
    <definedName name="JUN_BUD">#REF!</definedName>
    <definedName name="june" localSheetId="4">'[166]6.99'!$A$3:$K$105</definedName>
    <definedName name="june">#REF!</definedName>
    <definedName name="June_19" localSheetId="4">[43]TB!$U:$U</definedName>
    <definedName name="June_19">#REF!</definedName>
    <definedName name="JUNK" localSheetId="4" hidden="1">{"GTO-BS",#N/A,FALSE,"BAL";"GTO-IS",#N/A,FALSE,"OVERHEAD"}</definedName>
    <definedName name="JUNK" localSheetId="3" hidden="1">{"GTO-BS",#N/A,FALSE,"BAL";"GTO-IS",#N/A,FALSE,"OVERHEAD"}</definedName>
    <definedName name="JUNK" hidden="1">{"GTO-BS",#N/A,FALSE,"BAL";"GTO-IS",#N/A,FALSE,"OVERHEAD"}</definedName>
    <definedName name="junkme" localSheetId="3" hidden="1">{#N/A,#N/A,TRUE,"Status Report";#N/A,#N/A,TRUE,"Current Forecast";#N/A,#N/A,TRUE,"Last Forecast";#N/A,#N/A,TRUE,"BP";#N/A,#N/A,TRUE,"LY"}</definedName>
    <definedName name="junkme" hidden="1">{#N/A,#N/A,TRUE,"Status Report";#N/A,#N/A,TRUE,"Current Forecast";#N/A,#N/A,TRUE,"Last Forecast";#N/A,#N/A,TRUE,"BP";#N/A,#N/A,TRUE,"LY"}</definedName>
    <definedName name="jutyyt" localSheetId="4" hidden="1">{#N/A,#N/A,FALSE,"חודשי"}</definedName>
    <definedName name="jutyyt" localSheetId="3" hidden="1">{#N/A,#N/A,FALSE,"חודשי"}</definedName>
    <definedName name="jutyyt" hidden="1">{#N/A,#N/A,FALSE,"חודשי"}</definedName>
    <definedName name="JV">#REF!</definedName>
    <definedName name="jysryjw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 localSheetId="4">#REF!</definedName>
    <definedName name="k" localSheetId="3">{"DCF","UPSIDE CASE",FALSE,"Sheet1";"DCF","BASE CASE",FALSE,"Sheet1";"DCF","DOWNSIDE CASE",FALSE,"Sheet1"}</definedName>
    <definedName name="k">{"DCF","UPSIDE CASE",FALSE,"Sheet1";"DCF","BASE CASE",FALSE,"Sheet1";"DCF","DOWNSIDE CASE",FALSE,"Sheet1"}</definedName>
    <definedName name="k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localSheetId="3" hidden="1">{#N/A,#N/A,FALSE,"Umsatz 99";#N/A,#N/A,FALSE,"ER 99 "}</definedName>
    <definedName name="kaj" hidden="1">{#N/A,#N/A,FALSE,"Umsatz 99";#N/A,#N/A,FALSE,"ER 99 "}</definedName>
    <definedName name="KAR" localSheetId="3" hidden="1">{#N/A,#N/A,FALSE,"FINAL"}</definedName>
    <definedName name="KAR" hidden="1">{#N/A,#N/A,FALSE,"FINAL"}</definedName>
    <definedName name="kasdkaksdka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localSheetId="3" hidden="1">{"bs",#N/A,FALSE,"SCF"}</definedName>
    <definedName name="kay" hidden="1">{"bs",#N/A,FALSE,"SCF"}</definedName>
    <definedName name="kcuf" localSheetId="3" hidden="1">{"SUMMARY",#N/A,TRUE,"SUMMARY";"compare",#N/A,TRUE,"Vs. Bus Plan";"ratios",#N/A,TRUE,"Ratios";"REVENUE",#N/A,TRUE,"Revenue";"expenses",#N/A,TRUE,"1996 budget";"payroll",#N/A,TRUE,"Payroll"}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localSheetId="3" hidden="1">{#N/A,#N/A,FALSE,"Sheet1"}</definedName>
    <definedName name="kdkd" hidden="1">{#N/A,#N/A,FALSE,"Sheet1"}</definedName>
    <definedName name="kdshfdsofa" localSheetId="3" hidden="1">{#N/A,#N/A,FALSE,"Aging Summary";#N/A,#N/A,FALSE,"Ratio Analysis";#N/A,#N/A,FALSE,"Test 120 Day Accts";#N/A,#N/A,FALSE,"Tickmarks"}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 localSheetId="4">[167]key!$A$1:$E$65536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 localSheetId="4">'[65]Budget New'!#REF!</definedName>
    <definedName name="KeyComputing">#REF!</definedName>
    <definedName name="keycopr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localSheetId="3" hidden="1">{#N/A,#N/A,FALSE,"Aging Summary";#N/A,#N/A,FALSE,"Ratio Analysis";#N/A,#N/A,FALSE,"Test 120 Day Accts";#N/A,#N/A,FALSE,"Tickmarks"}</definedName>
    <definedName name="KHGKH" hidden="1">{#N/A,#N/A,FALSE,"Aging Summary";#N/A,#N/A,FALSE,"Ratio Analysis";#N/A,#N/A,FALSE,"Test 120 Day Accts";#N/A,#N/A,FALSE,"Tickmarks"}</definedName>
    <definedName name="khj" localSheetId="3" hidden="1">{#N/A,#N/A,FALSE,"Sheet1"}</definedName>
    <definedName name="khj" hidden="1">{#N/A,#N/A,FALSE,"Sheet1"}</definedName>
    <definedName name="khsdfkj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localSheetId="3" hidden="1">{#N/A,#N/A,FALSE,"ALM-ASISC"}</definedName>
    <definedName name="kim" hidden="1">{#N/A,#N/A,FALSE,"ALM-ASISC"}</definedName>
    <definedName name="kinjs" localSheetId="3" hidden="1">{"detail",#N/A,FALSE,"mfg";"summary",#N/A,FALSE,"mfg"}</definedName>
    <definedName name="kinjs" hidden="1">{"detail",#N/A,FALSE,"mfg";"summary",#N/A,FALSE,"mfg"}</definedName>
    <definedName name="kip" localSheetId="3" hidden="1">{"detail",#N/A,FALSE,"mfg";"summary",#N/A,FALSE,"mfg"}</definedName>
    <definedName name="kip" hidden="1">{"detail",#N/A,FALSE,"mfg";"summary",#N/A,FALSE,"mfg"}</definedName>
    <definedName name="kj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localSheetId="3" hidden="1">{#N/A,#N/A,FALSE,"Sheet1"}</definedName>
    <definedName name="kjdjdjd" hidden="1">{#N/A,#N/A,FALSE,"Sheet1"}</definedName>
    <definedName name="kjdslf" localSheetId="3" hidden="1">{#N/A,#N/A,FALSE,"Sheet1"}</definedName>
    <definedName name="kjdslf" hidden="1">{#N/A,#N/A,FALSE,"Sheet1"}</definedName>
    <definedName name="kjg" localSheetId="3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localSheetId="3" hidden="1">{"ICD Details",#N/A,FALSE,"Current Yr";"ICD Details",#N/A,FALSE,"Budget";"ICD Details",#N/A,FALSE,"Prior Year"}</definedName>
    <definedName name="kjhg" hidden="1">{"ICD Details",#N/A,FALSE,"Current Yr";"ICD Details",#N/A,FALSE,"Budget";"ICD Details",#N/A,FALSE,"Prior Year"}</definedName>
    <definedName name="kjhjhjh" localSheetId="3">{"'Directory'!$A$72:$E$91"}</definedName>
    <definedName name="kjhjhjh">{"'Directory'!$A$72:$E$91"}</definedName>
    <definedName name="kjhkjh" localSheetId="3" hidden="1">{#N/A,#N/A,FALSE,"ORIX CSC"}</definedName>
    <definedName name="kjhkjh" hidden="1">{#N/A,#N/A,FALSE,"ORIX CSC"}</definedName>
    <definedName name="kjhkl" localSheetId="3" hidden="1">{#N/A,#N/A,FALSE,"Sheet1"}</definedName>
    <definedName name="kjhkl" hidden="1">{#N/A,#N/A,FALSE,"Sheet1"}</definedName>
    <definedName name="kjip" localSheetId="3" hidden="1">{"detail",#N/A,FALSE,"mfg";"summary",#N/A,FALSE,"mfg"}</definedName>
    <definedName name="kjip" hidden="1">{"detail",#N/A,FALSE,"mfg";"summary",#N/A,FALSE,"mfg"}</definedName>
    <definedName name="kjk" localSheetId="3" hidden="1">{"assets",#N/A,FALSE,"historicBS";"liab",#N/A,FALSE,"historicBS";"is",#N/A,FALSE,"historicIS";"ratios",#N/A,FALSE,"ratios"}</definedName>
    <definedName name="kjk" hidden="1">{"assets",#N/A,FALSE,"historicBS";"liab",#N/A,FALSE,"historicBS";"is",#N/A,FALSE,"historicIS";"ratios",#N/A,FALSE,"ratios"}</definedName>
    <definedName name="kjk.l" localSheetId="3" hidden="1">{#N/A,#N/A,FALSE,"Produkte Erw.";#N/A,#N/A,FALSE,"Produkte Plan";#N/A,#N/A,FALSE,"Leistungen Erw.";#N/A,#N/A,FALSE,"Leistungen Plan";#N/A,#N/A,FALSE,"KA Allg.Kosten (2)";#N/A,#N/A,FALSE,"KA All.Kosten"}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localSheetId="3" hidden="1">{#N/A,#N/A,FALSE,"Aging Summary";#N/A,#N/A,FALSE,"Ratio Analysis";#N/A,#N/A,FALSE,"Test 120 Day Accts";#N/A,#N/A,FALSE,"Tickmarks"}</definedName>
    <definedName name="kjklgjklgjkl" hidden="1">{#N/A,#N/A,FALSE,"Aging Summary";#N/A,#N/A,FALSE,"Ratio Analysis";#N/A,#N/A,FALSE,"Test 120 Day Accts";#N/A,#N/A,FALSE,"Tickmarks"}</definedName>
    <definedName name="kjljkölhklh" localSheetId="3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localSheetId="4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m" localSheetId="3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localSheetId="3" hidden="1">{#N/A,#N/A,FALSE,"Produkte Erw.";#N/A,#N/A,FALSE,"Produkte Plan";#N/A,#N/A,FALSE,"Leistungen Erw.";#N/A,#N/A,FALSE,"Leistungen Plan";#N/A,#N/A,FALSE,"KA Allg.Kosten (2)";#N/A,#N/A,FALSE,"KA All.Kosten"}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localSheetId="4" hidden="1">{#N/A,#N/A,FALSE,"תוכניות"}</definedName>
    <definedName name="kkiiu" localSheetId="3" hidden="1">{#N/A,#N/A,FALSE,"תוכניות"}</definedName>
    <definedName name="kkiiu" hidden="1">{#N/A,#N/A,FALSE,"תוכניות"}</definedName>
    <definedName name="kkj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localSheetId="3" hidden="1">{"Assumptions",#N/A,TRUE,"Assumptions";"Income",#N/A,TRUE,"Income";"Balance",#N/A,TRUE,"Balance"}</definedName>
    <definedName name="kkk" hidden="1">{"Assumptions",#N/A,TRUE,"Assumptions";"Income",#N/A,TRUE,"Income";"Balance",#N/A,TRUE,"Balance"}</definedName>
    <definedName name="kkk.llll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localSheetId="3" hidden="1">{#N/A,#N/A,FALSE,"Assessment";#N/A,#N/A,FALSE,"Staffing";#N/A,#N/A,FALSE,"Hires";#N/A,#N/A,FALSE,"Assumptions"}</definedName>
    <definedName name="KKK_1" hidden="1">{#N/A,#N/A,FALSE,"Assessment";#N/A,#N/A,FALSE,"Staffing";#N/A,#N/A,FALSE,"Hires";#N/A,#N/A,FALSE,"Assumptions"}</definedName>
    <definedName name="KKK_1_1" localSheetId="3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localSheetId="3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localSheetId="3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localSheetId="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localSheetId="3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localSheetId="3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localSheetId="3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localSheetId="3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localSheetId="3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localSheetId="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localSheetId="3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localSheetId="3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localSheetId="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localSheetId="3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localSheetId="3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localSheetId="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localSheetId="3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localSheetId="3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localSheetId="3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localSheetId="3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localSheetId="3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localSheetId="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localSheetId="3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localSheetId="3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localSheetId="3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localSheetId="3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localSheetId="3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localSheetId="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localSheetId="3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localSheetId="4" hidden="1">{#N/A,#N/A,FALSE,"שכר מרכז"}</definedName>
    <definedName name="kkkjj" localSheetId="3" hidden="1">{#N/A,#N/A,FALSE,"שכר מרכז"}</definedName>
    <definedName name="kkkjj" hidden="1">{#N/A,#N/A,FALSE,"שכר מרכז"}</definedName>
    <definedName name="kkkk.llll" localSheetId="3" hidden="1">{#N/A,#N/A,FALSE,"Umsatz 99";#N/A,#N/A,FALSE,"ER 99 "}</definedName>
    <definedName name="kkkk.llll" hidden="1">{#N/A,#N/A,FALSE,"Umsatz 99";#N/A,#N/A,FALSE,"ER 99 "}</definedName>
    <definedName name="KKKKK" hidden="1">#REF!</definedName>
    <definedName name="kkkkkkk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localSheetId="3" hidden="1">{"'Customer Support Trends'!$A$1:$AB$13"}</definedName>
    <definedName name="kkl" hidden="1">{"'Customer Support Trends'!$A$1:$AB$13"}</definedName>
    <definedName name="kklk" localSheetId="3" hidden="1">{"glc1",#N/A,FALSE,"GLC";"glc2",#N/A,FALSE,"GLC";"glc3",#N/A,FALSE,"GLC";"glc4",#N/A,FALSE,"GLC";"glc5",#N/A,FALSE,"GLC"}</definedName>
    <definedName name="kklk" hidden="1">{"glc1",#N/A,FALSE,"GLC";"glc2",#N/A,FALSE,"GLC";"glc3",#N/A,FALSE,"GLC";"glc4",#N/A,FALSE,"GLC";"glc5",#N/A,FALSE,"GLC"}</definedName>
    <definedName name="kl" localSheetId="3" hidden="1">{#N/A,#N/A,FALSE,"FY97";#N/A,#N/A,FALSE,"FY98";#N/A,#N/A,FALSE,"FY99";#N/A,#N/A,FALSE,"FY00";#N/A,#N/A,FALSE,"FY01"}</definedName>
    <definedName name="kl" hidden="1">{#N/A,#N/A,FALSE,"FY97";#N/A,#N/A,FALSE,"FY98";#N/A,#N/A,FALSE,"FY99";#N/A,#N/A,FALSE,"FY00";#N/A,#N/A,FALSE,"FY01"}</definedName>
    <definedName name="KLHJ">#REF!</definedName>
    <definedName name="kljdkjkldfj" localSheetId="3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localSheetId="3" hidden="1">{#N/A,#N/A,FALSE,"KA CH  (2)"}</definedName>
    <definedName name="kljklkj" hidden="1">{#N/A,#N/A,FALSE,"KA CH  (2)"}</definedName>
    <definedName name="kl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localSheetId="3" hidden="1">{#N/A,#N/A,FALSE,"OSBL"}</definedName>
    <definedName name="KLKK" hidden="1">{#N/A,#N/A,FALSE,"OSBL"}</definedName>
    <definedName name="klklkl" localSheetId="3" hidden="1">{#N/A,#N/A,FALSE,"Umsatz 99";#N/A,#N/A,FALSE,"ER 99 "}</definedName>
    <definedName name="klklkl" hidden="1">{#N/A,#N/A,FALSE,"Umsatz 99";#N/A,#N/A,FALSE,"ER 99 "}</definedName>
    <definedName name="klñ" localSheetId="3" hidden="1">{"AS REP",#N/A,FALSE,"EEFSNAP2";"PROP",#N/A,FALSE,"EEFSNAP2";"RISKS",#N/A,FALSE,"EEFSNAP2";"VIEW ALL",#N/A,FALSE,"EEFSNAP2"}</definedName>
    <definedName name="klñ" hidden="1">{"AS REP",#N/A,FALSE,"EEFSNAP2";"PROP",#N/A,FALSE,"EEFSNAP2";"RISKS",#N/A,FALSE,"EEFSNAP2";"VIEW ALL",#N/A,FALSE,"EEFSNAP2"}</definedName>
    <definedName name="km" localSheetId="3" hidden="1">{"Income sources",#N/A,FALSE,"budget Format - Peachtree"}</definedName>
    <definedName name="km" hidden="1">{"Income sources",#N/A,FALSE,"budget Format - Peachtree"}</definedName>
    <definedName name="KNTY8" localSheetId="3" hidden="1">{"firs",#N/A,FALSE,"Sheet1";"second",#N/A,FALSE,"Sheet1"}</definedName>
    <definedName name="KNTY8" hidden="1">{"firs",#N/A,FALSE,"Sheet1";"second",#N/A,FALSE,"Sheet1"}</definedName>
    <definedName name="köäklöl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localSheetId="3" hidden="1">{#N/A,#N/A,FALSE,"Full";#N/A,#N/A,FALSE,"Half";#N/A,#N/A,FALSE,"Op Expenses";#N/A,#N/A,FALSE,"Cap Charge";#N/A,#N/A,FALSE,"Cost C";#N/A,#N/A,FALSE,"PP&amp;E";#N/A,#N/A,FALSE,"R&amp;D"}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 localSheetId="3">{"'NPCGUIDELINES'!$A$1:$J$41"}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localSheetId="3" hidden="1">{#N/A,#N/A,FALSE,"FINAL"}</definedName>
    <definedName name="KOP" hidden="1">{#N/A,#N/A,FALSE,"FINAL"}</definedName>
    <definedName name="kostas" localSheetId="3" hidden="1">{#N/A,#N/A,FALSE,"Summary";#N/A,#N/A,FALSE,"CF";#N/A,#N/A,FALSE,"P&amp;L";#N/A,#N/A,FALSE,"BS";#N/A,#N/A,FALSE,"Returns";#N/A,#N/A,FALSE,"Assumptions";#N/A,#N/A,FALSE,"Analysis"}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localSheetId="3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localSheetId="3" hidden="1">{"detail",#N/A,FALSE,"mfg";"summary",#N/A,FALSE,"mfg"}</definedName>
    <definedName name="kou" hidden="1">{"detail",#N/A,FALSE,"mfg";"summary",#N/A,FALSE,"mfg"}</definedName>
    <definedName name="ksadfkasefkqw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localSheetId="3" hidden="1">{#N/A,#N/A,FALSE,"REPORT"}</definedName>
    <definedName name="kslkjkjlkjd" hidden="1">{#N/A,#N/A,FALSE,"REPORT"}</definedName>
    <definedName name="kslkjkjlkjd_1" localSheetId="3" hidden="1">{#N/A,#N/A,FALSE,"REPORT"}</definedName>
    <definedName name="kslkjkjlkjd_1" hidden="1">{#N/A,#N/A,FALSE,"REPORT"}</definedName>
    <definedName name="kslkjkjlkjd_2" localSheetId="3" hidden="1">{#N/A,#N/A,FALSE,"REPORT"}</definedName>
    <definedName name="kslkjkjlkjd_2" hidden="1">{#N/A,#N/A,FALSE,"REPORT"}</definedName>
    <definedName name="kslkjkjlkjd_3" localSheetId="3" hidden="1">{#N/A,#N/A,FALSE,"REPORT"}</definedName>
    <definedName name="kslkjkjlkjd_3" hidden="1">{#N/A,#N/A,FALSE,"REPORT"}</definedName>
    <definedName name="kslkjkjlkjd_4" localSheetId="3" hidden="1">{#N/A,#N/A,FALSE,"REPORT"}</definedName>
    <definedName name="kslkjkjlkjd_4" hidden="1">{#N/A,#N/A,FALSE,"REPORT"}</definedName>
    <definedName name="ku" localSheetId="3" hidden="1">{"table",#N/A,FALSE,"COVER";"income_statement",#N/A,FALSE,"COVER"}</definedName>
    <definedName name="ku" hidden="1">{"table",#N/A,FALSE,"COVER";"income_statement",#N/A,FALSE,"COVER"}</definedName>
    <definedName name="kwy" localSheetId="3" hidden="1">{#N/A,#N/A,FALSE,"ALM-ASISC"}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[168]Links!$H$1:$H$65536</definedName>
    <definedName name="L_AJE_Tot">[168]Links!$G$1:$G$65536</definedName>
    <definedName name="L_CY_Beg">[168]Links!$F$1:$F$65536</definedName>
    <definedName name="L_CY_End">[168]Links!$J$1:$J$65536</definedName>
    <definedName name="L_PY_End">[168]Links!$K$1:$K$65536</definedName>
    <definedName name="L_RJE_Tot">[168]Links!$I$1:$I$65536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localSheetId="3" hidden="1">IF(Values_Entered,[0]!Header_Row+'Company Name COGS+OPEX Build'!Number_of_Payments,[0]!Header_Row)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 localSheetId="3">{"'1-TheatreBkgs'!$A$1:$L$102"}</definedName>
    <definedName name="laura">{"'1-TheatreBkgs'!$A$1:$L$102"}</definedName>
    <definedName name="Layout">#REF!</definedName>
    <definedName name="LBO">#REF!</definedName>
    <definedName name="LBOCreditConsol" localSheetId="3" hidden="1">{"FCB_ALL",#N/A,FALSE,"FCB"}</definedName>
    <definedName name="LBOCreditConsol" hidden="1">{"FCB_ALL",#N/A,FALSE,"FCB"}</definedName>
    <definedName name="LBOEquity">#REF!</definedName>
    <definedName name="LBOStub">#REF!</definedName>
    <definedName name="LBOwrn.PRINT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BOwrn.PRINT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localSheetId="3" hidden="1">{#N/A,"PURCHM",FALSE,"Business Analysis";#N/A,"SPADD",FALSE,"Business Analysis"}</definedName>
    <definedName name="ldkeir" hidden="1">{#N/A,"PURCHM",FALSE,"Business Analysis";#N/A,"SPADD",FALSE,"Business Analysis"}</definedName>
    <definedName name="ldskfjsl" localSheetId="3" hidden="1">{#N/A,#N/A,FALSE,"Model";#N/A,#N/A,FALSE,"Division"}</definedName>
    <definedName name="ldskfjsl" hidden="1">{#N/A,#N/A,FALSE,"Model";#N/A,#N/A,FALSE,"Division"}</definedName>
    <definedName name="le">#REF!</definedName>
    <definedName name="lease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localSheetId="3" hidden="1">{#N/A,#N/A,FALSE,"Pharm";#N/A,#N/A,FALSE,"WWCM"}</definedName>
    <definedName name="lee" hidden="1">{#N/A,#N/A,FALSE,"Pharm";#N/A,#N/A,FALSE,"WWCM"}</definedName>
    <definedName name="lee_1" localSheetId="3" hidden="1">{#N/A,#N/A,FALSE,"Pharm";#N/A,#N/A,FALSE,"WWCM"}</definedName>
    <definedName name="lee_1" hidden="1">{#N/A,#N/A,FALSE,"Pharm";#N/A,#N/A,FALSE,"WWCM"}</definedName>
    <definedName name="lee_2" localSheetId="3" hidden="1">{#N/A,#N/A,FALSE,"Pharm";#N/A,#N/A,FALSE,"WWCM"}</definedName>
    <definedName name="lee_2" hidden="1">{#N/A,#N/A,FALSE,"Pharm";#N/A,#N/A,FALSE,"WWCM"}</definedName>
    <definedName name="lee_3" localSheetId="3" hidden="1">{#N/A,#N/A,FALSE,"Pharm";#N/A,#N/A,FALSE,"WWCM"}</definedName>
    <definedName name="lee_3" hidden="1">{#N/A,#N/A,FALSE,"Pharm";#N/A,#N/A,FALSE,"WWCM"}</definedName>
    <definedName name="lee_4" localSheetId="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localSheetId="3" hidden="1">{"table",#N/A,FALSE,"COVER";"income_statement",#N/A,FALSE,"COVER"}</definedName>
    <definedName name="lffd" hidden="1">{"table",#N/A,FALSE,"COVER";"income_statement",#N/A,FALSE,"COVER"}</definedName>
    <definedName name="lfjlf" localSheetId="3" hidden="1">{"Fcst by Qtr Full",#N/A,FALSE,"Tot PalmPalm";"Fcst by Qtr Full",#N/A,FALSE,"Tot Device";"Fcst by Qtr Full",#N/A,FALSE,"Platform";"Fcst by Qtr Full",#N/A,FALSE,"Palm.Net";"Fcst by Qtr Full",#N/A,FALSE,"Elim"}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 localSheetId="4">[95]consolidation!#REF!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 localSheetId="4" hidden="1">1</definedName>
    <definedName name="limcount">2</definedName>
    <definedName name="limey" localSheetId="3" hidden="1">{#N/A,#N/A,FALSE,"Calc";#N/A,#N/A,FALSE,"Sensitivity";#N/A,#N/A,FALSE,"LT Earn.Dil.";#N/A,#N/A,FALSE,"Dil. AVP"}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localSheetId="3" hidden="1">{"Olk by Qtr Full",#N/A,FALSE,"Tot PalmPalm";"Olk by Qtr Full",#N/A,FALSE,"Tot Device";"Olk by Qtr Full",#N/A,FALSE,"Platform";"Olk by Qtr Full",#N/A,FALSE,"Palm.Net";"Olk by Qtr Full",#N/A,FALSE,"Elim"}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localSheetId="3" hidden="1">{#N/A,#N/A,FALSE,"FREE"}</definedName>
    <definedName name="LJLJJ" hidden="1">{#N/A,#N/A,FALSE,"FREE"}</definedName>
    <definedName name="ljljljlj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localSheetId="3" hidden="1">{"'Int.-Cem.unit -SUMMARY'!$A$1:$J$25"}</definedName>
    <definedName name="lk" hidden="1">{"'Int.-Cem.unit -SUMMARY'!$A$1:$J$25"}</definedName>
    <definedName name="LKFGLFKLDK">[169]!מאקרו1</definedName>
    <definedName name="lkj" localSheetId="3" hidden="1">{"detail",#N/A,FALSE,"mfg";"summary",#N/A,FALSE,"mfg"}</definedName>
    <definedName name="lkj" hidden="1">{"detail",#N/A,FALSE,"mfg";"summary",#N/A,FALSE,"mfg"}</definedName>
    <definedName name="LKJL" localSheetId="3" hidden="1">{#N/A,#N/A,FALSE,"FINAL"}</definedName>
    <definedName name="LKJL" hidden="1">{#N/A,#N/A,FALSE,"FINAL"}</definedName>
    <definedName name="lkjlj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localSheetId="3" hidden="1">{"Final",#N/A,FALSE,"Feb-96"}</definedName>
    <definedName name="lkjlkj" hidden="1">{"Final",#N/A,FALSE,"Feb-96"}</definedName>
    <definedName name="lkjlklkjlkjlkj" localSheetId="3" hidden="1">{"page1",#N/A,TRUE,"CSC";"page2",#N/A,TRUE,"CSC"}</definedName>
    <definedName name="lkjlklkjlkjlkj" hidden="1">{"page1",#N/A,TRUE,"CSC";"page2",#N/A,TRUE,"CSC"}</definedName>
    <definedName name="lkk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localSheetId="3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mn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localSheetId="3" hidden="1">{#N/A,#N/A,FALSE,"Detailed";#N/A,#N/A,FALSE,"Total";#N/A,#N/A,FALSE,"Detailed (2)"}</definedName>
    <definedName name="lko" hidden="1">{#N/A,#N/A,FALSE,"Detailed";#N/A,#N/A,FALSE,"Total";#N/A,#N/A,FALSE,"Detailed (2)"}</definedName>
    <definedName name="lko_1" localSheetId="3" hidden="1">{#N/A,#N/A,FALSE,"Detailed";#N/A,#N/A,FALSE,"Total";#N/A,#N/A,FALSE,"Detailed (2)"}</definedName>
    <definedName name="lko_1" hidden="1">{#N/A,#N/A,FALSE,"Detailed";#N/A,#N/A,FALSE,"Total";#N/A,#N/A,FALSE,"Detailed (2)"}</definedName>
    <definedName name="lko0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localSheetId="3">{"'2ND_QUAR'!$A$1:$P$106"}</definedName>
    <definedName name="ll">{"'2ND_QUAR'!$A$1:$P$106"}</definedName>
    <definedName name="ll.l" localSheetId="3" hidden="1">{#N/A,#N/A,FALSE,"Produkte Erw.";#N/A,#N/A,FALSE,"Produkte Plan";#N/A,#N/A,FALSE,"Leistungen Erw.";#N/A,#N/A,FALSE,"Leistungen Plan";#N/A,#N/A,FALSE,"KA Allg.Kosten (2)";#N/A,#N/A,FALSE,"KA All.Kosten"}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localSheetId="3" hidden="1">{"typical",#N/A,FALSE,"Typical Absence"}</definedName>
    <definedName name="llk" hidden="1">{"typical",#N/A,FALSE,"Typical Absence"}</definedName>
    <definedName name="llkj" localSheetId="3" hidden="1">{#N/A,#N/A,FALSE,"Heat";#N/A,#N/A,FALSE,"DCF";#N/A,#N/A,FALSE,"LBO";#N/A,#N/A,FALSE,"A";#N/A,#N/A,FALSE,"C";#N/A,#N/A,FALSE,"impd";#N/A,#N/A,FALSE,"Accr-Dilu"}</definedName>
    <definedName name="llkj" hidden="1">{#N/A,#N/A,FALSE,"Heat";#N/A,#N/A,FALSE,"DCF";#N/A,#N/A,FALSE,"LBO";#N/A,#N/A,FALSE,"A";#N/A,#N/A,FALSE,"C";#N/A,#N/A,FALSE,"impd";#N/A,#N/A,FALSE,"Accr-Dilu"}</definedName>
    <definedName name="llkj_1" localSheetId="3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localSheetId="3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localSheetId="3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localSheetId="3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localSheetId="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localSheetId="3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localSheetId="3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localSheetId="3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localSheetId="3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localSheetId="3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localSheetId="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localSheetId="3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localSheetId="3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localSheetId="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localSheetId="3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localSheetId="3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localSheetId="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localSheetId="3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localSheetId="3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localSheetId="3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localSheetId="3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localSheetId="3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localSheetId="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localSheetId="3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localSheetId="3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localSheetId="3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localSheetId="3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localSheetId="3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localSheetId="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localSheetId="3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localSheetId="3" hidden="1">{#N/A,#N/A,FALSE,"Aging Summary";#N/A,#N/A,FALSE,"Ratio Analysis";#N/A,#N/A,FALSE,"Test 120 Day Accts";#N/A,#N/A,FALSE,"Tickmarks"}</definedName>
    <definedName name="llklô" hidden="1">{#N/A,#N/A,FALSE,"Aging Summary";#N/A,#N/A,FALSE,"Ratio Analysis";#N/A,#N/A,FALSE,"Test 120 Day Accts";#N/A,#N/A,FALSE,"Tickmarks"}</definedName>
    <definedName name="LLL" localSheetId="4">'[15]ער"ז דוח מס:מיעוט'!$L$9:$BS$651</definedName>
    <definedName name="lll" localSheetId="3" hidden="1">{#N/A,#N/A,FALSE,"Summary";#N/A,#N/A,FALSE,"proj1";#N/A,#N/A,FALSE,"proj2"}</definedName>
    <definedName name="lll" hidden="1">{#N/A,#N/A,FALSE,"Summary";#N/A,#N/A,FALSE,"proj1";#N/A,#N/A,FALSE,"proj2"}</definedName>
    <definedName name="lllj" hidden="1">#REF!</definedName>
    <definedName name="lllll" localSheetId="4" hidden="1">{#N/A,#N/A,FALSE,"מאזן בוחן";"כל_מאזן_בוחן",#N/A,FALSE,"מאזן בוחן"}</definedName>
    <definedName name="lllll" localSheetId="3" hidden="1">{#N/A,#N/A,FALSE,"מאזן בוחן";"כל_מאזן_בוחן",#N/A,FALSE,"מאזן בוחן"}</definedName>
    <definedName name="lllll" hidden="1">{#N/A,#N/A,FALSE,"מאזן בוחן";"כל_מאזן_בוחן",#N/A,FALSE,"מאזן בוחן"}</definedName>
    <definedName name="llllll" localSheetId="3" hidden="1">{"detail",#N/A,FALSE,"mfg";"summary",#N/A,FALSE,"mfg"}</definedName>
    <definedName name="llllll" hidden="1">{"detail",#N/A,FALSE,"mfg";"summary",#N/A,FALSE,"mfg"}</definedName>
    <definedName name="lllllll" localSheetId="3" hidden="1">{"GTI monthly IS",#N/A,FALSE,"gti";#N/A,#N/A,FALSE,"gti"}</definedName>
    <definedName name="lllllll" hidden="1">{"GTI monthly IS",#N/A,FALSE,"gti";#N/A,#N/A,FALSE,"gti"}</definedName>
    <definedName name="llllllllllllllllll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localSheetId="3" hidden="1">{"Geographic P1",#N/A,FALSE,"Division &amp; Geog"}</definedName>
    <definedName name="lllllllllllllllllllllllllllllllll" hidden="1">{"Geographic P1",#N/A,FALSE,"Division &amp; Geog"}</definedName>
    <definedName name="llp" localSheetId="3" hidden="1">{"YD LPH2",#N/A,FALSE,"YTD"}</definedName>
    <definedName name="llp" hidden="1">{"YD LPH2",#N/A,FALSE,"YTD"}</definedName>
    <definedName name="lm" localSheetId="3" hidden="1">{#N/A,#N/A,FALSE,"Monthly"}</definedName>
    <definedName name="lm" hidden="1">{#N/A,#N/A,FALSE,"Monthly"}</definedName>
    <definedName name="LME">#REF!</definedName>
    <definedName name="lñ" localSheetId="3" hidden="1">{"sales growth",#N/A,FALSE,"summary";"oper income",#N/A,FALSE,"summary";"oros rank",#N/A,FALSE,"summary";"net assets",#N/A,FALSE,"summary";"asset turnover",#N/A,FALSE,"summary";"orona",#N/A,FALSE,"summary"}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localSheetId="3" hidden="1">{#N/A,#N/A,FALSE,"Sheet1"}</definedName>
    <definedName name="lo" hidden="1">{#N/A,#N/A,FALSE,"Sheet1"}</definedName>
    <definedName name="LOAD">#REF!</definedName>
    <definedName name="Loan_Amount" localSheetId="4" hidden="1">'[142]Amortization Table'!$D$6</definedName>
    <definedName name="Loan_Amount" hidden="1">#REF!</definedName>
    <definedName name="Loan_Start" localSheetId="4" hidden="1">'[142]Amortization Table'!$D$10</definedName>
    <definedName name="Loan_Start" hidden="1">#REF!</definedName>
    <definedName name="Loan_Years" localSheetId="4" hidden="1">'[142]Amortization Table'!$D$8</definedName>
    <definedName name="Loan_Years" hidden="1">#REF!</definedName>
    <definedName name="LoanTwoDrawdown" localSheetId="4">[45]Workings!$D$921:$O$921</definedName>
    <definedName name="LoanTwoDrawdown">#REF!</definedName>
    <definedName name="loc">#REF!</definedName>
    <definedName name="Local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ng_Term_Growth_Rate">#REF!</definedName>
    <definedName name="Long_Term_Margin_Rate">#REF!</definedName>
    <definedName name="longh" localSheetId="3" hidden="1">{"GTI monthly IS",#N/A,FALSE,"gti";#N/A,#N/A,FALSE,"gti"}</definedName>
    <definedName name="longh" hidden="1">{"GTI monthly IS",#N/A,FALSE,"gti";#N/A,#N/A,FALSE,"gti"}</definedName>
    <definedName name="LongTerm0906">'[117]לוחות סילוקין'!$C$43:$C$76,'[117]לוחות סילוקין'!$I$43:$I$76,'[117]לוחות סילוקין'!$O$43:$O$76,'[117]לוחות סילוקין'!$U$43:$U$76,'[117]לוחות סילוקין'!$AA$43:$AA$76,'[117]לוחות סילוקין'!$AH$43:$AH$76,'[117]לוחות סילוקין'!$AN$43:$AN$76,'[117]לוחות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localSheetId="3" hidden="1">{"detail",#N/A,FALSE,"mfg";"summary",#N/A,FALSE,"mfg"}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 localSheetId="4">'[83]General data'!$D$5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u" localSheetId="3">{"'Directory'!$A$72:$E$91"}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 localSheetId="4">[95]consolidation!#REF!</definedName>
    <definedName name="M.securities">#REF!</definedName>
    <definedName name="m_1" localSheetId="4" hidden="1">{"rtn",#N/A,FALSE,"RTN";"tables",#N/A,FALSE,"RTN";"cf",#N/A,FALSE,"CF";"stats",#N/A,FALSE,"Stats";"prop",#N/A,FALSE,"Prop"}</definedName>
    <definedName name="m_1" localSheetId="3" hidden="1">{"rtn",#N/A,FALSE,"RTN";"tables",#N/A,FALSE,"RTN";"cf",#N/A,FALSE,"CF";"stats",#N/A,FALSE,"Stats";"prop",#N/A,FALSE,"Prop"}</definedName>
    <definedName name="m_1" hidden="1">{"rtn",#N/A,FALSE,"RTN";"tables",#N/A,FALSE,"RTN";"cf",#N/A,FALSE,"CF";"stats",#N/A,FALSE,"Stats";"prop",#N/A,FALSE,"Prop"}</definedName>
    <definedName name="m_2">#REF!</definedName>
    <definedName name="m_3" localSheetId="3" hidden="1">{#N/A,#N/A,FALSE,"CNS";#N/A,#N/A,FALSE,"Serz";#N/A,#N/A,FALSE,"Ace"}</definedName>
    <definedName name="m_3" hidden="1">{#N/A,#N/A,FALSE,"CNS";#N/A,#N/A,FALSE,"Serz";#N/A,#N/A,FALSE,"Ace"}</definedName>
    <definedName name="m_4" localSheetId="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[67]מאזן!$H$1:$W$47</definedName>
    <definedName name="maazan1">[67]מאזן!$A$1:$Y$57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 localSheetId="4">'[170]ת הלוואות'!$C$2</definedName>
    <definedName name="MADAD">#REF!</definedName>
    <definedName name="madad01" localSheetId="4">[171]parameter!#REF!</definedName>
    <definedName name="madad01">#REF!</definedName>
    <definedName name="madad1_1294" localSheetId="4">[172]ביאורים!#REF!</definedName>
    <definedName name="madad1_1294">#REF!</definedName>
    <definedName name="madad1_1295" localSheetId="4">[172]ביאורים!#REF!</definedName>
    <definedName name="madad1_1295">#REF!</definedName>
    <definedName name="madad1_1296" localSheetId="4">[172]ביאורים!#REF!</definedName>
    <definedName name="madad1_1296">#REF!</definedName>
    <definedName name="madad1_1297" localSheetId="4">[172]ביאורים!#REF!</definedName>
    <definedName name="madad1_1297">#REF!</definedName>
    <definedName name="madad1_397" localSheetId="4">[172]ביאורים!#REF!</definedName>
    <definedName name="madad1_397">#REF!</definedName>
    <definedName name="MADAD12_94" localSheetId="4">'[58]מאזן ורוו"ה'!$R$10</definedName>
    <definedName name="MADAD12_94">#REF!</definedName>
    <definedName name="MADAD12_96" localSheetId="4">'[58]מאזן ורוו"ה'!$R$8</definedName>
    <definedName name="MADAD12_96">#REF!</definedName>
    <definedName name="madad1294" localSheetId="4">[172]ביאורים!#REF!</definedName>
    <definedName name="madad1294">#REF!</definedName>
    <definedName name="madad1295" localSheetId="4">[172]ביאורים!#REF!</definedName>
    <definedName name="madad1295">#REF!</definedName>
    <definedName name="madad1296" localSheetId="4">[172]ביאורים!#REF!</definedName>
    <definedName name="madad1296">#REF!</definedName>
    <definedName name="madad1297" localSheetId="4">[172]ביאורים!#REF!</definedName>
    <definedName name="madad1297">#REF!</definedName>
    <definedName name="MADAD3_98" localSheetId="4">'[58]מאזן ורוו"ה'!$R$5</definedName>
    <definedName name="MADAD3_98">#REF!</definedName>
    <definedName name="madad397" localSheetId="4">[172]ביאורים!#REF!</definedName>
    <definedName name="madad397">#REF!</definedName>
    <definedName name="madad398" localSheetId="4">[172]ביאורים!#REF!</definedName>
    <definedName name="madad398">#REF!</definedName>
    <definedName name="madad996">#REF!</definedName>
    <definedName name="MadadIncrease">#REF!</definedName>
    <definedName name="madd01" localSheetId="4">[171]parameter!#REF!</definedName>
    <definedName name="madd01">#REF!</definedName>
    <definedName name="madd02">#REF!</definedName>
    <definedName name="MADEND">#REF!</definedName>
    <definedName name="MAIN" localSheetId="4">'[1]טורים 98'!$GT$15</definedName>
    <definedName name="Main">#REF!</definedName>
    <definedName name="maindata">#REF!</definedName>
    <definedName name="Mainsheet">[173]Main!#REF!</definedName>
    <definedName name="Mainsheet1">[173]Main!#REF!</definedName>
    <definedName name="Mainsheet2">[173]Main!#REF!</definedName>
    <definedName name="maint_growth">#REF!</definedName>
    <definedName name="maintcost">#REF!</definedName>
    <definedName name="Maintenanc" localSheetId="3" hidden="1">{"'ID(2)'!$E$1:$N$4"}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localSheetId="3" hidden="1">{"detail",#N/A,FALSE,"mfg";"summary",#N/A,FALSE,"mfg"}</definedName>
    <definedName name="maji" hidden="1">{"detail",#N/A,FALSE,"mfg";"summary",#N/A,FALSE,"mfg"}</definedName>
    <definedName name="major_customers">#REF!</definedName>
    <definedName name="make" localSheetId="4">[165]Sensetivities!#REF!</definedName>
    <definedName name="make">#REF!</definedName>
    <definedName name="mal">#N/A</definedName>
    <definedName name="Malcolm" localSheetId="3" hidden="1">{"Budget V Actual YTD",#N/A,FALSE,"Budget v Actual"}</definedName>
    <definedName name="Malcolm" hidden="1">{"Budget V Actual YTD",#N/A,FALSE,"Budget v Actual"}</definedName>
    <definedName name="man" localSheetId="3" hidden="1">{"bs",#N/A,FALSE,"SCF"}</definedName>
    <definedName name="man" hidden="1">{"bs",#N/A,FALSE,"SCF"}</definedName>
    <definedName name="Management">#REF!</definedName>
    <definedName name="Management_Report">#REF!</definedName>
    <definedName name="maneeshw12s12" localSheetId="3" hidden="1">{#N/A,#N/A,FALSE,"CMN_FE"}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'[89]Receipts and Disbursements'!#REF!</definedName>
    <definedName name="Manufacturing_NK">'[48]GL-PC'!#REF!</definedName>
    <definedName name="MAPE">#REF!</definedName>
    <definedName name="MAR_BUD" localSheetId="4">'[43]P&amp;L Breakdown'!$K:$K</definedName>
    <definedName name="MAR_BUD">#REF!</definedName>
    <definedName name="marcapty" hidden="1">#REF!</definedName>
    <definedName name="MProductH">#REF!</definedName>
    <definedName name="MProductH_19" localSheetId="4">[43]TB!$R:$R</definedName>
    <definedName name="MProductH_19">#REF!</definedName>
    <definedName name="march_2000" localSheetId="4">'[126]מדדים ודולר'!#REF!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ProductH">#REF!</definedName>
    <definedName name="MARGIN_MAY">#REF!</definedName>
    <definedName name="margin2" localSheetId="4">[18]Model!#REF!</definedName>
    <definedName name="margin2">#REF!</definedName>
    <definedName name="margin3" localSheetId="4">[18]Model!#REF!</definedName>
    <definedName name="margin3">#REF!</definedName>
    <definedName name="margin4" localSheetId="4">[18]Model!#REF!</definedName>
    <definedName name="margin4">#REF!</definedName>
    <definedName name="margin5" localSheetId="4">[18]Model!#REF!</definedName>
    <definedName name="margin5">#REF!</definedName>
    <definedName name="Margins">#REF!</definedName>
    <definedName name="Margins1">#REF!</definedName>
    <definedName name="margrossty" hidden="1">#REF!</definedName>
    <definedName name="Maria" localSheetId="4" hidden="1">{"SCH73",#N/A,FALSE,"eva";"SCH74",#N/A,FALSE,"eva";"SCH75",#N/A,FALSE,"eva"}</definedName>
    <definedName name="Maria" localSheetId="3" hidden="1">{"SCH73",#N/A,FALSE,"eva";"SCH74",#N/A,FALSE,"eva";"SCH75",#N/A,FALSE,"eva"}</definedName>
    <definedName name="Maria" hidden="1">{"SCH73",#N/A,FALSE,"eva";"SCH74",#N/A,FALSE,"eva";"SCH75",#N/A,FALSE,"eva"}</definedName>
    <definedName name="market_date" localSheetId="3">#REF!</definedName>
    <definedName name="market_date">#REF!</definedName>
    <definedName name="MARKET_PREMIUM">#REF!</definedName>
    <definedName name="Market_Rent">#REF!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'[48]GL-PC'!$B$2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 localSheetId="4">'[174]3.99'!$A$3:$K$101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localSheetId="3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'[48]GL-PC'!#REF!</definedName>
    <definedName name="Material_Consumptions">'[48]GL-PC'!#REF!</definedName>
    <definedName name="Materiality">#REF!</definedName>
    <definedName name="MATrig">#REF!</definedName>
    <definedName name="Matrix">#REF!</definedName>
    <definedName name="MaxActualsDate">#REF!</definedName>
    <definedName name="May_19" localSheetId="4">[43]TB!$T:$T</definedName>
    <definedName name="May_19">#REF!</definedName>
    <definedName name="MAY_BUD" localSheetId="4">'[43]P&amp;L Breakdown'!$M:$M</definedName>
    <definedName name="MAY_BUD">#REF!</definedName>
    <definedName name="May1Forecast" localSheetId="3" hidden="1">{"Page 1",#N/A,FALSE,"Sheet1";"Page 2",#N/A,FALSE,"Sheet1"}</definedName>
    <definedName name="May1Forecast" hidden="1">{"Page 1",#N/A,FALSE,"Sheet1";"Page 2",#N/A,FALSE,"Sheet1"}</definedName>
    <definedName name="MayForecast" localSheetId="3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localSheetId="3" hidden="1">{#N/A,#N/A,FALSE,"Aging Summary";#N/A,#N/A,FALSE,"Ratio Analysis";#N/A,#N/A,FALSE,"Test 120 Day Accts";#N/A,#N/A,FALSE,"Tickmarks"}</definedName>
    <definedName name="MBKH" hidden="1">{#N/A,#N/A,FALSE,"Aging Summary";#N/A,#N/A,FALSE,"Ratio Analysis";#N/A,#N/A,FALSE,"Test 120 Day Accts";#N/A,#N/A,FALSE,"Tickmarks"}</definedName>
    <definedName name="MC" localSheetId="4">'[65]Budget New'!#REF!</definedName>
    <definedName name="MC">#REF!</definedName>
    <definedName name="McDonald">#REF!</definedName>
    <definedName name="MDA">#REF!</definedName>
    <definedName name="mdc" localSheetId="3" hidden="1">{#N/A,#N/A,FALSE,"Sheet1"}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 localSheetId="4">'[59]מאזן ורוו"ה'!#REF!</definedName>
    <definedName name="mdd12_94">#REF!</definedName>
    <definedName name="mdd12_95" localSheetId="4">'[59]מאזן ורוו"ה'!#REF!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'[48]GL-PC'!#REF!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localSheetId="3" hidden="1">{#N/A,#N/A,FALSE,"Prem_Sum";#N/A,#N/A,FALSE,"Prem"}</definedName>
    <definedName name="Med_prod" hidden="1">{#N/A,#N/A,FALSE,"Prem_Sum";#N/A,#N/A,FALSE,"Prem"}</definedName>
    <definedName name="Med_prod.xls" localSheetId="3" hidden="1">{#N/A,#N/A,FALSE,"FACTSHEETS";#N/A,#N/A,FALSE,"pump";#N/A,#N/A,FALSE,"filter"}</definedName>
    <definedName name="Med_prod.xls" hidden="1">{#N/A,#N/A,FALSE,"FACTSHEETS";#N/A,#N/A,FALSE,"pump";#N/A,#N/A,FALSE,"filter"}</definedName>
    <definedName name="Med_products" localSheetId="3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localSheetId="4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3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localSheetId="3" hidden="1">{"Drawing&amp;Homo.result",#N/A,FALSE,"Greco Hom. and BOM"}</definedName>
    <definedName name="mfg" hidden="1">{"Drawing&amp;Homo.result",#N/A,FALSE,"Greco Hom. and BOM"}</definedName>
    <definedName name="mfgr" localSheetId="4" hidden="1">{"PAGE 1",#N/A,FALSE,"WEST_OT"}</definedName>
    <definedName name="mfgr" localSheetId="3" hidden="1">{"PAGE 1",#N/A,FALSE,"WEST_OT"}</definedName>
    <definedName name="mfgr" hidden="1">{"PAGE 1",#N/A,FALSE,"WEST_OT"}</definedName>
    <definedName name="mfgtest" localSheetId="4" hidden="1">{"PAGE 1",#N/A,FALSE,"WEST_OT"}</definedName>
    <definedName name="mfgtest" localSheetId="3" hidden="1">{"PAGE 1",#N/A,FALSE,"WEST_OT"}</definedName>
    <definedName name="mfgtest" hidden="1">{"PAGE 1",#N/A,FALSE,"WEST_OT"}</definedName>
    <definedName name="mfoew" localSheetId="3" hidden="1">{#N/A,"PURCHM",FALSE,"Business Analysis";#N/A,"SPADD",FALSE,"Business Analysis"}</definedName>
    <definedName name="mfoew" hidden="1">{#N/A,"PURCHM",FALSE,"Business Analysis";#N/A,"SPADD",FALSE,"Business Analysis"}</definedName>
    <definedName name="mgmt" localSheetId="4">'[165]Rexair model'!#REF!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localSheetId="4" hidden="1">{"Outflow 1",#N/A,FALSE,"Outflows-Inflows";"Outflow 2",#N/A,FALSE,"Outflows-Inflows";"Inflow 1",#N/A,FALSE,"Outflows-Inflows";"Inflow 2",#N/A,FALSE,"Outflows-Inflows"}</definedName>
    <definedName name="MHA" localSheetId="3" hidden="1">{"Outflow 1",#N/A,FALSE,"Outflows-Inflows";"Outflow 2",#N/A,FALSE,"Outflows-Inflows";"Inflow 1",#N/A,FALSE,"Outflows-Inflows";"Inflow 2",#N/A,FALSE,"Outflows-Inflows"}</definedName>
    <definedName name="MHA" hidden="1">{"Outflow 1",#N/A,FALSE,"Outflows-Inflows";"Outflow 2",#N/A,FALSE,"Outflows-Inflows";"Inflow 1",#N/A,FALSE,"Outflows-Inflows";"Inflow 2",#N/A,FALSE,"Outflows-Inflows"}</definedName>
    <definedName name="MHA_1" localSheetId="4" hidden="1">{"Outflow 1",#N/A,FALSE,"Outflows-Inflows";"Outflow 2",#N/A,FALSE,"Outflows-Inflows";"Inflow 1",#N/A,FALSE,"Outflows-Inflows";"Inflow 2",#N/A,FALSE,"Outflows-Inflows"}</definedName>
    <definedName name="MHA_1" localSheetId="3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localSheetId="3" hidden="1">{#N/A,#N/A,FALSE,"ISBL"}</definedName>
    <definedName name="MHGMGH" hidden="1">{#N/A,#N/A,FALSE,"ISBL"}</definedName>
    <definedName name="mi">#REF!</definedName>
    <definedName name="MIC" localSheetId="4">'[175]michal-APDO'!$A$1:$L$85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localSheetId="3" hidden="1">{"FY02_Assets",#N/A,FALSE,"Fin Stmt Budget";"FY02_Liabilities",#N/A,FALSE,"Fin Stmt Budget";"FY02_Inc_Stmt",#N/A,FALSE,"Fin Stmt Budget";"FY02_SOCF",#N/A,FALSE,"Fin Stmt Budget"}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localSheetId="3" hidden="1">{#N/A,#N/A,FALSE,"REPORT"}</definedName>
    <definedName name="min" hidden="1">{#N/A,#N/A,FALSE,"REPORT"}</definedName>
    <definedName name="min_1" localSheetId="3" hidden="1">{#N/A,#N/A,FALSE,"REPORT"}</definedName>
    <definedName name="min_1" hidden="1">{#N/A,#N/A,FALSE,"REPORT"}</definedName>
    <definedName name="min_2" localSheetId="3" hidden="1">{#N/A,#N/A,FALSE,"REPORT"}</definedName>
    <definedName name="min_2" hidden="1">{#N/A,#N/A,FALSE,"REPORT"}</definedName>
    <definedName name="min_3" localSheetId="3" hidden="1">{#N/A,#N/A,FALSE,"REPORT"}</definedName>
    <definedName name="min_3" hidden="1">{#N/A,#N/A,FALSE,"REPORT"}</definedName>
    <definedName name="min_4" localSheetId="3" hidden="1">{#N/A,#N/A,FALSE,"REPORT"}</definedName>
    <definedName name="min_4" hidden="1">{#N/A,#N/A,FALSE,"REPORT"}</definedName>
    <definedName name="mina" localSheetId="3" hidden="1">{#N/A,#N/A,FALSE,"REPORT"}</definedName>
    <definedName name="mina" hidden="1">{#N/A,#N/A,FALSE,"REPORT"}</definedName>
    <definedName name="mina_1" localSheetId="3" hidden="1">{#N/A,#N/A,FALSE,"REPORT"}</definedName>
    <definedName name="mina_1" hidden="1">{#N/A,#N/A,FALSE,"REPORT"}</definedName>
    <definedName name="mina_2" localSheetId="3" hidden="1">{#N/A,#N/A,FALSE,"REPORT"}</definedName>
    <definedName name="mina_2" hidden="1">{#N/A,#N/A,FALSE,"REPORT"}</definedName>
    <definedName name="mina_3" localSheetId="3" hidden="1">{#N/A,#N/A,FALSE,"REPORT"}</definedName>
    <definedName name="mina_3" hidden="1">{#N/A,#N/A,FALSE,"REPORT"}</definedName>
    <definedName name="mina_4" localSheetId="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localSheetId="4" hidden="1">[160]KeyMultInputs!$Z$1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localSheetId="3" hidden="1">{"detail",#N/A,FALSE,"mfg";"summary",#N/A,FALSE,"mfg"}</definedName>
    <definedName name="miwukls" hidden="1">{"detail",#N/A,FALSE,"mfg";"summary",#N/A,FALSE,"mfg"}</definedName>
    <definedName name="MIZE">#REF!</definedName>
    <definedName name="mj" localSheetId="3" hidden="1">{#N/A,#N/A,FALSE,"Heat";#N/A,#N/A,FALSE,"DCF";#N/A,#N/A,FALSE,"LBO";#N/A,#N/A,FALSE,"A";#N/A,#N/A,FALSE,"C";#N/A,#N/A,FALSE,"impd";#N/A,#N/A,FALSE,"Accr-Dilu"}</definedName>
    <definedName name="mj" hidden="1">{#N/A,#N/A,FALSE,"Heat";#N/A,#N/A,FALSE,"DCF";#N/A,#N/A,FALSE,"LBO";#N/A,#N/A,FALSE,"A";#N/A,#N/A,FALSE,"C";#N/A,#N/A,FALSE,"impd";#N/A,#N/A,FALSE,"Accr-Dilu"}</definedName>
    <definedName name="mjy" localSheetId="3" hidden="1">{#N/A,#N/A,FALSE,"Detailed";#N/A,#N/A,FALSE,"Total";#N/A,#N/A,FALSE,"Detailed (2)"}</definedName>
    <definedName name="mjy" hidden="1">{#N/A,#N/A,FALSE,"Detailed";#N/A,#N/A,FALSE,"Total";#N/A,#N/A,FALSE,"Detailed (2)"}</definedName>
    <definedName name="mjy_1" localSheetId="3" hidden="1">{#N/A,#N/A,FALSE,"Detailed";#N/A,#N/A,FALSE,"Total";#N/A,#N/A,FALSE,"Detailed (2)"}</definedName>
    <definedName name="mjy_1" hidden="1">{#N/A,#N/A,FALSE,"Detailed";#N/A,#N/A,FALSE,"Total";#N/A,#N/A,FALSE,"Detailed (2)"}</definedName>
    <definedName name="mk" localSheetId="3" hidden="1">{#N/A,#N/A,FALSE,"inc state";#N/A,#N/A,FALSE,"Products";#N/A,#N/A,FALSE,"bal sht"}</definedName>
    <definedName name="mk" hidden="1">{#N/A,#N/A,FALSE,"inc state";#N/A,#N/A,FALSE,"Products";#N/A,#N/A,FALSE,"bal sht"}</definedName>
    <definedName name="mkl" localSheetId="3" hidden="1">{"pro_view",#N/A,FALSE,"EEFSNAP2";"rep_view",#N/A,FALSE,"EEFSNAP2"}</definedName>
    <definedName name="mkl" hidden="1">{"pro_view",#N/A,FALSE,"EEFSNAP2";"rep_view",#N/A,FALSE,"EEFSNAP2"}</definedName>
    <definedName name="Mkod">#REF!</definedName>
    <definedName name="MKT" localSheetId="4">'[65]Budget New'!#REF!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localSheetId="3" hidden="1">{#N/A,#N/A,FALSE,"ASSUMPTIONS";#N/A,#N/A,FALSE,"Valuation Summary";"page1",#N/A,FALSE,"PRESENTATION";"page2",#N/A,FALSE,"PRESENTATION";#N/A,#N/A,FALSE,"ORIGINAL_ROLLBACK"}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localSheetId="3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localSheetId="3" hidden="1">{#N/A,#N/A,FALSE,"Pharm";#N/A,#N/A,FALSE,"WWCM"}</definedName>
    <definedName name="mlw" hidden="1">{#N/A,#N/A,FALSE,"Pharm";#N/A,#N/A,FALSE,"WWCM"}</definedName>
    <definedName name="mlw_1" localSheetId="3" hidden="1">{#N/A,#N/A,FALSE,"Pharm";#N/A,#N/A,FALSE,"WWCM"}</definedName>
    <definedName name="mlw_1" hidden="1">{#N/A,#N/A,FALSE,"Pharm";#N/A,#N/A,FALSE,"WWCM"}</definedName>
    <definedName name="mlw_2" localSheetId="3" hidden="1">{#N/A,#N/A,FALSE,"Pharm";#N/A,#N/A,FALSE,"WWCM"}</definedName>
    <definedName name="mlw_2" hidden="1">{#N/A,#N/A,FALSE,"Pharm";#N/A,#N/A,FALSE,"WWCM"}</definedName>
    <definedName name="mlw_3" localSheetId="3" hidden="1">{#N/A,#N/A,FALSE,"Pharm";#N/A,#N/A,FALSE,"WWCM"}</definedName>
    <definedName name="mlw_3" hidden="1">{#N/A,#N/A,FALSE,"Pharm";#N/A,#N/A,FALSE,"WWCM"}</definedName>
    <definedName name="mlw_4" localSheetId="3" hidden="1">{#N/A,#N/A,FALSE,"Pharm";#N/A,#N/A,FALSE,"WWCM"}</definedName>
    <definedName name="mlw_4" hidden="1">{#N/A,#N/A,FALSE,"Pharm";#N/A,#N/A,FALSE,"WWCM"}</definedName>
    <definedName name="mm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localSheetId="3" hidden="1">{"Pg1",#N/A,FALSE,"OpExYTDvsBud";"Pg2",#N/A,FALSE,"OpExYTDvsBud"}</definedName>
    <definedName name="mmk" hidden="1">{"Pg1",#N/A,FALSE,"OpExYTDvsBud";"Pg2",#N/A,FALSE,"OpExYTDvsBud"}</definedName>
    <definedName name="MMM">#REF!</definedName>
    <definedName name="mmmm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localSheetId="4" hidden="1">{"rtn",#N/A,FALSE,"RTN";"tables",#N/A,FALSE,"RTN";"cf",#N/A,FALSE,"CF";"stats",#N/A,FALSE,"Stats";"prop",#N/A,FALSE,"Prop"}</definedName>
    <definedName name="mmmmmmmmmmmmm" localSheetId="3" hidden="1">{"rtn",#N/A,FALSE,"RTN";"tables",#N/A,FALSE,"RTN";"cf",#N/A,FALSE,"CF";"stats",#N/A,FALSE,"Stats";"prop",#N/A,FALSE,"Prop"}</definedName>
    <definedName name="mmmmmmmmmmmmm" hidden="1">{"rtn",#N/A,FALSE,"RTN";"tables",#N/A,FALSE,"RTN";"cf",#N/A,FALSE,"CF";"stats",#N/A,FALSE,"Stats";"prop",#N/A,FALSE,"Prop"}</definedName>
    <definedName name="mmmmmmmmmmmmm_1" localSheetId="4" hidden="1">{"rtn",#N/A,FALSE,"RTN";"tables",#N/A,FALSE,"RTN";"cf",#N/A,FALSE,"CF";"stats",#N/A,FALSE,"Stats";"prop",#N/A,FALSE,"Prop"}</definedName>
    <definedName name="mmmmmmmmmmmmm_1" localSheetId="3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localSheetId="3" hidden="1">{"table",#N/A,FALSE,"COVER";"income_statement",#N/A,FALSE,"COVER"}</definedName>
    <definedName name="mmp" hidden="1">{"table",#N/A,FALSE,"COVER";"income_statement",#N/A,FALSE,"COVER"}</definedName>
    <definedName name="m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localSheetId="3" hidden="1">{"Month Summary",#N/A,FALSE,"Summary";"Total Details",#N/A,FALSE,"Current Yr";"Polymers Details",#N/A,FALSE,"Current Yr";"Performance Details",#N/A,FALSE,"Current Yr";"ICD Details",#N/A,FALSE,"Current Yr"}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localSheetId="3" hidden="1">{"detail",#N/A,FALSE,"mfg";"summary",#N/A,FALSE,"mfg"}</definedName>
    <definedName name="mnmn" hidden="1">{"detail",#N/A,FALSE,"mfg";"summary",#N/A,FALSE,"mfg"}</definedName>
    <definedName name="mnnb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 localSheetId="4">'[65]Budget New'!#REF!</definedName>
    <definedName name="Mobile_Marketing">#REF!</definedName>
    <definedName name="Mobile_RandD" localSheetId="4">'[65]Budget New'!#REF!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localSheetId="3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localSheetId="3" hidden="1">{#N/A,#N/A,FALSE,"Aging Summary";#N/A,#N/A,FALSE,"Ratio Analysis";#N/A,#N/A,FALSE,"Test 120 Day Accts";#N/A,#N/A,FALSE,"Tickmarks"}</definedName>
    <definedName name="Mohan" hidden="1">{#N/A,#N/A,FALSE,"Aging Summary";#N/A,#N/A,FALSE,"Ratio Analysis";#N/A,#N/A,FALSE,"Test 120 Day Accts";#N/A,#N/A,FALSE,"Tickmarks"}</definedName>
    <definedName name="mokp" localSheetId="3" hidden="1">{"QTD_LPO2N2",#N/A,FALSE,"QTD"}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 localSheetId="4">[63]Index!$D$2:$D$13</definedName>
    <definedName name="Months" localSheetId="3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localSheetId="3" hidden="1">{"table",#N/A,FALSE,"COVER";"income_statement",#N/A,FALSE,"COVER"}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localSheetId="4" hidden="1">{"FCB_ALL",#N/A,FALSE,"FCB"}</definedName>
    <definedName name="Moses" localSheetId="3" hidden="1">{"FCB_ALL",#N/A,FALSE,"FCB"}</definedName>
    <definedName name="Moses" hidden="1">{"FCB_ALL",#N/A,FALSE,"FCB"}</definedName>
    <definedName name="Motivation" localSheetId="4">'[145]unit price'!$E$14</definedName>
    <definedName name="Motivation">#REF!</definedName>
    <definedName name="move" localSheetId="4" hidden="1">Svetla-[69]Principal!$A$1</definedName>
    <definedName name="move" localSheetId="3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 localSheetId="4">'[80]Customer Support Group'!$A$154:$F$191</definedName>
    <definedName name="MSA">#REF!</definedName>
    <definedName name="Subscription Revenue_Tubes_Commission">'[48]GL-PC'!#REF!</definedName>
    <definedName name="MSC" localSheetId="4">'[65]Budget New'!#REF!</definedName>
    <definedName name="MSC">#REF!</definedName>
    <definedName name="MSE" localSheetId="4">'[65]Budget New'!#REF!</definedName>
    <definedName name="MSE">#REF!</definedName>
    <definedName name="MSI" localSheetId="4">'[80]Customer Support Group'!$A$154:$F$173</definedName>
    <definedName name="MSI">#REF!</definedName>
    <definedName name="MSJ" localSheetId="4">'[65]Budget New'!#REF!</definedName>
    <definedName name="MSJ">#REF!</definedName>
    <definedName name="MSK" localSheetId="4">'[65]Budget New'!#REF!</definedName>
    <definedName name="MSK">#REF!</definedName>
    <definedName name="MSL" localSheetId="4">'[80]Customer Support Group'!$A$118:$F$137</definedName>
    <definedName name="MSL">#REF!</definedName>
    <definedName name="MSO" localSheetId="4">'[65]Budget New'!#REF!</definedName>
    <definedName name="MSO">#REF!</definedName>
    <definedName name="MSORT">#REF!</definedName>
    <definedName name="MSU" localSheetId="4">'[65]Budget New'!#REF!</definedName>
    <definedName name="MSU">#REF!</definedName>
    <definedName name="MSU_MKT" localSheetId="4">'[65]Budget New'!#REF!</definedName>
    <definedName name="MSU_MKT">#REF!</definedName>
    <definedName name="mt">#REF!</definedName>
    <definedName name="MTMT04" localSheetId="4">[116]shar!#REF!</definedName>
    <definedName name="MTMT04">#REF!</definedName>
    <definedName name="MTMT06" localSheetId="4">[116]shar!#REF!</definedName>
    <definedName name="MTMT06">#REF!</definedName>
    <definedName name="MTMT12" localSheetId="4">[116]shar!#REF!</definedName>
    <definedName name="MTMT12">#REF!</definedName>
    <definedName name="MTMT14" localSheetId="4">[116]shar!#REF!</definedName>
    <definedName name="MTMT14">#REF!</definedName>
    <definedName name="MTMT16" localSheetId="4">[116]shar!#REF!</definedName>
    <definedName name="MTMT16">#REF!</definedName>
    <definedName name="MU_Description">#REF!</definedName>
    <definedName name="mult">#REF!</definedName>
    <definedName name="Mult_Title">#REF!</definedName>
    <definedName name="multcash1" localSheetId="4" hidden="1">'[176]Exb II.1_Summary Taira'!#REF!</definedName>
    <definedName name="multcash1" hidden="1">#REF!</definedName>
    <definedName name="multexhibit">#REF!</definedName>
    <definedName name="MULTI_MACHINE">#REF!</definedName>
    <definedName name="Multiple" localSheetId="4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localSheetId="3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multtable" localSheetId="4" hidden="1">'[176]Exb II.1_Summary Taira'!#REF!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localSheetId="4" hidden="1">'[176]Exb II.1_Summary Taira'!#REF!</definedName>
    <definedName name="mvicebit_col" hidden="1">#REF!</definedName>
    <definedName name="mvicprojebitda_col" localSheetId="4" hidden="1">'[176]Exb II.1_Summary Taira'!#REF!</definedName>
    <definedName name="mvicprojebitda_col" hidden="1">#REF!</definedName>
    <definedName name="MW" localSheetId="4" hidden="1">{#N/A,#N/A,FALSE,"Job Sched"}</definedName>
    <definedName name="MW" localSheetId="3" hidden="1">{#N/A,#N/A,FALSE,"Job Sched"}</definedName>
    <definedName name="MW" hidden="1">{#N/A,#N/A,FALSE,"Job Sched"}</definedName>
    <definedName name="mw_1" localSheetId="3" hidden="1">{#N/A,#N/A,FALSE,"Pharm";#N/A,#N/A,FALSE,"WWCM"}</definedName>
    <definedName name="mw_1" hidden="1">{#N/A,#N/A,FALSE,"Pharm";#N/A,#N/A,FALSE,"WWCM"}</definedName>
    <definedName name="mw_2" localSheetId="3" hidden="1">{#N/A,#N/A,FALSE,"Pharm";#N/A,#N/A,FALSE,"WWCM"}</definedName>
    <definedName name="mw_2" hidden="1">{#N/A,#N/A,FALSE,"Pharm";#N/A,#N/A,FALSE,"WWCM"}</definedName>
    <definedName name="mw_3" localSheetId="3" hidden="1">{#N/A,#N/A,FALSE,"Pharm";#N/A,#N/A,FALSE,"WWCM"}</definedName>
    <definedName name="mw_3" hidden="1">{#N/A,#N/A,FALSE,"Pharm";#N/A,#N/A,FALSE,"WWCM"}</definedName>
    <definedName name="mw_4" localSheetId="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localSheetId="3" hidden="1">{#N/A,#N/A,FALSE,"EW"}</definedName>
    <definedName name="MYUJTG" hidden="1">{#N/A,#N/A,FALSE,"EW"}</definedName>
    <definedName name="n" localSheetId="4">'[177]Consolidation '!#REF!</definedName>
    <definedName name="N" localSheetId="3">{"'2ND_QUAR'!$A$1:$P$106"}</definedName>
    <definedName name="N">{"'2ND_QUAR'!$A$1:$P$106"}</definedName>
    <definedName name="n\" localSheetId="3" hidden="1">{#N/A,#N/A,FALSE,"Projections";#N/A,#N/A,FALSE,"Multiples Valuation";#N/A,#N/A,FALSE,"LBO";#N/A,#N/A,FALSE,"Multiples_Sensitivity";#N/A,#N/A,FALSE,"Summary"}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localSheetId="4" hidden="1">{"revenue detail 1",#N/A,FALSE,"Revenue Detail";"revenue detail 2",#N/A,FALSE,"Revenue Detail";"revenue detail 3",#N/A,FALSE,"Revenue Detail";"revenue detail 4",#N/A,FALSE,"Revenue Detail"}</definedName>
    <definedName name="na" localSheetId="3" hidden="1">{"fdb1_Rapport_Report",#N/A,FALSE,"Report"}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localSheetId="3" hidden="1">{"detail",#N/A,FALSE,"mfg";"summary",#N/A,FALSE,"mfg"}</definedName>
    <definedName name="nam90ng" hidden="1">{"detail",#N/A,FALSE,"mfg";"summary",#N/A,FALSE,"mfg"}</definedName>
    <definedName name="nam9njk" localSheetId="3" hidden="1">{"detail",#N/A,FALSE,"mfg";"summary",#N/A,FALSE,"mfg"}</definedName>
    <definedName name="nam9njk" hidden="1">{"detail",#N/A,FALSE,"mfg";"summary",#N/A,FALSE,"mfg"}</definedName>
    <definedName name="Name">#REF!</definedName>
    <definedName name="name1" localSheetId="3" hidden="1">{"detail",#N/A,FALSE,"mfg";"summary",#N/A,FALSE,"mfg"}</definedName>
    <definedName name="name1" hidden="1">{"detail",#N/A,FALSE,"mfg";"summary",#N/A,FALSE,"mfg"}</definedName>
    <definedName name="name10" localSheetId="3" hidden="1">{"detail",#N/A,FALSE,"mfg";"summary",#N/A,FALSE,"mfg"}</definedName>
    <definedName name="name10" hidden="1">{"detail",#N/A,FALSE,"mfg";"summary",#N/A,FALSE,"mfg"}</definedName>
    <definedName name="name101" localSheetId="3" hidden="1">{"detail",#N/A,FALSE,"mfg";"summary",#N/A,FALSE,"mfg"}</definedName>
    <definedName name="name101" hidden="1">{"detail",#N/A,FALSE,"mfg";"summary",#N/A,FALSE,"mfg"}</definedName>
    <definedName name="name102" localSheetId="3" hidden="1">{"detail",#N/A,FALSE,"mfg";"summary",#N/A,FALSE,"mfg"}</definedName>
    <definedName name="name102" hidden="1">{"detail",#N/A,FALSE,"mfg";"summary",#N/A,FALSE,"mfg"}</definedName>
    <definedName name="name11" localSheetId="3" hidden="1">{"detail",#N/A,FALSE,"mfg";"summary",#N/A,FALSE,"mfg"}</definedName>
    <definedName name="name11" hidden="1">{"detail",#N/A,FALSE,"mfg";"summary",#N/A,FALSE,"mfg"}</definedName>
    <definedName name="name12" localSheetId="3" hidden="1">{"detail",#N/A,FALSE,"mfg";"summary",#N/A,FALSE,"mfg"}</definedName>
    <definedName name="name12" hidden="1">{"detail",#N/A,FALSE,"mfg";"summary",#N/A,FALSE,"mfg"}</definedName>
    <definedName name="Name2">#REF!</definedName>
    <definedName name="name202" localSheetId="3" hidden="1">{"detail",#N/A,FALSE,"mfg";"summary",#N/A,FALSE,"mfg"}</definedName>
    <definedName name="name202" hidden="1">{"detail",#N/A,FALSE,"mfg";"summary",#N/A,FALSE,"mfg"}</definedName>
    <definedName name="name203" localSheetId="3" hidden="1">{"detail",#N/A,FALSE,"mfg";"summary",#N/A,FALSE,"mfg"}</definedName>
    <definedName name="name203" hidden="1">{"detail",#N/A,FALSE,"mfg";"summary",#N/A,FALSE,"mfg"}</definedName>
    <definedName name="name212" localSheetId="3" hidden="1">{"detail",#N/A,FALSE,"mfg";"summary",#N/A,FALSE,"mfg"}</definedName>
    <definedName name="name212" hidden="1">{"detail",#N/A,FALSE,"mfg";"summary",#N/A,FALSE,"mfg"}</definedName>
    <definedName name="name213" localSheetId="3" hidden="1">{"detail",#N/A,FALSE,"mfg";"summary",#N/A,FALSE,"mfg"}</definedName>
    <definedName name="name213" hidden="1">{"detail",#N/A,FALSE,"mfg";"summary",#N/A,FALSE,"mfg"}</definedName>
    <definedName name="name3">#REF!</definedName>
    <definedName name="name31" localSheetId="3" hidden="1">{"detail",#N/A,FALSE,"mfg";"summary",#N/A,FALSE,"mfg"}</definedName>
    <definedName name="name31" hidden="1">{"detail",#N/A,FALSE,"mfg";"summary",#N/A,FALSE,"mfg"}</definedName>
    <definedName name="name32" localSheetId="3" hidden="1">{"detail",#N/A,FALSE,"mfg";"summary",#N/A,FALSE,"mfg"}</definedName>
    <definedName name="name32" hidden="1">{"detail",#N/A,FALSE,"mfg";"summary",#N/A,FALSE,"mfg"}</definedName>
    <definedName name="name34" localSheetId="3" hidden="1">{"detail",#N/A,FALSE,"mfg";"summary",#N/A,FALSE,"mfg"}</definedName>
    <definedName name="name34" hidden="1">{"detail",#N/A,FALSE,"mfg";"summary",#N/A,FALSE,"mfg"}</definedName>
    <definedName name="name35" localSheetId="3" hidden="1">{"detail",#N/A,FALSE,"mfg";"summary",#N/A,FALSE,"mfg"}</definedName>
    <definedName name="name35" hidden="1">{"detail",#N/A,FALSE,"mfg";"summary",#N/A,FALSE,"mfg"}</definedName>
    <definedName name="NAME41" localSheetId="3" hidden="1">{"detail",#N/A,FALSE,"mfg";"summary",#N/A,FALSE,"mfg"}</definedName>
    <definedName name="NAME41" hidden="1">{"detail",#N/A,FALSE,"mfg";"summary",#N/A,FALSE,"mfg"}</definedName>
    <definedName name="name412" localSheetId="3" hidden="1">{"detail",#N/A,FALSE,"mfg";"summary",#N/A,FALSE,"mfg"}</definedName>
    <definedName name="name412" hidden="1">{"detail",#N/A,FALSE,"mfg";"summary",#N/A,FALSE,"mfg"}</definedName>
    <definedName name="name413" localSheetId="3" hidden="1">{"detail",#N/A,FALSE,"mfg";"summary",#N/A,FALSE,"mfg"}</definedName>
    <definedName name="name413" hidden="1">{"detail",#N/A,FALSE,"mfg";"summary",#N/A,FALSE,"mfg"}</definedName>
    <definedName name="name42" localSheetId="3" hidden="1">{"detail",#N/A,FALSE,"mfg";"summary",#N/A,FALSE,"mfg"}</definedName>
    <definedName name="name42" hidden="1">{"detail",#N/A,FALSE,"mfg";"summary",#N/A,FALSE,"mfg"}</definedName>
    <definedName name="name45" localSheetId="3" hidden="1">{"detail",#N/A,FALSE,"mfg";"summary",#N/A,FALSE,"mfg"}</definedName>
    <definedName name="name45" hidden="1">{"detail",#N/A,FALSE,"mfg";"summary",#N/A,FALSE,"mfg"}</definedName>
    <definedName name="name51" localSheetId="3" hidden="1">{"detail",#N/A,FALSE,"mfg";"summary",#N/A,FALSE,"mfg"}</definedName>
    <definedName name="name51" hidden="1">{"detail",#N/A,FALSE,"mfg";"summary",#N/A,FALSE,"mfg"}</definedName>
    <definedName name="name54ghs" localSheetId="3" hidden="1">{"detail",#N/A,FALSE,"mfg";"summary",#N/A,FALSE,"mfg"}</definedName>
    <definedName name="name54ghs" hidden="1">{"detail",#N/A,FALSE,"mfg";"summary",#N/A,FALSE,"mfg"}</definedName>
    <definedName name="name56a" localSheetId="3" hidden="1">{"detail",#N/A,FALSE,"mfg";"summary",#N/A,FALSE,"mfg"}</definedName>
    <definedName name="name56a" hidden="1">{"detail",#N/A,FALSE,"mfg";"summary",#N/A,FALSE,"mfg"}</definedName>
    <definedName name="name56a56" localSheetId="3" hidden="1">{"detail",#N/A,FALSE,"mfg";"summary",#N/A,FALSE,"mfg"}</definedName>
    <definedName name="name56a56" hidden="1">{"detail",#N/A,FALSE,"mfg";"summary",#N/A,FALSE,"mfg"}</definedName>
    <definedName name="name61" localSheetId="3" hidden="1">{"detail",#N/A,FALSE,"mfg";"summary",#N/A,FALSE,"mfg"}</definedName>
    <definedName name="name61" hidden="1">{"detail",#N/A,FALSE,"mfg";"summary",#N/A,FALSE,"mfg"}</definedName>
    <definedName name="name71" localSheetId="3" hidden="1">{"detail",#N/A,FALSE,"mfg";"summary",#N/A,FALSE,"mfg"}</definedName>
    <definedName name="name71" hidden="1">{"detail",#N/A,FALSE,"mfg";"summary",#N/A,FALSE,"mfg"}</definedName>
    <definedName name="name89shj" localSheetId="3" hidden="1">{"detail",#N/A,FALSE,"mfg";"summary",#N/A,FALSE,"mfg"}</definedName>
    <definedName name="name89shj" hidden="1">{"detail",#N/A,FALSE,"mfg";"summary",#N/A,FALSE,"mfg"}</definedName>
    <definedName name="namea101" localSheetId="3" hidden="1">{"detail",#N/A,FALSE,"mfg";"summary",#N/A,FALSE,"mfg"}</definedName>
    <definedName name="namea101" hidden="1">{"detail",#N/A,FALSE,"mfg";"summary",#N/A,FALSE,"mfg"}</definedName>
    <definedName name="nameb45" localSheetId="3" hidden="1">{"detail",#N/A,FALSE,"mfg";"summary",#N/A,FALSE,"mfg"}</definedName>
    <definedName name="nameb45" hidden="1">{"detail",#N/A,FALSE,"mfg";"summary",#N/A,FALSE,"mfg"}</definedName>
    <definedName name="nameiges" localSheetId="3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[Company Name]">#REF!</definedName>
    <definedName name="NANOX_Product_USA_G_A">'[48]GL-PC'!#REF!</definedName>
    <definedName name="NANOX_Product_USA_R_D">'[48]GL-PC'!#REF!</definedName>
    <definedName name="NANOX_Product_USA_S_M">'[48]GL-PC'!#REF!</definedName>
    <definedName name="Napok_2004_egesz">#REF!</definedName>
    <definedName name="navneet" localSheetId="3">{"'Sheet3'!$A$1:$B$30"}</definedName>
    <definedName name="navneet">{"'Sheet3'!$A$1:$B$30"}</definedName>
    <definedName name="nbhj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 localSheetId="4">[79]Notes!#REF!</definedName>
    <definedName name="NBSRelatedParties">#REF!</definedName>
    <definedName name="NBSRP1" localSheetId="4">[79]Notes!#REF!</definedName>
    <definedName name="NBSRP1">#REF!</definedName>
    <definedName name="NBSRP2" localSheetId="4">[79]Notes!#REF!</definedName>
    <definedName name="NBSRP2">#REF!</definedName>
    <definedName name="nbv">#REF!</definedName>
    <definedName name="nbvc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localSheetId="3" hidden="1">{#N/A,#N/A,FALSE,"PMTABB";#N/A,#N/A,FALSE,"PMTABB"}</definedName>
    <definedName name="nbvgh" hidden="1">{#N/A,#N/A,FALSE,"PMTABB";#N/A,#N/A,FALSE,"PMTABB"}</definedName>
    <definedName name="NCapitalizedExpense" localSheetId="4">[178]Notes!$B$230:$F$297+[178]Notes!$B$494:$D$527</definedName>
    <definedName name="NCapitalizedExpense">#REF!+#REF!</definedName>
    <definedName name="NCC">#REF!</definedName>
    <definedName name="nc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>41311.7832407407</definedName>
    <definedName name="new_1" localSheetId="3" hidden="1">{#N/A,#N/A,FALSE,"Pharm";#N/A,#N/A,FALSE,"WWCM"}</definedName>
    <definedName name="new_1" hidden="1">{#N/A,#N/A,FALSE,"Pharm";#N/A,#N/A,FALSE,"WWCM"}</definedName>
    <definedName name="new_2" localSheetId="3" hidden="1">{#N/A,#N/A,FALSE,"Pharm";#N/A,#N/A,FALSE,"WWCM"}</definedName>
    <definedName name="new_2" hidden="1">{#N/A,#N/A,FALSE,"Pharm";#N/A,#N/A,FALSE,"WWCM"}</definedName>
    <definedName name="new_3" localSheetId="3" hidden="1">{#N/A,#N/A,FALSE,"Pharm";#N/A,#N/A,FALSE,"WWCM"}</definedName>
    <definedName name="new_3" hidden="1">{#N/A,#N/A,FALSE,"Pharm";#N/A,#N/A,FALSE,"WWCM"}</definedName>
    <definedName name="new_4" localSheetId="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localSheetId="3" hidden="1">{#N/A,#N/A,FALSE,"inc state";#N/A,#N/A,FALSE,"Products";#N/A,#N/A,FALSE,"bal sht"}</definedName>
    <definedName name="new_dfs" hidden="1">{#N/A,#N/A,FALSE,"inc state";#N/A,#N/A,FALSE,"Products";#N/A,#N/A,FALSE,"bal sht"}</definedName>
    <definedName name="new_mk" localSheetId="3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localSheetId="3" hidden="1">{#N/A,#N/A,FALSE,"inc state";#N/A,#N/A,FALSE,"Products";#N/A,#N/A,FALSE,"bal sht"}</definedName>
    <definedName name="new_report" hidden="1">{#N/A,#N/A,FALSE,"inc state";#N/A,#N/A,FALSE,"Products";#N/A,#N/A,FALSE,"bal sht"}</definedName>
    <definedName name="new_wrn.All._.Models." localSheetId="3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localSheetId="3" hidden="1">{"Income sources",#N/A,FALSE,"budget Format - Peachtree"}</definedName>
    <definedName name="new_wrn.Income._.and._Cogs." hidden="1">{"Income sources",#N/A,FALSE,"budget Format - Peachtree"}</definedName>
    <definedName name="new_wrn.PRo._.Forma." localSheetId="3" hidden="1">{"Pro Forma",#N/A,FALSE,"budget Format - Peachtree"}</definedName>
    <definedName name="new_wrn.PRo._.Forma." hidden="1">{"Pro Forma",#N/A,FALSE,"budget Format - Peachtree"}</definedName>
    <definedName name="new_wrn.מאזן_בוחן_כללי." localSheetId="3" hidden="1">{#N/A,#N/A,FALSE,"מאזן בוחן";"כל_מאזן_בוחן",#N/A,FALSE,"מאזן בוחן"}</definedName>
    <definedName name="new_wrn.מאזן_בוחן_כללי." hidden="1">{#N/A,#N/A,FALSE,"מאזן בוחן";"כל_מאזן_בוחן",#N/A,FALSE,"מאזן בוחן"}</definedName>
    <definedName name="new_wrn.סעיפי_מאזן_בוחן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localSheetId="3" hidden="1">{#N/A,#N/A,FALSE,"מאזן בוחן";"כל_מאזן_בוחן",#N/A,FALSE,"מאזן בוחן"}</definedName>
    <definedName name="new_אאא" hidden="1">{#N/A,#N/A,FALSE,"מאזן בוחן";"כל_מאזן_בוחן",#N/A,FALSE,"מאזן בוחן"}</definedName>
    <definedName name="new_אאא1" localSheetId="3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localSheetId="3" hidden="1">{#N/A,#N/A,FALSE,"מאזן בוחן";"כל_מאזן_בוחן",#N/A,FALSE,"מאזן בוחן"}</definedName>
    <definedName name="new_מאזן" hidden="1">{#N/A,#N/A,FALSE,"מאזן בוחן";"כל_מאזן_בוחן",#N/A,FALSE,"מאזן בוחן"}</definedName>
    <definedName name="new_מאזן_בוחן_כללי_1" localSheetId="3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localSheetId="3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localSheetId="3" hidden="1">{"IS",#N/A,FALSE,"IS";"RPTIS",#N/A,FALSE,"RPTIS";"STATS",#N/A,FALSE,"STATS";"CELL",#N/A,FALSE,"CELL";"BS",#N/A,FALSE,"BS"}</definedName>
    <definedName name="newbel" hidden="1">{"IS",#N/A,FALSE,"IS";"RPTIS",#N/A,FALSE,"RPTIS";"STATS",#N/A,FALSE,"STATS";"CELL",#N/A,FALSE,"CELL";"BS",#N/A,FALSE,"BS"}</definedName>
    <definedName name="newbel_1" localSheetId="3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localSheetId="3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localSheetId="3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localSheetId="3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localSheetId="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localSheetId="3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localSheetId="3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localSheetId="3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localSheetId="3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localSheetId="3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localSheetId="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localSheetId="3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localSheetId="3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localSheetId="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localSheetId="3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localSheetId="3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localSheetId="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localSheetId="3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localSheetId="3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localSheetId="3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localSheetId="3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localSheetId="3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localSheetId="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localSheetId="3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localSheetId="3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localSheetId="3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localSheetId="3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localSheetId="3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localSheetId="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localSheetId="3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localSheetId="3" hidden="1">{"'2ND_QUAR'!$A$1:$P$106"}</definedName>
    <definedName name="Newcap" hidden="1">{"'2ND_QUAR'!$A$1:$P$106"}</definedName>
    <definedName name="Newcap_1" localSheetId="3" hidden="1">{"'2ND_QUAR'!$A$1:$P$106"}</definedName>
    <definedName name="Newcap_1" hidden="1">{"'2ND_QUAR'!$A$1:$P$106"}</definedName>
    <definedName name="Newcap_1_1" localSheetId="3" hidden="1">{"'2ND_QUAR'!$A$1:$P$106"}</definedName>
    <definedName name="Newcap_1_1" hidden="1">{"'2ND_QUAR'!$A$1:$P$106"}</definedName>
    <definedName name="Newcap_1_2" localSheetId="3" hidden="1">{"'2ND_QUAR'!$A$1:$P$106"}</definedName>
    <definedName name="Newcap_1_2" hidden="1">{"'2ND_QUAR'!$A$1:$P$106"}</definedName>
    <definedName name="Newcap_1_3" localSheetId="3" hidden="1">{"'2ND_QUAR'!$A$1:$P$106"}</definedName>
    <definedName name="Newcap_1_3" hidden="1">{"'2ND_QUAR'!$A$1:$P$106"}</definedName>
    <definedName name="Newcap_1_4" localSheetId="3" hidden="1">{"'2ND_QUAR'!$A$1:$P$106"}</definedName>
    <definedName name="Newcap_1_4" hidden="1">{"'2ND_QUAR'!$A$1:$P$106"}</definedName>
    <definedName name="Newcap_1_5" localSheetId="3" hidden="1">{"'2ND_QUAR'!$A$1:$P$106"}</definedName>
    <definedName name="Newcap_1_5" hidden="1">{"'2ND_QUAR'!$A$1:$P$106"}</definedName>
    <definedName name="Newcap_2" localSheetId="3" hidden="1">{"'2ND_QUAR'!$A$1:$P$106"}</definedName>
    <definedName name="Newcap_2" hidden="1">{"'2ND_QUAR'!$A$1:$P$106"}</definedName>
    <definedName name="Newcap_2_1" localSheetId="3" hidden="1">{"'2ND_QUAR'!$A$1:$P$106"}</definedName>
    <definedName name="Newcap_2_1" hidden="1">{"'2ND_QUAR'!$A$1:$P$106"}</definedName>
    <definedName name="Newcap_2_2" localSheetId="3" hidden="1">{"'2ND_QUAR'!$A$1:$P$106"}</definedName>
    <definedName name="Newcap_2_2" hidden="1">{"'2ND_QUAR'!$A$1:$P$106"}</definedName>
    <definedName name="Newcap_2_3" localSheetId="3" hidden="1">{"'2ND_QUAR'!$A$1:$P$106"}</definedName>
    <definedName name="Newcap_2_3" hidden="1">{"'2ND_QUAR'!$A$1:$P$106"}</definedName>
    <definedName name="Newcap_2_4" localSheetId="3" hidden="1">{"'2ND_QUAR'!$A$1:$P$106"}</definedName>
    <definedName name="Newcap_2_4" hidden="1">{"'2ND_QUAR'!$A$1:$P$106"}</definedName>
    <definedName name="Newcap_2_5" localSheetId="3" hidden="1">{"'2ND_QUAR'!$A$1:$P$106"}</definedName>
    <definedName name="Newcap_2_5" hidden="1">{"'2ND_QUAR'!$A$1:$P$106"}</definedName>
    <definedName name="Newcap_3" localSheetId="3" hidden="1">{"'2ND_QUAR'!$A$1:$P$106"}</definedName>
    <definedName name="Newcap_3" hidden="1">{"'2ND_QUAR'!$A$1:$P$106"}</definedName>
    <definedName name="Newcap_3_1" localSheetId="3" hidden="1">{"'2ND_QUAR'!$A$1:$P$106"}</definedName>
    <definedName name="Newcap_3_1" hidden="1">{"'2ND_QUAR'!$A$1:$P$106"}</definedName>
    <definedName name="Newcap_3_2" localSheetId="3" hidden="1">{"'2ND_QUAR'!$A$1:$P$106"}</definedName>
    <definedName name="Newcap_3_2" hidden="1">{"'2ND_QUAR'!$A$1:$P$106"}</definedName>
    <definedName name="Newcap_3_3" localSheetId="3" hidden="1">{"'2ND_QUAR'!$A$1:$P$106"}</definedName>
    <definedName name="Newcap_3_3" hidden="1">{"'2ND_QUAR'!$A$1:$P$106"}</definedName>
    <definedName name="Newcap_3_4" localSheetId="3" hidden="1">{"'2ND_QUAR'!$A$1:$P$106"}</definedName>
    <definedName name="Newcap_3_4" hidden="1">{"'2ND_QUAR'!$A$1:$P$106"}</definedName>
    <definedName name="Newcap_3_5" localSheetId="3" hidden="1">{"'2ND_QUAR'!$A$1:$P$106"}</definedName>
    <definedName name="Newcap_3_5" hidden="1">{"'2ND_QUAR'!$A$1:$P$106"}</definedName>
    <definedName name="Newcap_4" localSheetId="3" hidden="1">{"'2ND_QUAR'!$A$1:$P$106"}</definedName>
    <definedName name="Newcap_4" hidden="1">{"'2ND_QUAR'!$A$1:$P$106"}</definedName>
    <definedName name="Newcap_4_1" localSheetId="3" hidden="1">{"'2ND_QUAR'!$A$1:$P$106"}</definedName>
    <definedName name="Newcap_4_1" hidden="1">{"'2ND_QUAR'!$A$1:$P$106"}</definedName>
    <definedName name="Newcap_4_2" localSheetId="3" hidden="1">{"'2ND_QUAR'!$A$1:$P$106"}</definedName>
    <definedName name="Newcap_4_2" hidden="1">{"'2ND_QUAR'!$A$1:$P$106"}</definedName>
    <definedName name="Newcap_4_3" localSheetId="3" hidden="1">{"'2ND_QUAR'!$A$1:$P$106"}</definedName>
    <definedName name="Newcap_4_3" hidden="1">{"'2ND_QUAR'!$A$1:$P$106"}</definedName>
    <definedName name="Newcap_4_4" localSheetId="3" hidden="1">{"'2ND_QUAR'!$A$1:$P$106"}</definedName>
    <definedName name="Newcap_4_4" hidden="1">{"'2ND_QUAR'!$A$1:$P$106"}</definedName>
    <definedName name="Newcap_4_5" localSheetId="3" hidden="1">{"'2ND_QUAR'!$A$1:$P$106"}</definedName>
    <definedName name="Newcap_4_5" hidden="1">{"'2ND_QUAR'!$A$1:$P$106"}</definedName>
    <definedName name="Newcap_5" localSheetId="3" hidden="1">{"'2ND_QUAR'!$A$1:$P$106"}</definedName>
    <definedName name="Newcap_5" hidden="1">{"'2ND_QUAR'!$A$1:$P$106"}</definedName>
    <definedName name="Newcap_5_1" localSheetId="3" hidden="1">{"'2ND_QUAR'!$A$1:$P$106"}</definedName>
    <definedName name="Newcap_5_1" hidden="1">{"'2ND_QUAR'!$A$1:$P$106"}</definedName>
    <definedName name="Newcap_5_2" localSheetId="3" hidden="1">{"'2ND_QUAR'!$A$1:$P$106"}</definedName>
    <definedName name="Newcap_5_2" hidden="1">{"'2ND_QUAR'!$A$1:$P$106"}</definedName>
    <definedName name="Newcap_5_3" localSheetId="3" hidden="1">{"'2ND_QUAR'!$A$1:$P$106"}</definedName>
    <definedName name="Newcap_5_3" hidden="1">{"'2ND_QUAR'!$A$1:$P$106"}</definedName>
    <definedName name="Newcap_5_4" localSheetId="3" hidden="1">{"'2ND_QUAR'!$A$1:$P$106"}</definedName>
    <definedName name="Newcap_5_4" hidden="1">{"'2ND_QUAR'!$A$1:$P$106"}</definedName>
    <definedName name="Newcap_5_5" localSheetId="3" hidden="1">{"'2ND_QUAR'!$A$1:$P$106"}</definedName>
    <definedName name="Newcap_5_5" hidden="1">{"'2ND_QUAR'!$A$1:$P$106"}</definedName>
    <definedName name="NewCosts">#REF!</definedName>
    <definedName name="newdata" localSheetId="4" hidden="1">{"PAGE 1",#N/A,FALSE,"WEST_OT"}</definedName>
    <definedName name="newdata" localSheetId="3" hidden="1">{"PAGE 1",#N/A,FALSE,"WEST_OT"}</definedName>
    <definedName name="newdata" hidden="1">{"PAGE 1",#N/A,FALSE,"WEST_OT"}</definedName>
    <definedName name="newdata2" localSheetId="4" hidden="1">{"PAGE 1",#N/A,FALSE,"WEST_OT"}</definedName>
    <definedName name="newdata2" localSheetId="3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 localSheetId="4">[179]Data!$B$1</definedName>
    <definedName name="NewInvest">#REF!</definedName>
    <definedName name="newname" localSheetId="4" hidden="1">[180]Greylock!#REF!</definedName>
    <definedName name="newname" hidden="1">#REF!</definedName>
    <definedName name="NewName14" hidden="1">-4135</definedName>
    <definedName name="NewName2" hidden="1">255</definedName>
    <definedName name="newnewnew" localSheetId="3" hidden="1">{#N/A,#N/A,FALSE,"Pharm";#N/A,#N/A,FALSE,"WWCM"}</definedName>
    <definedName name="newnewnew" hidden="1">{#N/A,#N/A,FALSE,"Pharm";#N/A,#N/A,FALSE,"WWCM"}</definedName>
    <definedName name="newnewnew_1" localSheetId="3" hidden="1">{#N/A,#N/A,FALSE,"Pharm";#N/A,#N/A,FALSE,"WWCM"}</definedName>
    <definedName name="newnewnew_1" hidden="1">{#N/A,#N/A,FALSE,"Pharm";#N/A,#N/A,FALSE,"WWCM"}</definedName>
    <definedName name="newnewnew_2" localSheetId="3" hidden="1">{#N/A,#N/A,FALSE,"Pharm";#N/A,#N/A,FALSE,"WWCM"}</definedName>
    <definedName name="newnewnew_2" hidden="1">{#N/A,#N/A,FALSE,"Pharm";#N/A,#N/A,FALSE,"WWCM"}</definedName>
    <definedName name="newnewnew_3" localSheetId="3" hidden="1">{#N/A,#N/A,FALSE,"Pharm";#N/A,#N/A,FALSE,"WWCM"}</definedName>
    <definedName name="newnewnew_3" hidden="1">{#N/A,#N/A,FALSE,"Pharm";#N/A,#N/A,FALSE,"WWCM"}</definedName>
    <definedName name="newnewnew_4" localSheetId="3" hidden="1">{#N/A,#N/A,FALSE,"Pharm";#N/A,#N/A,FALSE,"WWCM"}</definedName>
    <definedName name="newnewnew_4" hidden="1">{#N/A,#N/A,FALSE,"Pharm";#N/A,#N/A,FALSE,"WWCM"}</definedName>
    <definedName name="NewOrders" localSheetId="3" hidden="1">{#N/A,#N/A,FALSE,"Sheet1";#N/A,#N/A,FALSE,"Sheet1 (2)"}</definedName>
    <definedName name="NewOrders" hidden="1">{#N/A,#N/A,FALSE,"Sheet1";#N/A,#N/A,FALSE,"Sheet1 (2)"}</definedName>
    <definedName name="NewPPS" localSheetId="4">[179]Data!$B$2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localSheetId="3" hidden="1">{#N/A,#N/A,FALSE,"Detailed";#N/A,#N/A,FALSE,"Total";#N/A,#N/A,FALSE,"Detailed (2)"}</definedName>
    <definedName name="nfhy" hidden="1">{#N/A,#N/A,FALSE,"Detailed";#N/A,#N/A,FALSE,"Total";#N/A,#N/A,FALSE,"Detailed (2)"}</definedName>
    <definedName name="nfhy_1" localSheetId="3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localSheetId="3" hidden="1">{#N/A,#N/A,FALSE,"PGW"}</definedName>
    <definedName name="NGFHFG" hidden="1">{#N/A,#N/A,FALSE,"PGW"}</definedName>
    <definedName name="nh" localSheetId="3" hidden="1">{"AS REP",#N/A,FALSE,"EEFSNAP2";"PROP",#N/A,FALSE,"EEFSNAP2";"RISKS",#N/A,FALSE,"EEFSNAP2";"VIEW ALL",#N/A,FALSE,"EEFSNAP2"}</definedName>
    <definedName name="nh" hidden="1">{"AS REP",#N/A,FALSE,"EEFSNAP2";"PROP",#N/A,FALSE,"EEFSNAP2";"RISKS",#N/A,FALSE,"EEFSNAP2";"VIEW ALL",#N/A,FALSE,"EEFSNAP2"}</definedName>
    <definedName name="nhgiso" localSheetId="3">{"'1-TheatreBkgs'!$A$1:$L$102"}</definedName>
    <definedName name="nhgiso">{"'1-TheatreBkgs'!$A$1:$L$102"}</definedName>
    <definedName name="NHistBS" localSheetId="4">[79]Notes!#REF!</definedName>
    <definedName name="NHistBS">#REF!</definedName>
    <definedName name="NHistEquity" localSheetId="4">[79]Notes!#REF!</definedName>
    <definedName name="NHistEquity">#REF!</definedName>
    <definedName name="NHistPL" localSheetId="4">[79]Notes!#REF!</definedName>
    <definedName name="NHistPL">#REF!</definedName>
    <definedName name="nhjythh" localSheetId="3">{"DCF","UPSIDE CASE",FALSE,"Sheet1";"DCF","BASE CASE",FALSE,"Sheet1";"DCF","DOWNSIDE CASE",FALSE,"Sheet1"}</definedName>
    <definedName name="nhjythh">{"DCF","UPSIDE CASE",FALSE,"Sheet1";"DCF","BASE CASE",FALSE,"Sheet1";"DCF","DOWNSIDE CASE",FALSE,"Sheet1"}</definedName>
    <definedName name="nhmyt" hidden="1">#REF!</definedName>
    <definedName name="NHSX_Project_Expense">'[48]GL-PC'!#REF!</definedName>
    <definedName name="nhu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 localSheetId="4">[78]Sheet1!$M$55</definedName>
    <definedName name="ni">#REF!</definedName>
    <definedName name="NIAROT">'[1]טורים 98'!$GT$145</definedName>
    <definedName name="NIARTA">'[14]שמ"מ מ"ה'!#REF!</definedName>
    <definedName name="NIATA">'[14]שמ"מ מ"ה'!#REF!</definedName>
    <definedName name="Nickname">#REF!</definedName>
    <definedName name="NICOLA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localSheetId="3" hidden="1">{"detail",#N/A,FALSE,"mfg";"summary",#N/A,FALSE,"mfg"}</definedName>
    <definedName name="nijnsh" hidden="1">{"detail",#N/A,FALSE,"mfg";"summary",#N/A,FALSE,"mfg"}</definedName>
    <definedName name="niks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localSheetId="3" hidden="1">{"detail",#N/A,FALSE,"mfg";"summary",#N/A,FALSE,"mfg"}</definedName>
    <definedName name="nj9km" hidden="1">{"detail",#N/A,FALSE,"mfg";"summary",#N/A,FALSE,"mfg"}</definedName>
    <definedName name="njhfds" localSheetId="3" hidden="1">{#N/A,"PURCHM",FALSE,"Business Analysis";#N/A,"SPADD",FALSE,"Business Analysis"}</definedName>
    <definedName name="njhfds" hidden="1">{#N/A,"PURCHM",FALSE,"Business Analysis";#N/A,"SPADD",FALSE,"Business Analysis"}</definedName>
    <definedName name="njis76" localSheetId="3" hidden="1">{"detail",#N/A,FALSE,"mfg";"summary",#N/A,FALSE,"mfg"}</definedName>
    <definedName name="njis76" hidden="1">{"detail",#N/A,FALSE,"mfg";"summary",#N/A,FALSE,"mfg"}</definedName>
    <definedName name="njkjsh" localSheetId="3" hidden="1">{"detail",#N/A,FALSE,"mfg";"summary",#N/A,FALSE,"mfg"}</definedName>
    <definedName name="njkjsh" hidden="1">{"detail",#N/A,FALSE,"mfg";"summary",#N/A,FALSE,"mfg"}</definedName>
    <definedName name="nkmi9c" localSheetId="3" hidden="1">{#N/A,"PURCHM",FALSE,"Business Analysis";#N/A,"SPADD",FALSE,"Business Analysis"}</definedName>
    <definedName name="nkmi9c" hidden="1">{#N/A,"PURCHM",FALSE,"Business Analysis";#N/A,"SPADD",FALSE,"Business Analysis"}</definedName>
    <definedName name="NLG">#REF!</definedName>
    <definedName name="ñlkj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localSheetId="3" hidden="1">{"pro_view",#N/A,FALSE,"EEFSNAP2";"rep_view",#N/A,FALSE,"EEFSNAP2"}</definedName>
    <definedName name="ñlñl" hidden="1">{"pro_view",#N/A,FALSE,"EEFSNAP2";"rep_view",#N/A,FALSE,"EEFSNAP2"}</definedName>
    <definedName name="nm">#REF!</definedName>
    <definedName name="nmnm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n" localSheetId="3" hidden="1">{"fdb1_Rapport_Report",#N/A,FALSE,"Report"}</definedName>
    <definedName name="nn" hidden="1">{"fdb1_Rapport_Report",#N/A,FALSE,"Report"}</definedName>
    <definedName name="NND" localSheetId="3" hidden="1">{#N/A,#N/A,FALSE,"ALM-ASISC"}</definedName>
    <definedName name="NND" hidden="1">{#N/A,#N/A,FALSE,"ALM-ASISC"}</definedName>
    <definedName name="nne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localSheetId="3" hidden="1">{"Pa1",#N/A,FALSE,"OpExYTDvsPY";"Pa2",#N/A,FALSE,"OpExYTDvsPY"}</definedName>
    <definedName name="nnh" hidden="1">{"Pa1",#N/A,FALSE,"OpExYTDvsPY";"Pa2",#N/A,FALSE,"OpExYTDvsPY"}</definedName>
    <definedName name="nnn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localSheetId="3" hidden="1">{#N/A,#N/A,FALSE,"Assessment";#N/A,#N/A,FALSE,"Staffing";#N/A,#N/A,FALSE,"Hires";#N/A,#N/A,FALSE,"Assumptions"}</definedName>
    <definedName name="nnn_1" hidden="1">{#N/A,#N/A,FALSE,"Assessment";#N/A,#N/A,FALSE,"Staffing";#N/A,#N/A,FALSE,"Hires";#N/A,#N/A,FALSE,"Assumptions"}</definedName>
    <definedName name="nnn_1_1" localSheetId="3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localSheetId="3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localSheetId="3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localSheetId="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localSheetId="3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localSheetId="3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localSheetId="3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localSheetId="3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localSheetId="3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localSheetId="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localSheetId="3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localSheetId="3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localSheetId="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localSheetId="3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localSheetId="3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localSheetId="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localSheetId="3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localSheetId="3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localSheetId="3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localSheetId="3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localSheetId="3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localSheetId="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localSheetId="3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localSheetId="3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localSheetId="3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localSheetId="3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localSheetId="3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localSheetId="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localSheetId="3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localSheetId="3" hidden="1">{"consolidated",#N/A,FALSE,"Sheet1";"cms",#N/A,FALSE,"Sheet1";"fse",#N/A,FALSE,"Sheet1"}</definedName>
    <definedName name="nnnb" hidden="1">{"consolidated",#N/A,FALSE,"Sheet1";"cms",#N/A,FALSE,"Sheet1";"fse",#N/A,FALSE,"Sheet1"}</definedName>
    <definedName name="nnnmmnnnjj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localSheetId="4" hidden="1">{#N/A,#N/A,FALSE,"Job Sched"}</definedName>
    <definedName name="nnnn" localSheetId="3" hidden="1">{#N/A,#N/A,FALSE,"Job Sched"}</definedName>
    <definedName name="nnnn" hidden="1">{#N/A,#N/A,FALSE,"Job Sched"}</definedName>
    <definedName name="NNNNN" localSheetId="3" hidden="1">{#N/A,#N/A,FALSE,"ALM-ASISC"}</definedName>
    <definedName name="NNNNN" hidden="1">{#N/A,#N/A,FALSE,"ALM-ASISC"}</definedName>
    <definedName name="nnnnnnn" localSheetId="3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nnnnnnnnnnn" localSheetId="3" hidden="1">{"HW",#N/A,FALSE,"1998"}</definedName>
    <definedName name="nnnnnnnnnnn" hidden="1">{"HW",#N/A,FALSE,"1998"}</definedName>
    <definedName name="nnnnnnnnnnnnnnnn" localSheetId="4" hidden="1">{"print 1.6",#N/A,FALSE,"Sheet1";"print 2.6",#N/A,FALSE,"Sheet1";"print 3.6",#N/A,FALSE,"Sheet1";"print 4.6",#N/A,FALSE,"Sheet1";"print 5.6",#N/A,FALSE,"Sheet1";"print 6.6",#N/A,FALSE,"Sheet1"}</definedName>
    <definedName name="nnnnnnnnnnnnnnnn" localSheetId="3" hidden="1">{"print 1.6",#N/A,FALSE,"Sheet1";"print 2.6",#N/A,FALSE,"Sheet1";"print 3.6",#N/A,FALSE,"Sheet1";"print 4.6",#N/A,FALSE,"Sheet1";"print 5.6",#N/A,FALSE,"Sheet1";"print 6.6",#N/A,FALSE,"Sheet1"}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localSheetId="4" hidden="1">{"print 1.6",#N/A,FALSE,"Sheet1";"print 2.6",#N/A,FALSE,"Sheet1";"print 3.6",#N/A,FALSE,"Sheet1";"print 4.6",#N/A,FALSE,"Sheet1";"print 5.6",#N/A,FALSE,"Sheet1";"print 6.6",#N/A,FALSE,"Sheet1"}</definedName>
    <definedName name="nnnnnnnnnnnnnnnn_1" localSheetId="3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localSheetId="3" hidden="1">{"Frequency Graph",#N/A,FALSE,"Trend";"Loss Cost Graph",#N/A,FALSE,"Trend";"Severity Trend Graph",#N/A,FALSE,"Trend"}</definedName>
    <definedName name="nnr" hidden="1">{"Frequency Graph",#N/A,FALSE,"Trend";"Loss Cost Graph",#N/A,FALSE,"Trend";"Severity Trend Graph",#N/A,FALSE,"Trend"}</definedName>
    <definedName name="nnr_1" localSheetId="3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localSheetId="3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localSheetId="3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localSheetId="3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localSheetId="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localSheetId="3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localSheetId="3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localSheetId="3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localSheetId="3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localSheetId="3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localSheetId="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localSheetId="3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localSheetId="3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localSheetId="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localSheetId="3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localSheetId="3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localSheetId="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localSheetId="3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localSheetId="3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localSheetId="3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localSheetId="3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localSheetId="3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localSheetId="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localSheetId="3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localSheetId="3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localSheetId="3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localSheetId="3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localSheetId="3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localSheetId="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localSheetId="3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 localSheetId="3" hidden="1">{"PR1","pr1",TRUE,"Sch PR-1"}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localSheetId="4" hidden="1">{#N/A,#N/A,FALSE,"מאזן בוחן";"כל_מאזן_בוחן",#N/A,FALSE,"מאזן בוחן"}</definedName>
    <definedName name="noam" localSheetId="3" hidden="1">{#N/A,#N/A,FALSE,"מאזן בוחן";"כל_מאזן_בוחן",#N/A,FALSE,"מאזן בוחן"}</definedName>
    <definedName name="noam" hidden="1">{#N/A,#N/A,FALSE,"מאזן בוחן";"כל_מאזן_בוחן",#N/A,FALSE,"מאזן בוחן"}</definedName>
    <definedName name="nohy?">#REF!</definedName>
    <definedName name="noidea" localSheetId="4" hidden="1">{#N/A,#N/A,FALSE,"Calc";#N/A,#N/A,FALSE,"Sensitivity";#N/A,#N/A,FALSE,"LT Earn.Dil.";#N/A,#N/A,FALSE,"Dil. AVP"}</definedName>
    <definedName name="noidea" localSheetId="3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3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localSheetId="4" hidden="1">{#N/A,#N/A,FALSE,"91NOLCB";#N/A,#N/A,FALSE,"92NOLCB";#N/A,#N/A,FALSE,"93NOLCB"}</definedName>
    <definedName name="nol" localSheetId="3" hidden="1">{#N/A,#N/A,FALSE,"91NOLCB";#N/A,#N/A,FALSE,"92NOLCB";#N/A,#N/A,FALSE,"93NOLCB"}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localSheetId="3" hidden="1">{#N/A,#N/A,TRUE,"MAIN FT TERM";#N/A,#N/A,TRUE,"MCI  FT TERM ";#N/A,#N/A,TRUE,"OC12 EQV"}</definedName>
    <definedName name="NONCOMPETE_FLETCHER" hidden="1">{#N/A,#N/A,TRUE,"MAIN FT TERM";#N/A,#N/A,TRUE,"MCI  FT TERM ";#N/A,#N/A,TRUE,"OC12 EQV"}</definedName>
    <definedName name="none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 localSheetId="4">'[181]Nonexempt Employees'!#REF!</definedName>
    <definedName name="NonExemptCarAllowance">#REF!</definedName>
    <definedName name="NonExemptLastHours" localSheetId="4">'[181]Nonexempt Employees'!#REF!</definedName>
    <definedName name="NonExemptLastHours">#REF!</definedName>
    <definedName name="nono" localSheetId="3">#N/A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localSheetId="4">#REF!</definedName>
    <definedName name="not" localSheetId="3" hidden="1">{"International Total",#N/A,FALSE,"Sheet1";"Mexico (5)",#N/A,FALSE,"Sheet1";"Mexico (37)",#N/A,FALSE,"Sheet1";"Puerto Rico (10)",#N/A,FALSE,"Sheet1"}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 localSheetId="4">[95]consolidation!#REF!</definedName>
    <definedName name="Note\3">#REF!</definedName>
    <definedName name="Note\4" localSheetId="4">[95]consolidation!#REF!</definedName>
    <definedName name="Note\4">#REF!</definedName>
    <definedName name="notes" localSheetId="4">'[182]העמסת הוצאות משותפות'!#REF!</definedName>
    <definedName name="notes">#REF!</definedName>
    <definedName name="notes_con">'[62]דוח מתכונת הגשה מאוחד'!$H$80:$L$168</definedName>
    <definedName name="Notes_FooterType">"INTERNAL"</definedName>
    <definedName name="Notes_Rec">#REF!</definedName>
    <definedName name="NOtherAssets" localSheetId="4">[79]Notes!#REF!</definedName>
    <definedName name="NOtherAssets">#REF!</definedName>
    <definedName name="nothing">#REF!</definedName>
    <definedName name="nothing2" localSheetId="4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hing2" localSheetId="3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localSheetId="3" hidden="1">{#N/A,#N/A,FALSE,"Pharm";#N/A,#N/A,FALSE,"WWCM"}</definedName>
    <definedName name="nouv_1" hidden="1">{#N/A,#N/A,FALSE,"Pharm";#N/A,#N/A,FALSE,"WWCM"}</definedName>
    <definedName name="nouv_2" localSheetId="3" hidden="1">{#N/A,#N/A,FALSE,"Pharm";#N/A,#N/A,FALSE,"WWCM"}</definedName>
    <definedName name="nouv_2" hidden="1">{#N/A,#N/A,FALSE,"Pharm";#N/A,#N/A,FALSE,"WWCM"}</definedName>
    <definedName name="nouv_3" localSheetId="3" hidden="1">{#N/A,#N/A,FALSE,"Pharm";#N/A,#N/A,FALSE,"WWCM"}</definedName>
    <definedName name="nouv_3" hidden="1">{#N/A,#N/A,FALSE,"Pharm";#N/A,#N/A,FALSE,"WWCM"}</definedName>
    <definedName name="nouv_4" localSheetId="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 localSheetId="4">'[43]P&amp;L Breakdown'!$S:$S</definedName>
    <definedName name="NOV_BUD">#REF!</definedName>
    <definedName name="NOV_TB">#REF!</definedName>
    <definedName name="NOV_Vlookup">#REF!</definedName>
    <definedName name="noviembre">#REF!</definedName>
    <definedName name="ñp" localSheetId="3" hidden="1">{#N/A,"PURCHM",FALSE,"Business Analysis";#N/A,"SPADD",FALSE,"Business Analysis"}</definedName>
    <definedName name="ñp" hidden="1">{#N/A,"PURCHM",FALSE,"Business Analysis";#N/A,"SPADD",FALSE,"Business Analysis"}</definedName>
    <definedName name="npat">#REF!</definedName>
    <definedName name="npc">#REF!</definedName>
    <definedName name="NPLRP" localSheetId="4">[79]Notes!#REF!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 localSheetId="4">[79]Notes!#REF!</definedName>
    <definedName name="NRestCash">#REF!</definedName>
    <definedName name="nsa" localSheetId="3" hidden="1">{#N/A,#N/A,FALSE,"Sheet1";#N/A,#N/A,FALSE,"STATUS"}</definedName>
    <definedName name="nsa" hidden="1">{#N/A,#N/A,FALSE,"Sheet1";#N/A,#N/A,FALSE,"STATUS"}</definedName>
    <definedName name="NSF_FEE_INCOME">#REF!</definedName>
    <definedName name="NSN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 localSheetId="4">'[183]Non-Statistical Sampling Master'!$C$63</definedName>
    <definedName name="NSProjectionMethodIndex">#REF!</definedName>
    <definedName name="NSRequiredLevelOfEvidenceItems" localSheetId="4">'[183]Non-Statistical Sampling Master'!$C$50:$C$53</definedName>
    <definedName name="NSRequiredLevelOfEvidenceItems">#REF!</definedName>
    <definedName name="NSTargetedTestingItems" localSheetId="4">'[184]Two Step Revenue Testing Master'!$E$47</definedName>
    <definedName name="NSTargetedTestingItems">#REF!</definedName>
    <definedName name="NTA">#REF!</definedName>
    <definedName name="NTYHBTR" localSheetId="3" hidden="1">{#N/A,#N/A,FALSE,"ALM-ASISC"}</definedName>
    <definedName name="NTYHBTR" hidden="1">{#N/A,#N/A,FALSE,"ALM-ASISC"}</definedName>
    <definedName name="nu">#REF!</definedName>
    <definedName name="nuijh467" localSheetId="3" hidden="1">{"detail",#N/A,FALSE,"mfg";"summary",#N/A,FALSE,"mfg"}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 localSheetId="3">MATCH(0.01,[0]!End_Bal,-1)+1</definedName>
    <definedName name="Number_of_Payments">MATCH(0.01,[0]!End_Bal,-1)+1</definedName>
    <definedName name="Number_of_Projections">#REF!</definedName>
    <definedName name="Number_of_Selections">'[185]חישובי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localSheetId="3" hidden="1">{#N/A,#N/A,FALSE,"ALM-ASISC"}</definedName>
    <definedName name="NYJTK7I6" hidden="1">{#N/A,#N/A,FALSE,"ALM-ASISC"}</definedName>
    <definedName name="o" localSheetId="3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_1" localSheetId="3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'[48]GL-PC'!#REF!</definedName>
    <definedName name="OCT_ACT">#REF!</definedName>
    <definedName name="OCT_AOP">#REF!</definedName>
    <definedName name="OCT_BUD" localSheetId="4">'[43]P&amp;L Breakdown'!$R:$R</definedName>
    <definedName name="OCT_BUD">#REF!</definedName>
    <definedName name="OCT_TB_18" localSheetId="4">[43]TB!#REF!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'[48]GL-PC'!#REF!</definedName>
    <definedName name="office_rcn">#REF!</definedName>
    <definedName name="Office_Supplies">'[48]GL-PC'!#REF!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localSheetId="4" hidden="1">{#N/A,#N/A,FALSE,"Taxblinc";#N/A,#N/A,FALSE,"Rsvsacls"}</definedName>
    <definedName name="oggie" localSheetId="3" hidden="1">{#N/A,#N/A,FALSE,"Taxblinc";#N/A,#N/A,FALSE,"Rsvsacls"}</definedName>
    <definedName name="oggie" hidden="1">{#N/A,#N/A,FALSE,"Taxblinc";#N/A,#N/A,FALSE,"Rsvsacls"}</definedName>
    <definedName name="ogkvsfj" localSheetId="3" hidden="1">{#N/A,#N/A,FALSE,"Model";#N/A,#N/A,FALSE,"Division"}</definedName>
    <definedName name="ogkvsfj" hidden="1">{#N/A,#N/A,FALSE,"Model";#N/A,#N/A,FALSE,"Division"}</definedName>
    <definedName name="oi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localSheetId="3" hidden="1">{"detail",#N/A,FALSE,"mfg";"summary",#N/A,FALSE,"mfg"}</definedName>
    <definedName name="oifd" hidden="1">{"detail",#N/A,FALSE,"mfg";"summary",#N/A,FALSE,"mfg"}</definedName>
    <definedName name="oiirx" localSheetId="3" hidden="1">{"net assets",#N/A,FALSE,"summary";"asset turnover",#N/A,FALSE,"summary";"orona",#N/A,FALSE,"summary"}</definedName>
    <definedName name="oiirx" hidden="1">{"net assets",#N/A,FALSE,"summary";"asset turnover",#N/A,FALSE,"summary";"orona",#N/A,FALSE,"summary"}</definedName>
    <definedName name="OILKULY" localSheetId="3" hidden="1">{#N/A,#N/A,FALSE,"PMTABB";#N/A,#N/A,FALSE,"PMTABB"}</definedName>
    <definedName name="OILKULY" hidden="1">{#N/A,#N/A,FALSE,"PMTABB";#N/A,#N/A,FALSE,"PMTABB"}</definedName>
    <definedName name="OIM">#REF!</definedName>
    <definedName name="oimn" localSheetId="3" hidden="1">{"QTD_PRS",#N/A,FALSE,"QTD"}</definedName>
    <definedName name="oimn" hidden="1">{"QTD_PRS",#N/A,FALSE,"QTD"}</definedName>
    <definedName name="oins" localSheetId="3" hidden="1">{"detail",#N/A,FALSE,"mfg";"summary",#N/A,FALSE,"mfg"}</definedName>
    <definedName name="oins" hidden="1">{"detail",#N/A,FALSE,"mfg";"summary",#N/A,FALSE,"mfg"}</definedName>
    <definedName name="oity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localSheetId="3" hidden="1">{"AS REP",#N/A,FALSE,"EEFSNAP2";"PROP",#N/A,FALSE,"EEFSNAP2";"RISKS",#N/A,FALSE,"EEFSNAP2";"VIEW ALL",#N/A,FALSE,"EEFSNAP2"}</definedName>
    <definedName name="oiu" hidden="1">{"AS REP",#N/A,FALSE,"EEFSNAP2";"PROP",#N/A,FALSE,"EEFSNAP2";"RISKS",#N/A,FALSE,"EEFSNAP2";"VIEW ALL",#N/A,FALSE,"EEFSNAP2"}</definedName>
    <definedName name="oiup" localSheetId="3" hidden="1">{#N/A,"PURCHM",FALSE,"Business Analysis";#N/A,"SPADD",FALSE,"Business Analysis"}</definedName>
    <definedName name="oiup" hidden="1">{#N/A,"PURCHM",FALSE,"Business Analysis";#N/A,"SPADD",FALSE,"Business Analysis"}</definedName>
    <definedName name="oiuy" localSheetId="3" hidden="1">{"Polymers Details",#N/A,FALSE,"Current Yr";"Polymer Details",#N/A,FALSE,"Budget";"Polymer Details",#N/A,FALSE,"Prior Year"}</definedName>
    <definedName name="oiuy" hidden="1">{"Polymers Details",#N/A,FALSE,"Current Yr";"Polymer Details",#N/A,FALSE,"Budget";"Polymer Details",#N/A,FALSE,"Prior Year"}</definedName>
    <definedName name="OJJSML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localSheetId="3" hidden="1">{#N/A,#N/A,FALSE,"REPORT"}</definedName>
    <definedName name="OK_1" hidden="1">{#N/A,#N/A,FALSE,"REPORT"}</definedName>
    <definedName name="OK_2" localSheetId="3" hidden="1">{#N/A,#N/A,FALSE,"REPORT"}</definedName>
    <definedName name="OK_2" hidden="1">{#N/A,#N/A,FALSE,"REPORT"}</definedName>
    <definedName name="OK_3" localSheetId="3" hidden="1">{#N/A,#N/A,FALSE,"REPORT"}</definedName>
    <definedName name="OK_3" hidden="1">{#N/A,#N/A,FALSE,"REPORT"}</definedName>
    <definedName name="OK_4" localSheetId="3" hidden="1">{#N/A,#N/A,FALSE,"REPORT"}</definedName>
    <definedName name="OK_4" hidden="1">{#N/A,#N/A,FALSE,"REPORT"}</definedName>
    <definedName name="okay" localSheetId="3" hidden="1">{#N/A,#N/A,FALSE,"QTD";#N/A,#N/A,FALSE,"Lic Fees";#N/A,#N/A,FALSE,"Unapproved";#N/A,#N/A,FALSE,"Wkly Notes"}</definedName>
    <definedName name="okay" hidden="1">{#N/A,#N/A,FALSE,"QTD";#N/A,#N/A,FALSE,"Lic Fees";#N/A,#N/A,FALSE,"Unapproved";#N/A,#N/A,FALSE,"Wkly Notes"}</definedName>
    <definedName name="okay2" localSheetId="3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localSheetId="3" hidden="1">{"vol data",#N/A,FALSE,"Datasheet";"vol graph",#N/A,FALSE,"Volume";"price data",#N/A,FALSE,"Datasheet";"price graph",#N/A,FALSE,"Price";"dp data",#N/A,FALSE,"Datasheet";"dp graph",#N/A,FALSE,"DirectProfit"}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localSheetId="4">'[186]ביצוע שנתי 97'!#REF!</definedName>
    <definedName name="old">#REF!</definedName>
    <definedName name="old2stb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localSheetId="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localSheetId="4" hidden="1">{"PAGE 1",#N/A,FALSE,"WEST_OT"}</definedName>
    <definedName name="olddata" localSheetId="3" hidden="1">{"PAGE 1",#N/A,FALSE,"WEST_OT"}</definedName>
    <definedName name="olddata" hidden="1">{"PAGE 1",#N/A,FALSE,"WEST_OT"}</definedName>
    <definedName name="olddata1" localSheetId="4" hidden="1">{"PAGE 1",#N/A,FALSE,"WEST_OT"}</definedName>
    <definedName name="olddata1" localSheetId="3" hidden="1">{"PAGE 1",#N/A,FALSE,"WEST_OT"}</definedName>
    <definedName name="olddata1" hidden="1">{"PAGE 1",#N/A,FALSE,"WEST_OT"}</definedName>
    <definedName name="olddata2" localSheetId="4" hidden="1">{"PAGE 1",#N/A,FALSE,"WEST_OT"}</definedName>
    <definedName name="olddata2" localSheetId="3" hidden="1">{"PAGE 1",#N/A,FALSE,"WEST_OT"}</definedName>
    <definedName name="olddata2" hidden="1">{"PAGE 1",#N/A,FALSE,"WEST_OT"}</definedName>
    <definedName name="olddata3" localSheetId="4" hidden="1">{"PAGE 1",#N/A,FALSE,"WEST_OT"}</definedName>
    <definedName name="olddata3" localSheetId="3" hidden="1">{"PAGE 1",#N/A,FALSE,"WEST_OT"}</definedName>
    <definedName name="olddata3" hidden="1">{"PAGE 1",#N/A,FALSE,"WEST_OT"}</definedName>
    <definedName name="OldPPS" localSheetId="4">[179]Data!$B$3</definedName>
    <definedName name="OldPPS">#REF!</definedName>
    <definedName name="oldscen">#REF!</definedName>
    <definedName name="OLE_LINK1">#REF!</definedName>
    <definedName name="olk" localSheetId="3" hidden="1">{"summary",#N/A,FALSE,"2000 vs 1999";"detail",#N/A,FALSE,"2000 vs 1999"}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localSheetId="3" hidden="1">{"Pa1",#N/A,FALSE,"OpExYTDvsPY";"Pa2",#N/A,FALSE,"OpExYTDvsPY"}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 localSheetId="3">{"'NPCGUIDELINES'!$A$1:$J$41"}</definedName>
    <definedName name="ooioiop">{"'NPCGUIDELINES'!$A$1:$J$41"}</definedName>
    <definedName name="ööl" localSheetId="3" hidden="1">{#N/A,#N/A,FALSE,"KA CH  (2)"}</definedName>
    <definedName name="ööl" hidden="1">{#N/A,#N/A,FALSE,"KA CH  (2)"}</definedName>
    <definedName name="öölälkk" localSheetId="3" hidden="1">{#N/A,#N/A,FALSE,"Umsatz 99";#N/A,#N/A,FALSE,"ER 99 "}</definedName>
    <definedName name="öölälkk" hidden="1">{#N/A,#N/A,FALSE,"Umsatz 99";#N/A,#N/A,FALSE,"ER 99 "}</definedName>
    <definedName name="öölk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localSheetId="3" hidden="1">{#N/A,#N/A,FALSE,"Umsatz 99";#N/A,#N/A,FALSE,"ER 99 "}</definedName>
    <definedName name="oolo.lll" hidden="1">{#N/A,#N/A,FALSE,"Umsatz 99";#N/A,#N/A,FALSE,"ER 99 "}</definedName>
    <definedName name="OOO" localSheetId="4">'[187]עצי מוצר'!$D$15:$E$110</definedName>
    <definedName name="ooo">#REF!</definedName>
    <definedName name="ööö" localSheetId="3" hidden="1">{#N/A,#N/A,FALSE,"Produkte Erw.";#N/A,#N/A,FALSE,"Produkte Plan";#N/A,#N/A,FALSE,"Leistungen Erw.";#N/A,#N/A,FALSE,"Leistungen Plan";#N/A,#N/A,FALSE,"KA Allg.Kosten (2)";#N/A,#N/A,FALSE,"KA All.Kosten"}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localSheetId="3" hidden="1">{#N/A,#N/A,FALSE,"REPORT"}</definedName>
    <definedName name="ooo_1" hidden="1">{#N/A,#N/A,FALSE,"REPORT"}</definedName>
    <definedName name="ooo_2" localSheetId="3" hidden="1">{#N/A,#N/A,FALSE,"REPORT"}</definedName>
    <definedName name="ooo_2" hidden="1">{#N/A,#N/A,FALSE,"REPORT"}</definedName>
    <definedName name="ooo_3" localSheetId="3" hidden="1">{#N/A,#N/A,FALSE,"REPORT"}</definedName>
    <definedName name="ooo_3" hidden="1">{#N/A,#N/A,FALSE,"REPORT"}</definedName>
    <definedName name="ooo_4" localSheetId="3" hidden="1">{#N/A,#N/A,FALSE,"REPORT"}</definedName>
    <definedName name="ooo_4" hidden="1">{#N/A,#N/A,FALSE,"REPORT"}</definedName>
    <definedName name="oooe" localSheetId="3" hidden="1">{#N/A,#N/A,FALSE,"Detailed";#N/A,#N/A,FALSE,"Total";#N/A,#N/A,FALSE,"Detailed (2)"}</definedName>
    <definedName name="oooe" hidden="1">{#N/A,#N/A,FALSE,"Detailed";#N/A,#N/A,FALSE,"Total";#N/A,#N/A,FALSE,"Detailed (2)"}</definedName>
    <definedName name="oooe_1" localSheetId="3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localSheetId="3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OOOOO" localSheetId="3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localSheetId="3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localSheetId="3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localSheetId="3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 localSheetId="4">'[65]Budget New'!#REF!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 localSheetId="3">'Company Name COGS+OPEX Build'!Open_Click</definedName>
    <definedName name="Open_Click">[0]!Open_Click</definedName>
    <definedName name="open_file">[130]!open_file</definedName>
    <definedName name="open_page">#REF!</definedName>
    <definedName name="Open_Price">#REF!</definedName>
    <definedName name="opendbs" localSheetId="3">{"fis.dbo.r1_datasum"}</definedName>
    <definedName name="opendbs">{"fis.dbo.r1_datasum"}</definedName>
    <definedName name="opendbs1" localSheetId="3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 localSheetId="4">'[80]Customer Support Group'!$A$97:$F$116</definedName>
    <definedName name="Operation">#REF!</definedName>
    <definedName name="Operations" localSheetId="4">'[65]Budget New'!#REF!</definedName>
    <definedName name="Operations">#REF!</definedName>
    <definedName name="OperMarginTable">#REF!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localSheetId="3" hidden="1">{"Comp_of_Price_Effect",#N/A,FALSE,"QTRDPVAR"}</definedName>
    <definedName name="opiu" hidden="1">{"Comp_of_Price_Effect",#N/A,FALSE,"QTRDPVAR"}</definedName>
    <definedName name="oplk" localSheetId="3" hidden="1">{"Page1",#N/A,FALSE,"OpExJanvsBud";"Page2",#N/A,FALSE,"OpExJanvsBud"}</definedName>
    <definedName name="oplk" hidden="1">{"Page1",#N/A,FALSE,"OpExJanvsBud";"Page2",#N/A,FALSE,"OpExJanvsBud"}</definedName>
    <definedName name="opndixm" localSheetId="3" hidden="1">{"detail",#N/A,FALSE,"mfg";"summary",#N/A,FALSE,"mfg"}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 localSheetId="4">[92]Options!#REF!</definedName>
    <definedName name="Options_Exercised_WA">#REF!</definedName>
    <definedName name="Options_Exercised_Year" localSheetId="4">[92]Options!#REF!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localSheetId="4" hidden="1">{"Monthly 1999 Stats",#N/A,FALSE,"Months";"Monthly 1999 IS",#N/A,FALSE,"Months"}</definedName>
    <definedName name="oss" localSheetId="3" hidden="1">{"Monthly 1999 Stats",#N/A,FALSE,"Months";"Monthly 1999 IS",#N/A,FALSE,"Months"}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'[48]GL-PC'!#REF!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'[48]GL-PC'!#REF!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localSheetId="3" hidden="1">{#N/A,#N/A,FALSE,"Pharm";#N/A,#N/A,FALSE,"WWCM"}</definedName>
    <definedName name="other33" hidden="1">{#N/A,#N/A,FALSE,"Pharm";#N/A,#N/A,FALSE,"WWCM"}</definedName>
    <definedName name="other33_1" localSheetId="3" hidden="1">{#N/A,#N/A,FALSE,"Pharm";#N/A,#N/A,FALSE,"WWCM"}</definedName>
    <definedName name="other33_1" hidden="1">{#N/A,#N/A,FALSE,"Pharm";#N/A,#N/A,FALSE,"WWCM"}</definedName>
    <definedName name="other33_2" localSheetId="3" hidden="1">{#N/A,#N/A,FALSE,"Pharm";#N/A,#N/A,FALSE,"WWCM"}</definedName>
    <definedName name="other33_2" hidden="1">{#N/A,#N/A,FALSE,"Pharm";#N/A,#N/A,FALSE,"WWCM"}</definedName>
    <definedName name="other33_3" localSheetId="3" hidden="1">{#N/A,#N/A,FALSE,"Pharm";#N/A,#N/A,FALSE,"WWCM"}</definedName>
    <definedName name="other33_3" hidden="1">{#N/A,#N/A,FALSE,"Pharm";#N/A,#N/A,FALSE,"WWCM"}</definedName>
    <definedName name="other33_4" localSheetId="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 localSheetId="4">[95]consolidation!#REF!</definedName>
    <definedName name="OtherLiabilities">#REF!</definedName>
    <definedName name="OtherLongTermAssets">#REF!</definedName>
    <definedName name="OtherLongTermLiabilities">#REF!</definedName>
    <definedName name="othermar" localSheetId="3" hidden="1">{#N/A,#N/A,FALSE,"Pharm";#N/A,#N/A,FALSE,"WWCM"}</definedName>
    <definedName name="othermar" hidden="1">{#N/A,#N/A,FALSE,"Pharm";#N/A,#N/A,FALSE,"WWCM"}</definedName>
    <definedName name="othermar_1" localSheetId="3" hidden="1">{#N/A,#N/A,FALSE,"Pharm";#N/A,#N/A,FALSE,"WWCM"}</definedName>
    <definedName name="othermar_1" hidden="1">{#N/A,#N/A,FALSE,"Pharm";#N/A,#N/A,FALSE,"WWCM"}</definedName>
    <definedName name="othermar_2" localSheetId="3" hidden="1">{#N/A,#N/A,FALSE,"Pharm";#N/A,#N/A,FALSE,"WWCM"}</definedName>
    <definedName name="othermar_2" hidden="1">{#N/A,#N/A,FALSE,"Pharm";#N/A,#N/A,FALSE,"WWCM"}</definedName>
    <definedName name="othermar_3" localSheetId="3" hidden="1">{#N/A,#N/A,FALSE,"Pharm";#N/A,#N/A,FALSE,"WWCM"}</definedName>
    <definedName name="othermar_3" hidden="1">{#N/A,#N/A,FALSE,"Pharm";#N/A,#N/A,FALSE,"WWCM"}</definedName>
    <definedName name="othermar_4" localSheetId="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 localSheetId="4">[95]consolidation!#REF!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localSheetId="3" hidden="1">{"Page 1",#N/A,FALSE,"Sheet1";"Page 2",#N/A,FALSE,"Sheet1"}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'[48]GL-PC'!#REF!</definedName>
    <definedName name="Outgoing_Freight_and_shipping_Expense">'[48]GL-PC'!#REF!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 localSheetId="4">[45]Inputs!$B$4</definedName>
    <definedName name="OutputCurrencyUnitsIn">#REF!</definedName>
    <definedName name="outstanding">#REF!</definedName>
    <definedName name="OVAT">#REF!</definedName>
    <definedName name="over">#REF!</definedName>
    <definedName name="Overhead_COGS">'[48]GL-PC'!#REF!</definedName>
    <definedName name="Overhead_S_M">'[48]GL-PC'!#REF!</definedName>
    <definedName name="owmkib" localSheetId="3" hidden="1">{"detail",#N/A,FALSE,"mfg";"summary",#N/A,FALSE,"mfg"}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localSheetId="3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 localSheetId="4">[188]Lancelot_Merlin!#REF!</definedName>
    <definedName name="p_acq_BS">#REF!</definedName>
    <definedName name="p_acq_CFS" localSheetId="4">[188]Lancelot_Merlin!#REF!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localSheetId="3" hidden="1">{#N/A,"PURCHM",FALSE,"Business Analysis";#N/A,"SPADD",FALSE,"Business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localSheetId="3" hidden="1">{"table",#N/A,FALSE,"COVER";"income_statement",#N/A,FALSE,"COVER"}</definedName>
    <definedName name="pack" hidden="1">{"table",#N/A,FALSE,"COVER";"income_statement",#N/A,FALSE,"COVER"}</definedName>
    <definedName name="Packaging">#REF!</definedName>
    <definedName name="PAEGJMLF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localSheetId="3" hidden="1">{#N/A,#N/A,FALSE,"PMTABB";#N/A,#N/A,FALSE,"PMTABB"}</definedName>
    <definedName name="pakhak" hidden="1">{#N/A,#N/A,FALSE,"PMTABB";#N/A,#N/A,FALSE,"PMTABB"}</definedName>
    <definedName name="Pal_Workbook_GUID">"4LMCEKUSMS3SHX5QNPEA6WVE"</definedName>
    <definedName name="pallav" localSheetId="3" hidden="1">{#N/A,#N/A,FALSE,"PMTABB";#N/A,#N/A,FALSE,"PMTABB"}</definedName>
    <definedName name="pallav" hidden="1">{#N/A,#N/A,FALSE,"PMTABB";#N/A,#N/A,FALSE,"PMTABB"}</definedName>
    <definedName name="PAOKGFKBGK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localSheetId="3" hidden="1">{#N/A,#N/A,FALSE,"Aging Summary";#N/A,#N/A,FALSE,"Ratio Analysis";#N/A,#N/A,FALSE,"Test 120 Day Accts";#N/A,#N/A,FALSE,"Tickmarks"}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 localSheetId="4">[45]Workings!$D$1012:$O$1012</definedName>
    <definedName name="Pat">#REF!</definedName>
    <definedName name="Patent_life">#REF!</definedName>
    <definedName name="Patents_Expense">'[48]GL-PC'!#REF!</definedName>
    <definedName name="Patents_return">#REF!</definedName>
    <definedName name="patty" localSheetId="4" hidden="1">{"PAGE 1",#N/A,FALSE,"WEST_OT"}</definedName>
    <definedName name="patty" localSheetId="3" hidden="1">{"PAGE 1",#N/A,FALSE,"WEST_OT"}</definedName>
    <definedName name="patty" hidden="1">{"PAGE 1",#N/A,FALSE,"WEST_OT"}</definedName>
    <definedName name="Paul_Print_Area">#REF!</definedName>
    <definedName name="paulname">#REF!</definedName>
    <definedName name="PAWHELP" localSheetId="3" hidden="1">{"'Page 2-4'!$A$1:$O$47","'Page 2-2'!$A$1:$P$58"}</definedName>
    <definedName name="PAWHELP" hidden="1">{"'Page 2-4'!$A$1:$O$47","'Page 2-2'!$A$1:$P$58"}</definedName>
    <definedName name="PayableOtherDays" localSheetId="4">[45]Workings!$D$532:$O$532</definedName>
    <definedName name="PayableOtherDays">#REF!</definedName>
    <definedName name="PayableTradeDays" localSheetId="4">[45]Workings!$D$524:$O$524</definedName>
    <definedName name="PayableTradeDays">#REF!</definedName>
    <definedName name="PayDebt">#REF!</definedName>
    <definedName name="PAYE">#REF!</definedName>
    <definedName name="Payment_Date" localSheetId="3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localSheetId="3" hidden="1">{"net assets",#N/A,FALSE,"summary";"asset turnover",#N/A,FALSE,"summary";"orona",#N/A,FALSE,"summary"}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 localSheetId="4">'[112]Data Carlsrom'!$AA$7:$AB$270</definedName>
    <definedName name="PC">#REF!</definedName>
    <definedName name="PC_Card_BU" localSheetId="4">'[80]Customer Support Group'!$A$20:$F$36</definedName>
    <definedName name="PC_Card_BU">#REF!</definedName>
    <definedName name="PCA" hidden="1">"BL7FKFTY6NDALOTZZF8PFRAS6"</definedName>
    <definedName name="PcntRank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 localSheetId="4">[189]분담기준!$E$4</definedName>
    <definedName name="PC수">#REF!</definedName>
    <definedName name="pd" localSheetId="3" hidden="1">{"detail",#N/A,FALSE,"mfg";"summary",#N/A,FALSE,"mfg"}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localSheetId="3" hidden="1">{"FY01_Assets",#N/A,FALSE,"Fin Stmt Budget";"FY01_Liabilities",#N/A,FALSE,"Fin Stmt Budget";"FY01_Inc_Stmt",#N/A,FALSE,"Fin Stmt Budget";"FY01_SOCF",#N/A,FALSE,"Fin Stmt Budget"}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 localSheetId="4">[190]WP!#REF!</definedName>
    <definedName name="PENSION_EXP">#REF!</definedName>
    <definedName name="PensionB">#REF!</definedName>
    <definedName name="peoble" localSheetId="3" hidden="1">{"sales",#N/A,FALSE,"Sales";"sales existing",#N/A,FALSE,"Sales";"sales rd1",#N/A,FALSE,"Sales";"sales rd2",#N/A,FALSE,"Sales"}</definedName>
    <definedName name="peoble" hidden="1">{"sales",#N/A,FALSE,"Sales";"sales existing",#N/A,FALSE,"Sales";"sales rd1",#N/A,FALSE,"Sales";"sales rd2",#N/A,FALSE,"Sales"}</definedName>
    <definedName name="PEOGKJMKA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localSheetId="3" hidden="1">{#N/A,#N/A,FALSE,"Pharm";#N/A,#N/A,FALSE,"WWCM"}</definedName>
    <definedName name="pepe" hidden="1">{#N/A,#N/A,FALSE,"Pharm";#N/A,#N/A,FALSE,"WWCM"}</definedName>
    <definedName name="pepe_1" localSheetId="3" hidden="1">{#N/A,#N/A,FALSE,"Pharm";#N/A,#N/A,FALSE,"WWCM"}</definedName>
    <definedName name="pepe_1" hidden="1">{#N/A,#N/A,FALSE,"Pharm";#N/A,#N/A,FALSE,"WWCM"}</definedName>
    <definedName name="pepe_2" localSheetId="3" hidden="1">{#N/A,#N/A,FALSE,"Pharm";#N/A,#N/A,FALSE,"WWCM"}</definedName>
    <definedName name="pepe_2" hidden="1">{#N/A,#N/A,FALSE,"Pharm";#N/A,#N/A,FALSE,"WWCM"}</definedName>
    <definedName name="pepe_3" localSheetId="3" hidden="1">{#N/A,#N/A,FALSE,"Pharm";#N/A,#N/A,FALSE,"WWCM"}</definedName>
    <definedName name="pepe_3" hidden="1">{#N/A,#N/A,FALSE,"Pharm";#N/A,#N/A,FALSE,"WWCM"}</definedName>
    <definedName name="pepe_4" localSheetId="3" hidden="1">{#N/A,#N/A,FALSE,"Pharm";#N/A,#N/A,FALSE,"WWCM"}</definedName>
    <definedName name="pepe_4" hidden="1">{#N/A,#N/A,FALSE,"Pharm";#N/A,#N/A,FALSE,"WWCM"}</definedName>
    <definedName name="PEPE4" localSheetId="3" hidden="1">{#N/A,#N/A,FALSE,"Pharm";#N/A,#N/A,FALSE,"WWCM"}</definedName>
    <definedName name="PEPE4" hidden="1">{#N/A,#N/A,FALSE,"Pharm";#N/A,#N/A,FALSE,"WWCM"}</definedName>
    <definedName name="PEPE4_1" localSheetId="3" hidden="1">{#N/A,#N/A,FALSE,"Pharm";#N/A,#N/A,FALSE,"WWCM"}</definedName>
    <definedName name="PEPE4_1" hidden="1">{#N/A,#N/A,FALSE,"Pharm";#N/A,#N/A,FALSE,"WWCM"}</definedName>
    <definedName name="PEPE4_2" localSheetId="3" hidden="1">{#N/A,#N/A,FALSE,"Pharm";#N/A,#N/A,FALSE,"WWCM"}</definedName>
    <definedName name="PEPE4_2" hidden="1">{#N/A,#N/A,FALSE,"Pharm";#N/A,#N/A,FALSE,"WWCM"}</definedName>
    <definedName name="PEPE4_3" localSheetId="3" hidden="1">{#N/A,#N/A,FALSE,"Pharm";#N/A,#N/A,FALSE,"WWCM"}</definedName>
    <definedName name="PEPE4_3" hidden="1">{#N/A,#N/A,FALSE,"Pharm";#N/A,#N/A,FALSE,"WWCM"}</definedName>
    <definedName name="PEPE4_4" localSheetId="3" hidden="1">{#N/A,#N/A,FALSE,"Pharm";#N/A,#N/A,FALSE,"WWCM"}</definedName>
    <definedName name="PEPE4_4" hidden="1">{#N/A,#N/A,FALSE,"Pharm";#N/A,#N/A,FALSE,"WWCM"}</definedName>
    <definedName name="PEPE5" localSheetId="3" hidden="1">{#N/A,#N/A,FALSE,"Pharm";#N/A,#N/A,FALSE,"WWCM"}</definedName>
    <definedName name="PEPE5" hidden="1">{#N/A,#N/A,FALSE,"Pharm";#N/A,#N/A,FALSE,"WWCM"}</definedName>
    <definedName name="PEPE5_1" localSheetId="3" hidden="1">{#N/A,#N/A,FALSE,"Pharm";#N/A,#N/A,FALSE,"WWCM"}</definedName>
    <definedName name="PEPE5_1" hidden="1">{#N/A,#N/A,FALSE,"Pharm";#N/A,#N/A,FALSE,"WWCM"}</definedName>
    <definedName name="PEPE5_2" localSheetId="3" hidden="1">{#N/A,#N/A,FALSE,"Pharm";#N/A,#N/A,FALSE,"WWCM"}</definedName>
    <definedName name="PEPE5_2" hidden="1">{#N/A,#N/A,FALSE,"Pharm";#N/A,#N/A,FALSE,"WWCM"}</definedName>
    <definedName name="PEPE5_3" localSheetId="3" hidden="1">{#N/A,#N/A,FALSE,"Pharm";#N/A,#N/A,FALSE,"WWCM"}</definedName>
    <definedName name="PEPE5_3" hidden="1">{#N/A,#N/A,FALSE,"Pharm";#N/A,#N/A,FALSE,"WWCM"}</definedName>
    <definedName name="PEPE5_4" localSheetId="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localSheetId="3" hidden="1">{#N/A,#N/A,FALSE,"QTD";#N/A,#N/A,FALSE,"Lic Fees";#N/A,#N/A,FALSE,"Unapproved";#N/A,#N/A,FALSE,"Wkly Notes"}</definedName>
    <definedName name="PerfTemplate" hidden="1">{#N/A,#N/A,FALSE,"QTD";#N/A,#N/A,FALSE,"Lic Fees";#N/A,#N/A,FALSE,"Unapproved";#N/A,#N/A,FALSE,"Wkly Notes"}</definedName>
    <definedName name="perftemplate2" localSheetId="3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 localSheetId="4">#REF!</definedName>
    <definedName name="period">12</definedName>
    <definedName name="Period_Data">#REF!</definedName>
    <definedName name="PeriodEnd">#REF!</definedName>
    <definedName name="perm" localSheetId="4" hidden="1">{"PAGE 1",#N/A,FALSE,"WEST_OT"}</definedName>
    <definedName name="perm" localSheetId="3" hidden="1">{"PAGE 1",#N/A,FALSE,"WEST_OT"}</definedName>
    <definedName name="perm" hidden="1">{"PAGE 1",#N/A,FALSE,"WEST_OT"}</definedName>
    <definedName name="perm1" localSheetId="4" hidden="1">{"PAGE 1",#N/A,FALSE,"WEST_OT"}</definedName>
    <definedName name="perm1" localSheetId="3" hidden="1">{"PAGE 1",#N/A,FALSE,"WEST_OT"}</definedName>
    <definedName name="perm1" hidden="1">{"PAGE 1",#N/A,FALSE,"WEST_OT"}</definedName>
    <definedName name="perm3" localSheetId="4" hidden="1">{"PAGE 1",#N/A,FALSE,"WEST_OT"}</definedName>
    <definedName name="perm3" localSheetId="3" hidden="1">{"PAGE 1",#N/A,FALSE,"WEST_OT"}</definedName>
    <definedName name="perm3" hidden="1">{"PAGE 1",#N/A,FALSE,"WEST_OT"}</definedName>
    <definedName name="perm4" localSheetId="4" hidden="1">{"PAGE 1",#N/A,FALSE,"WEST_OT"}</definedName>
    <definedName name="perm4" localSheetId="3" hidden="1">{"PAGE 1",#N/A,FALSE,"WEST_OT"}</definedName>
    <definedName name="perm4" hidden="1">{"PAGE 1",#N/A,FALSE,"WEST_OT"}</definedName>
    <definedName name="perm5" localSheetId="4" hidden="1">{"PAGE 2",#N/A,FALSE,"WEST_OT"}</definedName>
    <definedName name="perm5" localSheetId="3" hidden="1">{"PAGE 2",#N/A,FALSE,"WEST_OT"}</definedName>
    <definedName name="perm5" hidden="1">{"PAGE 2",#N/A,FALSE,"WEST_OT"}</definedName>
    <definedName name="perm6" localSheetId="4" hidden="1">{"PAGE 2",#N/A,FALSE,"WEST_OT"}</definedName>
    <definedName name="perm6" localSheetId="3" hidden="1">{"PAGE 2",#N/A,FALSE,"WEST_OT"}</definedName>
    <definedName name="perm6" hidden="1">{"PAGE 2",#N/A,FALSE,"WEST_OT"}</definedName>
    <definedName name="perm7" localSheetId="4" hidden="1">{"PAGE 1",#N/A,FALSE,"WEST_OT"}</definedName>
    <definedName name="perm7" localSheetId="3" hidden="1">{"PAGE 1",#N/A,FALSE,"WEST_OT"}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localSheetId="3" hidden="1">{#N/A,#N/A,FALSE,"ALM-ASISC"}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localSheetId="3" hidden="1">{#N/A,#N/A,TRUE,"Acq-Ass";#N/A,#N/A,TRUE,"Acq-IS";#N/A,#N/A,TRUE,"Acq-BS";#N/A,#N/A,TRUE,"Acq-CF"}</definedName>
    <definedName name="PeterTEST" hidden="1">{#N/A,#N/A,TRUE,"Acq-Ass";#N/A,#N/A,TRUE,"Acq-IS";#N/A,#N/A,TRUE,"Acq-BS";#N/A,#N/A,TRUE,"Acq-CF"}</definedName>
    <definedName name="petko" localSheetId="3" hidden="1">{"glc1",#N/A,FALSE,"GLC";"glc2",#N/A,FALSE,"GLC";"glc3",#N/A,FALSE,"GLC";"glc4",#N/A,FALSE,"GLC";"glc5",#N/A,FALSE,"GLC"}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localSheetId="3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harma_1" localSheetId="3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localSheetId="3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localSheetId="3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localSheetId="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il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localSheetId="3" hidden="1">{"oct_res_comm",#N/A,FALSE,"VarToBud"}</definedName>
    <definedName name="pi" hidden="1">{"oct_res_comm",#N/A,FALSE,"VarToBud"}</definedName>
    <definedName name="PIE" localSheetId="4">'[184]Two Step Revenue Testing Master'!$C$87</definedName>
    <definedName name="PIE">#REF!</definedName>
    <definedName name="pig" localSheetId="3" hidden="1">{"histincome",#N/A,FALSE,"hyfins";"closing balance",#N/A,FALSE,"hyfins"}</definedName>
    <definedName name="pig" hidden="1">{"histincome",#N/A,FALSE,"hyfins";"closing balance",#N/A,FALSE,"hyfins"}</definedName>
    <definedName name="pik">#REF!</definedName>
    <definedName name="PIKrate">#REF!</definedName>
    <definedName name="PILAR" localSheetId="3" hidden="1">{"detail",#N/A,FALSE,"mfg";"summary",#N/A,FALSE,"mfg"}</definedName>
    <definedName name="PILAR" hidden="1">{"detail",#N/A,FALSE,"mfg";"summary",#N/A,FALSE,"mfg"}</definedName>
    <definedName name="pilk" localSheetId="3" hidden="1">{"YD LPH2",#N/A,FALSE,"YTD"}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p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localSheetId="3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ITTWAY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 localSheetId="4">[95]consolidation!#REF!</definedName>
    <definedName name="PL">#REF!</definedName>
    <definedName name="pl_1" localSheetId="3" hidden="1">{#N/A,#N/A,FALSE,"REPORT"}</definedName>
    <definedName name="pl_1" hidden="1">{#N/A,#N/A,FALSE,"REPORT"}</definedName>
    <definedName name="pl_13">#REF!</definedName>
    <definedName name="pl_2" localSheetId="3" hidden="1">{#N/A,#N/A,FALSE,"REPORT"}</definedName>
    <definedName name="pl_2" hidden="1">{#N/A,#N/A,FALSE,"REPORT"}</definedName>
    <definedName name="pl_3" localSheetId="3" hidden="1">{#N/A,#N/A,FALSE,"REPORT"}</definedName>
    <definedName name="pl_3" hidden="1">{#N/A,#N/A,FALSE,"REPORT"}</definedName>
    <definedName name="pl_4" localSheetId="3" hidden="1">{#N/A,#N/A,FALSE,"REPORT"}</definedName>
    <definedName name="pl_4" hidden="1">{#N/A,#N/A,FALSE,"REPORT"}</definedName>
    <definedName name="PL_BSG">#REF!</definedName>
    <definedName name="PL_ByQ_ACT" localSheetId="4">'[43]P&amp;L Breakdown'!$AX$3:$BA$202</definedName>
    <definedName name="PL_ByQ_ACT">#REF!</definedName>
    <definedName name="PL_ByQ_BUD" localSheetId="4">'[43]P&amp;L Breakdown'!$Y$3:$AB$202</definedName>
    <definedName name="PL_ByQ_BUD">#REF!</definedName>
    <definedName name="PL_con">'[62]דוח מתכונת הגשה מאוחד'!$I$45:$M$78</definedName>
    <definedName name="PL_ESG">#REF!</definedName>
    <definedName name="pl_il">#REF!</definedName>
    <definedName name="PL_INDEX" localSheetId="4">'[43]P&amp;L Breakdown'!$G$3:$G$202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'[62]דוח מתכונת הגשה סולו ישראל'!$I$79:$M$167</definedName>
    <definedName name="PL_TSG">#REF!</definedName>
    <definedName name="pl_usa">#REF!</definedName>
    <definedName name="PL1a" localSheetId="3" hidden="1">{#N/A,#N/A,FALSE,"Umsatz 99";#N/A,#N/A,FALSE,"ER 99 "}</definedName>
    <definedName name="PL1a" hidden="1">{#N/A,#N/A,FALSE,"Umsatz 99";#N/A,#N/A,FALSE,"ER 99 "}</definedName>
    <definedName name="PL5YRP" localSheetId="3" hidden="1">{"ebitda",#N/A,FALSE,"EBITDA";"consolidated",#N/A,FALSE,"CCC PL";"divisions",#N/A,FALSE,"Divisions"}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localSheetId="3" hidden="1">{#N/A,#N/A,FALSE,"BalSheet 0899";#N/A,#N/A,FALSE,"ytdpl899";#N/A,#N/A,FALSE,"Aug PL";#N/A,#N/A,FALSE,"Minority Int";#N/A,#N/A,FALSE,"Equity Roll Forward";#N/A,#N/A,FALSE,"Book Equity Test"}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localSheetId="4" hidden="1">{"'Expense Details'!$A$1:$AM$222"}</definedName>
    <definedName name="Planning_for_Q4" localSheetId="3" hidden="1">{"'Expense Details'!$A$1:$AM$222"}</definedName>
    <definedName name="Planning_for_Q4" hidden="1">{"'Expense Details'!$A$1:$AM$222"}</definedName>
    <definedName name="PlanVLE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localSheetId="3" hidden="1">{#N/A,#N/A,FALSE,"REPORT"}</definedName>
    <definedName name="PLCepi" hidden="1">{#N/A,#N/A,FALSE,"REPORT"}</definedName>
    <definedName name="PLCepi_1" localSheetId="3" hidden="1">{#N/A,#N/A,FALSE,"REPORT"}</definedName>
    <definedName name="PLCepi_1" hidden="1">{#N/A,#N/A,FALSE,"REPORT"}</definedName>
    <definedName name="PLCepi_2" localSheetId="3" hidden="1">{#N/A,#N/A,FALSE,"REPORT"}</definedName>
    <definedName name="PLCepi_2" hidden="1">{#N/A,#N/A,FALSE,"REPORT"}</definedName>
    <definedName name="PLCepi_3" localSheetId="3" hidden="1">{#N/A,#N/A,FALSE,"REPORT"}</definedName>
    <definedName name="PLCepi_3" hidden="1">{#N/A,#N/A,FALSE,"REPORT"}</definedName>
    <definedName name="PLCepi_4" localSheetId="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 localSheetId="4">[79]Notes!#REF!</definedName>
    <definedName name="plhist">#REF!</definedName>
    <definedName name="PLhistEUR" localSheetId="4">[79]Notes!#REF!</definedName>
    <definedName name="PLhistEUR">#REF!</definedName>
    <definedName name="PLMAD">'[1]טורים 98'!$FC$250:$GH$333</definedName>
    <definedName name="ploi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localSheetId="3" hidden="1">{#N/A,#N/A,FALSE,"REPORT"}</definedName>
    <definedName name="PLProcef" hidden="1">{#N/A,#N/A,FALSE,"REPORT"}</definedName>
    <definedName name="PLProcef_1" localSheetId="3" hidden="1">{#N/A,#N/A,FALSE,"REPORT"}</definedName>
    <definedName name="PLProcef_1" hidden="1">{#N/A,#N/A,FALSE,"REPORT"}</definedName>
    <definedName name="PLProcef_2" localSheetId="3" hidden="1">{#N/A,#N/A,FALSE,"REPORT"}</definedName>
    <definedName name="PLProcef_2" hidden="1">{#N/A,#N/A,FALSE,"REPORT"}</definedName>
    <definedName name="PLProcef_3" localSheetId="3" hidden="1">{#N/A,#N/A,FALSE,"REPORT"}</definedName>
    <definedName name="PLProcef_3" hidden="1">{#N/A,#N/A,FALSE,"REPORT"}</definedName>
    <definedName name="PLProcef_4" localSheetId="3" hidden="1">{#N/A,#N/A,FALSE,"REPORT"}</definedName>
    <definedName name="PLProcef_4" hidden="1">{#N/A,#N/A,FALSE,"REPORT"}</definedName>
    <definedName name="PLQ">#REF!</definedName>
    <definedName name="PLTaxol" localSheetId="3" hidden="1">{#N/A,#N/A,FALSE,"REPORT"}</definedName>
    <definedName name="PLTaxol" hidden="1">{#N/A,#N/A,FALSE,"REPORT"}</definedName>
    <definedName name="PLTaxol_1" localSheetId="3" hidden="1">{#N/A,#N/A,FALSE,"REPORT"}</definedName>
    <definedName name="PLTaxol_1" hidden="1">{#N/A,#N/A,FALSE,"REPORT"}</definedName>
    <definedName name="PLTaxol_2" localSheetId="3" hidden="1">{#N/A,#N/A,FALSE,"REPORT"}</definedName>
    <definedName name="PLTaxol_2" hidden="1">{#N/A,#N/A,FALSE,"REPORT"}</definedName>
    <definedName name="PLTaxol_3" localSheetId="3" hidden="1">{#N/A,#N/A,FALSE,"REPORT"}</definedName>
    <definedName name="PLTaxol_3" hidden="1">{#N/A,#N/A,FALSE,"REPORT"}</definedName>
    <definedName name="PLTaxol_4" localSheetId="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localSheetId="3" hidden="1">{#N/A,#N/A,FALSE,"PMTABB";#N/A,#N/A,FALSE,"PMTABB"}</definedName>
    <definedName name="pmc" hidden="1">{#N/A,#N/A,FALSE,"PMTABB";#N/A,#N/A,FALSE,"PMTABB"}</definedName>
    <definedName name="pmcf" localSheetId="3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localSheetId="3" hidden="1">{#N/A,#N/A,FALSE,"Pharm";#N/A,#N/A,FALSE,"WWCM"}</definedName>
    <definedName name="Pnl_1" hidden="1">{#N/A,#N/A,FALSE,"Pharm";#N/A,#N/A,FALSE,"WWCM"}</definedName>
    <definedName name="Pnl_2" localSheetId="3" hidden="1">{#N/A,#N/A,FALSE,"Pharm";#N/A,#N/A,FALSE,"WWCM"}</definedName>
    <definedName name="Pnl_2" hidden="1">{#N/A,#N/A,FALSE,"Pharm";#N/A,#N/A,FALSE,"WWCM"}</definedName>
    <definedName name="Pnl_3" localSheetId="3" hidden="1">{#N/A,#N/A,FALSE,"Pharm";#N/A,#N/A,FALSE,"WWCM"}</definedName>
    <definedName name="Pnl_3" hidden="1">{#N/A,#N/A,FALSE,"Pharm";#N/A,#N/A,FALSE,"WWCM"}</definedName>
    <definedName name="Pnl_4" localSheetId="3" hidden="1">{#N/A,#N/A,FALSE,"Pharm";#N/A,#N/A,FALSE,"WWCM"}</definedName>
    <definedName name="Pnl_4" hidden="1">{#N/A,#N/A,FALSE,"Pharm";#N/A,#N/A,FALSE,"WWCM"}</definedName>
    <definedName name="PNP">#REF!</definedName>
    <definedName name="pnsji5" localSheetId="3" hidden="1">{#N/A,"PURCHM",FALSE,"Business Analysis";#N/A,"SPADD",FALSE,"Business Analysis"}</definedName>
    <definedName name="pnsji5" hidden="1">{#N/A,"PURCHM",FALSE,"Business Analysis";#N/A,"SPADD",FALSE,"Business Analysis"}</definedName>
    <definedName name="po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localSheetId="3" hidden="1">{#N/A,#N/A,FALSE,"Detailed";#N/A,#N/A,FALSE,"Total";#N/A,#N/A,FALSE,"Detailed (2)"}</definedName>
    <definedName name="poi" hidden="1">{#N/A,#N/A,FALSE,"Detailed";#N/A,#N/A,FALSE,"Total";#N/A,#N/A,FALSE,"Detailed (2)"}</definedName>
    <definedName name="poi_1" localSheetId="3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 localSheetId="3">#N/A</definedName>
    <definedName name="poiopiopik">#N/A</definedName>
    <definedName name="poiu" localSheetId="3" hidden="1">{"Performance Details",#N/A,FALSE,"Current Yr";"Performance Details",#N/A,FALSE,"Budget";"Performance Details",#N/A,FALSE,"Prior Year"}</definedName>
    <definedName name="poiu" hidden="1">{"Performance Details",#N/A,FALSE,"Current Yr";"Performance Details",#N/A,FALSE,"Budget";"Performance Details",#N/A,FALSE,"Prior Year"}</definedName>
    <definedName name="POJFGOJ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localSheetId="3" hidden="1">{"QTD_LOUISIANA",#N/A,FALSE,"QTD"}</definedName>
    <definedName name="pokj" hidden="1">{"QTD_LOUISIANA",#N/A,FALSE,"QTD"}</definedName>
    <definedName name="PoliticalRiskPremium">#REF!</definedName>
    <definedName name="PONL" localSheetId="3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o" localSheetId="3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 localSheetId="3">{"'NPCGUIDELINES'!$A$1:$J$41"}</definedName>
    <definedName name="popopd">{"'NPCGUIDELINES'!$A$1:$J$41"}</definedName>
    <definedName name="port29" localSheetId="3" hidden="1">{#N/A,#N/A,FALSE,"Pharm";#N/A,#N/A,FALSE,"WWCM"}</definedName>
    <definedName name="port29" hidden="1">{#N/A,#N/A,FALSE,"Pharm";#N/A,#N/A,FALSE,"WWCM"}</definedName>
    <definedName name="port29_1" localSheetId="3" hidden="1">{#N/A,#N/A,FALSE,"Pharm";#N/A,#N/A,FALSE,"WWCM"}</definedName>
    <definedName name="port29_1" hidden="1">{#N/A,#N/A,FALSE,"Pharm";#N/A,#N/A,FALSE,"WWCM"}</definedName>
    <definedName name="port29_2" localSheetId="3" hidden="1">{#N/A,#N/A,FALSE,"Pharm";#N/A,#N/A,FALSE,"WWCM"}</definedName>
    <definedName name="port29_2" hidden="1">{#N/A,#N/A,FALSE,"Pharm";#N/A,#N/A,FALSE,"WWCM"}</definedName>
    <definedName name="port29_3" localSheetId="3" hidden="1">{#N/A,#N/A,FALSE,"Pharm";#N/A,#N/A,FALSE,"WWCM"}</definedName>
    <definedName name="port29_3" hidden="1">{#N/A,#N/A,FALSE,"Pharm";#N/A,#N/A,FALSE,"WWCM"}</definedName>
    <definedName name="port29_4" localSheetId="3" hidden="1">{#N/A,#N/A,FALSE,"Pharm";#N/A,#N/A,FALSE,"WWCM"}</definedName>
    <definedName name="port29_4" hidden="1">{#N/A,#N/A,FALSE,"Pharm";#N/A,#N/A,FALSE,"WWCM"}</definedName>
    <definedName name="Portails" localSheetId="3" hidden="1">{"' calendrier 2000'!$A$1:$Q$38"}</definedName>
    <definedName name="Portails" hidden="1">{"' calendrier 2000'!$A$1:$Q$38"}</definedName>
    <definedName name="Portfolio_Cashflow">#REF!</definedName>
    <definedName name="Position">#REF!</definedName>
    <definedName name="positions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localSheetId="3" hidden="1">{#N/A,#N/A,FALSE,"ALM-ASISC"}</definedName>
    <definedName name="Power_dual" hidden="1">{#N/A,#N/A,FALSE,"ALM-ASISC"}</definedName>
    <definedName name="Power_Pro" localSheetId="3" hidden="1">{#N/A,#N/A,FALSE,"ALM-ASISC"}</definedName>
    <definedName name="Power_Pro" hidden="1">{#N/A,#N/A,FALSE,"ALM-ASISC"}</definedName>
    <definedName name="powerass">#REF!</definedName>
    <definedName name="powq" localSheetId="3" hidden="1">{#N/A,"PURCHM",FALSE,"Business Analysis";#N/A,"SPADD",FALSE,"Business Analysis"}</definedName>
    <definedName name="powq" hidden="1">{#N/A,"PURCHM",FALSE,"Business Analysis";#N/A,"SPADD",FALSE,"Business Analysis"}</definedName>
    <definedName name="pp" localSheetId="4" hidden="1">{#N/A,#N/A,FALSE,"contents";#N/A,#N/A,FALSE,"bal. sheet";#N/A,#N/A,FALSE,"income";#N/A,#N/A,FALSE,"cashflow";#N/A,#N/A,FALSE,"equity";#N/A,#N/A,FALSE,"notes";#N/A,#N/A,FALSE,"supplemental"}</definedName>
    <definedName name="PP">#REF!</definedName>
    <definedName name="PP_and_E">#REF!</definedName>
    <definedName name="PP_and_E2">#REF!</definedName>
    <definedName name="PPE_FMV">#REF!</definedName>
    <definedName name="ppl" localSheetId="3" hidden="1">{#N/A,#N/A,FALSE,"מערך הלוגיסטיקה"}</definedName>
    <definedName name="ppl" hidden="1">{#N/A,#N/A,FALSE,"מערך הלוגיסטיקה"}</definedName>
    <definedName name="ppo" localSheetId="3" hidden="1">{#N/A,#N/A,FALSE,"מערך הלוגיסטיקה"}</definedName>
    <definedName name="ppo" hidden="1">{#N/A,#N/A,FALSE,"מערך הלוגיסטיקה"}</definedName>
    <definedName name="PPP" localSheetId="3" hidden="1">{#N/A,#N/A,FALSE,"Aging Summary";#N/A,#N/A,FALSE,"Ratio Analysis";#N/A,#N/A,FALSE,"Test 120 Day Accts";#N/A,#N/A,FALSE,"Tickmarks"}</definedName>
    <definedName name="PPP" hidden="1">{#N/A,#N/A,FALSE,"Aging Summary";#N/A,#N/A,FALSE,"Ratio Analysis";#N/A,#N/A,FALSE,"Test 120 Day Accts";#N/A,#N/A,FALSE,"Tickmarks"}</definedName>
    <definedName name="PPPP" localSheetId="3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localSheetId="3" hidden="1">{"glc1",#N/A,FALSE,"GLC";"glc2",#N/A,FALSE,"GLC";"glc3",#N/A,FALSE,"GLC";"glc4",#N/A,FALSE,"GLC";"glc5",#N/A,FALSE,"GLC"}</definedName>
    <definedName name="ppppp" hidden="1">{"glc1",#N/A,FALSE,"GLC";"glc2",#N/A,FALSE,"GLC";"glc3",#N/A,FALSE,"GLC";"glc4",#N/A,FALSE,"GLC";"glc5",#N/A,FALSE,"GLC"}</definedName>
    <definedName name="ppppppppppppppppppppppppppppp" localSheetId="3" hidden="1">{"FTSE100","COMPANIES",TRUE}</definedName>
    <definedName name="ppppppppppppppppppppppppppppp" hidden="1">{"FTSE100","COMPANIES",TRUE}</definedName>
    <definedName name="PPrice">#REF!</definedName>
    <definedName name="PPS_C" localSheetId="4">'[191]C Round'!$C$54</definedName>
    <definedName name="PPS_C">#REF!</definedName>
    <definedName name="PPtMatrix">#REF!</definedName>
    <definedName name="pqmjuz" localSheetId="3" hidden="1">{"detail",#N/A,FALSE,"mfg";"summary",#N/A,FALSE,"mfg"}</definedName>
    <definedName name="pqmjuz" hidden="1">{"detail",#N/A,FALSE,"mfg";"summary",#N/A,FALSE,"mfg"}</definedName>
    <definedName name="PR">#REF!</definedName>
    <definedName name="pr_2003">#REF!</definedName>
    <definedName name="pre" localSheetId="3" hidden="1">{#N/A,#N/A,FALSE,"CMN_FE"}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localSheetId="3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localSheetId="3" hidden="1">{#N/A,#N/A,FALSE,"PMTABB";#N/A,#N/A,FALSE,"PMTABB"}</definedName>
    <definedName name="prepay" hidden="1">{#N/A,#N/A,FALSE,"PMTABB";#N/A,#N/A,FALSE,"PMTABB"}</definedName>
    <definedName name="Pres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4">#REF!</definedName>
    <definedName name="Presentation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 localSheetId="4">#REF!</definedName>
    <definedName name="Price">OFFSET(#REF!,0,0,#REF!)</definedName>
    <definedName name="price4" localSheetId="4">[18]Sensetivities!#REF!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localSheetId="4" hidden="1">'[176]Exb II.1_Summary Taira'!#REF!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localSheetId="4" hidden="1">'[176]Exb II.1_Summary Taira'!#REF!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localSheetId="3" hidden="1">{#N/A,#N/A,FALSE,"ALM-ASISC"}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 localSheetId="3">'Company Name COGS+OPEX Build'!Print_All2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 localSheetId="3">#N/A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localSheetId="4" hidden="1">{"CSC_1",#N/A,FALSE,"CSC Outputs";"CSC_2",#N/A,FALSE,"CSC Outputs"}</definedName>
    <definedName name="Print_CSC_Report_2" localSheetId="3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3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 localSheetId="4">[192]!Print_functionality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localSheetId="3" hidden="1">{#N/A,#N/A,FALSE,"Operations";#N/A,#N/A,FALSE,"Financials"}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 localSheetId="4">'[193]Input &amp; Output'!$A$1:$W$46</definedName>
    <definedName name="PrintoutofInputData">#REF!</definedName>
    <definedName name="PrintoutofReport" localSheetId="4">'[193]Input &amp; Output'!$Y$1:$AW$59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 localSheetId="4">'[54]Assumptions-COGS'!#REF!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 localSheetId="4">[18]Sensetivities!#REF!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localSheetId="3" hidden="1">{#N/A,#N/A,FALSE,"Pharm";#N/A,#N/A,FALSE,"WWCM"}</definedName>
    <definedName name="Procef" hidden="1">{#N/A,#N/A,FALSE,"Pharm";#N/A,#N/A,FALSE,"WWCM"}</definedName>
    <definedName name="Procef_1" localSheetId="3" hidden="1">{#N/A,#N/A,FALSE,"Pharm";#N/A,#N/A,FALSE,"WWCM"}</definedName>
    <definedName name="Procef_1" hidden="1">{#N/A,#N/A,FALSE,"Pharm";#N/A,#N/A,FALSE,"WWCM"}</definedName>
    <definedName name="Procef_2" localSheetId="3" hidden="1">{#N/A,#N/A,FALSE,"Pharm";#N/A,#N/A,FALSE,"WWCM"}</definedName>
    <definedName name="Procef_2" hidden="1">{#N/A,#N/A,FALSE,"Pharm";#N/A,#N/A,FALSE,"WWCM"}</definedName>
    <definedName name="Procef_3" localSheetId="3" hidden="1">{#N/A,#N/A,FALSE,"Pharm";#N/A,#N/A,FALSE,"WWCM"}</definedName>
    <definedName name="Procef_3" hidden="1">{#N/A,#N/A,FALSE,"Pharm";#N/A,#N/A,FALSE,"WWCM"}</definedName>
    <definedName name="Procef_4" localSheetId="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localSheetId="3" hidden="1">{#N/A,#N/A,FALSE,"PMTABB";#N/A,#N/A,FALSE,"PMTABB"}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localSheetId="3" hidden="1">{#N/A,#N/A,FALSE,"Pharm";#N/A,#N/A,FALSE,"WWCM"}</definedName>
    <definedName name="prod" hidden="1">{#N/A,#N/A,FALSE,"Pharm";#N/A,#N/A,FALSE,"WWCM"}</definedName>
    <definedName name="prod_1" localSheetId="3" hidden="1">{#N/A,#N/A,FALSE,"Pharm";#N/A,#N/A,FALSE,"WWCM"}</definedName>
    <definedName name="prod_1" hidden="1">{#N/A,#N/A,FALSE,"Pharm";#N/A,#N/A,FALSE,"WWCM"}</definedName>
    <definedName name="prod_2" localSheetId="3" hidden="1">{#N/A,#N/A,FALSE,"Pharm";#N/A,#N/A,FALSE,"WWCM"}</definedName>
    <definedName name="prod_2" hidden="1">{#N/A,#N/A,FALSE,"Pharm";#N/A,#N/A,FALSE,"WWCM"}</definedName>
    <definedName name="prod_3" localSheetId="3" hidden="1">{#N/A,#N/A,FALSE,"Pharm";#N/A,#N/A,FALSE,"WWCM"}</definedName>
    <definedName name="prod_3" hidden="1">{#N/A,#N/A,FALSE,"Pharm";#N/A,#N/A,FALSE,"WWCM"}</definedName>
    <definedName name="prod_4" localSheetId="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localSheetId="3" hidden="1">{"'Trend_Total'!$A$7:$V$10","'Trend_Total'!$A$1:$V$4"}</definedName>
    <definedName name="produa" hidden="1">{"'Trend_Total'!$A$7:$V$10","'Trend_Total'!$A$1:$V$4"}</definedName>
    <definedName name="product">'[89]Receipts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localSheetId="3" hidden="1">{"'Trend_Total'!$A$7:$V$10","'Trend_Total'!$A$1:$V$4"}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'[48]GL-PC'!#REF!</definedName>
    <definedName name="Professional_Service_Expense">'[194]GL-PC'!$B$8</definedName>
    <definedName name="Professional_Service_Expense_R_D">'[48]GL-PC'!#REF!</definedName>
    <definedName name="Proff._Services___CMG" localSheetId="4">'[103]Revenue detailed Projection'!#REF!</definedName>
    <definedName name="Proff._Services___CMG">#REF!</definedName>
    <definedName name="Proff._Services___Ericsson___global" localSheetId="4">'[103]Revenue detailed Projection'!#REF!</definedName>
    <definedName name="Proff._Services___Ericsson___global">#REF!</definedName>
    <definedName name="Proff._Services___Ericsson_Italy" localSheetId="4">'[103]Revenue detailed Projection'!#REF!</definedName>
    <definedName name="Proff._Services___Ericsson_Italy">#REF!</definedName>
    <definedName name="Proff._Services___Ericsson_Spain" localSheetId="4">'[103]Revenue detailed Projection'!#REF!</definedName>
    <definedName name="Proff._Services___Ericsson_Spain">#REF!</definedName>
    <definedName name="Proff._Services___Excem_France" localSheetId="4">'[103]Revenue detailed Projection'!#REF!</definedName>
    <definedName name="Proff._Services___Excem_France">#REF!</definedName>
    <definedName name="Proff._Services___Excem_Spain" localSheetId="4">'[103]Revenue detailed Projection'!#REF!</definedName>
    <definedName name="Proff._Services___Excem_Spain">#REF!</definedName>
    <definedName name="Proff._Services___Mitsui__BSI" localSheetId="4">'[103]Revenue detailed Projection'!#REF!</definedName>
    <definedName name="Proff._Services___Mitsui__BSI">#REF!</definedName>
    <definedName name="Proff._Services___Other_1" localSheetId="4">'[103]Revenue detailed Projection'!#REF!</definedName>
    <definedName name="Proff._Services___Other_1">#REF!</definedName>
    <definedName name="Proff._Services___Other_2" localSheetId="4">'[103]Revenue detailed Projection'!#REF!</definedName>
    <definedName name="Proff._Services___Other_2">#REF!</definedName>
    <definedName name="Proff._Services___Other_3" localSheetId="4">'[103]Revenue detailed Projection'!#REF!</definedName>
    <definedName name="Proff._Services___Other_3">#REF!</definedName>
    <definedName name="Proff._Services___SchlumbergerSema" localSheetId="4">'[103]Revenue detailed Projection'!#REF!</definedName>
    <definedName name="Proff._Services___SchlumbergerSema">#REF!</definedName>
    <definedName name="Proff._Services___Sony__NSBCE" localSheetId="4">'[103]Revenue detailed Projection'!#REF!</definedName>
    <definedName name="Proff._Services___Sony__NSBCE">#REF!</definedName>
    <definedName name="Proff._Services___Technomen" localSheetId="4">'[103]Revenue detailed Projection'!#REF!</definedName>
    <definedName name="Proff._Services___Technomen">#REF!</definedName>
    <definedName name="Proff._Services___Unisys" localSheetId="4">'[103]Revenue detailed Projection'!#REF!</definedName>
    <definedName name="Proff._Services___Unisys">#REF!</definedName>
    <definedName name="Proficol_Discount_Rate">#REF!</definedName>
    <definedName name="profimp2" localSheetId="4" hidden="1">{"PAGE 1",#N/A,FALSE,"WEST_OT"}</definedName>
    <definedName name="profimp2" localSheetId="3" hidden="1">{"PAGE 1",#N/A,FALSE,"WEST_OT"}</definedName>
    <definedName name="profimp2" hidden="1">{"PAGE 1",#N/A,FALSE,"WEST_OT"}</definedName>
    <definedName name="profimp3" localSheetId="4" hidden="1">{"PAGE 2",#N/A,FALSE,"WEST_OT"}</definedName>
    <definedName name="profimp3" localSheetId="3" hidden="1">{"PAGE 2",#N/A,FALSE,"WEST_OT"}</definedName>
    <definedName name="profimp3" hidden="1">{"PAGE 2",#N/A,FALSE,"WEST_OT"}</definedName>
    <definedName name="profimp5" localSheetId="4" hidden="1">{"PAGE 1",#N/A,FALSE,"WEST_OT"}</definedName>
    <definedName name="profimp5" localSheetId="3" hidden="1">{"PAGE 1",#N/A,FALSE,"WEST_OT"}</definedName>
    <definedName name="profimp5" hidden="1">{"PAGE 1",#N/A,FALSE,"WEST_OT"}</definedName>
    <definedName name="profimptest" localSheetId="4" hidden="1">{"PAGE 2",#N/A,FALSE,"WEST_OT"}</definedName>
    <definedName name="profimptest" localSheetId="3" hidden="1">{"PAGE 2",#N/A,FALSE,"WEST_OT"}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 localSheetId="4">[53]data!$T$3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'[195]Xtend 8dig Budget Code (Short)'!#REF!</definedName>
    <definedName name="project4">'[195]Xtend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 localSheetId="3">{"Client Name or Project Name"}</definedName>
    <definedName name="ProjectName">{"Client Name or Project Name"}</definedName>
    <definedName name="ProjectName_1" localSheetId="3">{"Client Name or Project Name"}</definedName>
    <definedName name="ProjectName_1">{"Client Name or Project Name"}</definedName>
    <definedName name="ProjectName_2" localSheetId="3">{"Client Name or Project Name"}</definedName>
    <definedName name="ProjectName_2">{"Client Name or Project Name"}</definedName>
    <definedName name="ProjectName_3" localSheetId="3">{"Client Name or Project Name"}</definedName>
    <definedName name="ProjectName_3">{"Client Name or Project Name"}</definedName>
    <definedName name="ProjectName_4" localSheetId="3">{"Client Name or Project Name"}</definedName>
    <definedName name="ProjectName_4">{"Client Name or Project Name"}</definedName>
    <definedName name="ProjectName_5" localSheetId="3">{"Client Name or Project Name"}</definedName>
    <definedName name="ProjectName_5">{"Client Name or Project Name"}</definedName>
    <definedName name="ProjectsList">[127]Parameters!$C$3:$C$31</definedName>
    <definedName name="ProjectValidation">[108]!Project[ProjectName]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'[48]GL-PC'!#REF!</definedName>
    <definedName name="ProTech">#REF!</definedName>
    <definedName name="prov" localSheetId="3" hidden="1">{"Ergebnisbericht_UBA",#N/A,FALSE,"MB"}</definedName>
    <definedName name="prov" hidden="1">{"Ergebnisbericht_UBA",#N/A,FALSE,"MB"}</definedName>
    <definedName name="prov_1" localSheetId="3" hidden="1">{"Ergebnisbericht_UBA",#N/A,FALSE,"MB"}</definedName>
    <definedName name="prov_1" hidden="1">{"Ergebnisbericht_UBA",#N/A,FALSE,"MB"}</definedName>
    <definedName name="prov_2" localSheetId="3" hidden="1">{"Ergebnisbericht_UBA",#N/A,FALSE,"MB"}</definedName>
    <definedName name="prov_2" hidden="1">{"Ergebnisbericht_UBA",#N/A,FALSE,"MB"}</definedName>
    <definedName name="prov_3" localSheetId="3" hidden="1">{"Ergebnisbericht_UBA",#N/A,FALSE,"MB"}</definedName>
    <definedName name="prov_3" hidden="1">{"Ergebnisbericht_UBA",#N/A,FALSE,"MB"}</definedName>
    <definedName name="prov_4" localSheetId="3" hidden="1">{"Ergebnisbericht_UBA",#N/A,FALSE,"MB"}</definedName>
    <definedName name="prov_4" hidden="1">{"Ergebnisbericht_UBA",#N/A,FALSE,"MB"}</definedName>
    <definedName name="prov_5" localSheetId="3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localSheetId="3" hidden="1">{"Ergebnisbericht_UBA",#N/A,FALSE,"MB"}</definedName>
    <definedName name="Prova" hidden="1">{"Ergebnisbericht_UBA",#N/A,FALSE,"MB"}</definedName>
    <definedName name="Prova_1" localSheetId="3" hidden="1">{"Ergebnisbericht_UBA",#N/A,FALSE,"MB"}</definedName>
    <definedName name="Prova_1" hidden="1">{"Ergebnisbericht_UBA",#N/A,FALSE,"MB"}</definedName>
    <definedName name="Prova_2" localSheetId="3" hidden="1">{"Ergebnisbericht_UBA",#N/A,FALSE,"MB"}</definedName>
    <definedName name="Prova_2" hidden="1">{"Ergebnisbericht_UBA",#N/A,FALSE,"MB"}</definedName>
    <definedName name="Prova_3" localSheetId="3" hidden="1">{"Ergebnisbericht_UBA",#N/A,FALSE,"MB"}</definedName>
    <definedName name="Prova_3" hidden="1">{"Ergebnisbericht_UBA",#N/A,FALSE,"MB"}</definedName>
    <definedName name="Prova_4" localSheetId="3" hidden="1">{"Ergebnisbericht_UBA",#N/A,FALSE,"MB"}</definedName>
    <definedName name="Prova_4" hidden="1">{"Ergebnisbericht_UBA",#N/A,FALSE,"MB"}</definedName>
    <definedName name="Prova_5" localSheetId="3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localSheetId="3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 localSheetId="4">'[112]Data URB'!$AA$7:$AB$270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'[48]GL-PC'!#REF!</definedName>
    <definedName name="pucspadd42" localSheetId="3" hidden="1">{#N/A,"PURCHM",FALSE,"Business Analysis";#N/A,"SPADD",FALSE,"Business Analysis"}</definedName>
    <definedName name="pucspadd42" hidden="1">{#N/A,"PURCHM",FALSE,"Business Analysis";#N/A,"SPADD",FALSE,"Business Analysis"}</definedName>
    <definedName name="PUD">#REF!</definedName>
    <definedName name="pupi" localSheetId="3" hidden="1">{"YD OTHER",#N/A,FALSE,"YTD"}</definedName>
    <definedName name="pupi" hidden="1">{"YD OTHER",#N/A,FALSE,"YTD"}</definedName>
    <definedName name="püpoüpoüpo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localSheetId="3" hidden="1">{#N/A,#N/A,FALSE,"Umsatz 99";#N/A,#N/A,FALSE,"ER 99 "}</definedName>
    <definedName name="püpü" hidden="1">{#N/A,#N/A,FALSE,"Umsatz 99";#N/A,#N/A,FALSE,"ER 99 "}</definedName>
    <definedName name="Purchase">#REF!</definedName>
    <definedName name="purchase_assets" localSheetId="4">'[128]מעגל רכוש קבוע'!$L$11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localSheetId="3" hidden="1">{"calcul",#N/A,FALSE,"Special Emissions"}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localSheetId="3" hidden="1">{"Month Summary",#N/A,FALSE,"Summary";"Total Details",#N/A,FALSE,"Current Yr";"Polymers Details",#N/A,FALSE,"Current Yr";"Performance Details",#N/A,FALSE,"Current Yr";"ICD Details",#N/A,FALSE,"Current Yr"}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localSheetId="4" hidden="1">{"OM Visits",#N/A,TRUE,"Optimal";"OM Dollars per Hour",#N/A,TRUE,"Optimal";"OM Hours per Visit",#N/A,TRUE,"Optimal";"OM Dollars per Visit",#N/A,TRUE,"Optimal";"OM Total Visits",#N/A,TRUE,"Optimal";"OM PMPM",#N/A,TRUE,"Optimal"}</definedName>
    <definedName name="q" localSheetId="3" hidden="1">{"OM Visits",#N/A,TRUE,"Optimal";"OM Dollars per Hour",#N/A,TRUE,"Optimal";"OM Hours per Visit",#N/A,TRUE,"Optimal";"OM Dollars per Visit",#N/A,TRUE,"Optimal";"OM Total Visits",#N/A,TRUE,"Optimal";"OM PMPM",#N/A,TRUE,"Optimal"}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localSheetId="3" hidden="1">{#N/A,#N/A,FALSE,"BalSheet 0899";#N/A,#N/A,FALSE,"ytdpl899";#N/A,#N/A,FALSE,"Aug PL";#N/A,#N/A,FALSE,"Minority Int";#N/A,#N/A,FALSE,"Equity Roll Forward";#N/A,#N/A,FALSE,"Book Equity Test"}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 localSheetId="4">'[65]Budget New'!#REF!</definedName>
    <definedName name="QA">#REF!</definedName>
    <definedName name="qaaaa" localSheetId="3" hidden="1">{"detail",#N/A,FALSE,"mfg";"summary",#N/A,FALSE,"mfg"}</definedName>
    <definedName name="qaaaa" hidden="1">{"detail",#N/A,FALSE,"mfg";"summary",#N/A,FALSE,"mfg"}</definedName>
    <definedName name="qarere" localSheetId="3">{"'1-TheatreBkgs'!$A$1:$L$102"}</definedName>
    <definedName name="qarere">{"'1-TheatreBkgs'!$A$1:$L$102"}</definedName>
    <definedName name="qasbg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localSheetId="3" hidden="1">{#N/A,#N/A,FALSE,"Pharm";#N/A,#N/A,FALSE,"WWCM"}</definedName>
    <definedName name="qaz" hidden="1">{#N/A,#N/A,FALSE,"Pharm";#N/A,#N/A,FALSE,"WWCM"}</definedName>
    <definedName name="qaz_1" localSheetId="3" hidden="1">{#N/A,#N/A,FALSE,"Pharm";#N/A,#N/A,FALSE,"WWCM"}</definedName>
    <definedName name="qaz_1" hidden="1">{#N/A,#N/A,FALSE,"Pharm";#N/A,#N/A,FALSE,"WWCM"}</definedName>
    <definedName name="qaz_2" localSheetId="3" hidden="1">{#N/A,#N/A,FALSE,"Pharm";#N/A,#N/A,FALSE,"WWCM"}</definedName>
    <definedName name="qaz_2" hidden="1">{#N/A,#N/A,FALSE,"Pharm";#N/A,#N/A,FALSE,"WWCM"}</definedName>
    <definedName name="qaz_3" localSheetId="3" hidden="1">{#N/A,#N/A,FALSE,"Pharm";#N/A,#N/A,FALSE,"WWCM"}</definedName>
    <definedName name="qaz_3" hidden="1">{#N/A,#N/A,FALSE,"Pharm";#N/A,#N/A,FALSE,"WWCM"}</definedName>
    <definedName name="qaz_4" localSheetId="3" hidden="1">{#N/A,#N/A,FALSE,"Pharm";#N/A,#N/A,FALSE,"WWCM"}</definedName>
    <definedName name="qaz_4" hidden="1">{#N/A,#N/A,FALSE,"Pharm";#N/A,#N/A,FALSE,"WWCM"}</definedName>
    <definedName name="qdewffhh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localSheetId="3" hidden="1">{"quarterly",#N/A,FALSE,"Income Statement";#N/A,#N/A,FALSE,"print segment";#N/A,#N/A,FALSE,"Balance Sheet";#N/A,#N/A,FALSE,"Annl Inc";#N/A,#N/A,FALSE,"Cash Flow"}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localSheetId="3" hidden="1">{"quarterly",#N/A,FALSE,"Income Statement New CPB";"annual",#N/A,FALSE,"Income Statement New CPB";"cash flow",#N/A,FALSE,"Cash Flow";"balance",#N/A,FALSE,"Balance Sheet";"seg",#N/A,FALSE,"New Segment Breakout"}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localSheetId="3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localSheetId="3" hidden="1">{#N/A,#N/A,FALSE,"Produkte Erw.";#N/A,#N/A,FALSE,"Produkte Plan";#N/A,#N/A,FALSE,"Leistungen Erw.";#N/A,#N/A,FALSE,"Leistungen Plan";#N/A,#N/A,FALSE,"KA Allg.Kosten (2)";#N/A,#N/A,FALSE,"KA All.Kosten"}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localSheetId="3" hidden="1">{#N/A,#N/A,FALSE,"REPORT"}</definedName>
    <definedName name="qertweyu" hidden="1">{#N/A,#N/A,FALSE,"REPORT"}</definedName>
    <definedName name="qertweyu_1" localSheetId="3" hidden="1">{#N/A,#N/A,FALSE,"REPORT"}</definedName>
    <definedName name="qertweyu_1" hidden="1">{#N/A,#N/A,FALSE,"REPORT"}</definedName>
    <definedName name="qertweyu_2" localSheetId="3" hidden="1">{#N/A,#N/A,FALSE,"REPORT"}</definedName>
    <definedName name="qertweyu_2" hidden="1">{#N/A,#N/A,FALSE,"REPORT"}</definedName>
    <definedName name="qertweyu_3" localSheetId="3" hidden="1">{#N/A,#N/A,FALSE,"REPORT"}</definedName>
    <definedName name="qertweyu_3" hidden="1">{#N/A,#N/A,FALSE,"REPORT"}</definedName>
    <definedName name="qertweyu_4" localSheetId="3" hidden="1">{#N/A,#N/A,FALSE,"REPORT"}</definedName>
    <definedName name="qertweyu_4" hidden="1">{#N/A,#N/A,FALSE,"REPORT"}</definedName>
    <definedName name="qesd" localSheetId="3" hidden="1">{"Page 1",#N/A,FALSE,"OpExJanVsPY";"Page 2",#N/A,FALSE,"OpExJanVsPY"}</definedName>
    <definedName name="qesd" hidden="1">{"Page 1",#N/A,FALSE,"OpExJanVsPY";"Page 2",#N/A,FALSE,"OpExJanVsPY"}</definedName>
    <definedName name="qetryywt" localSheetId="3" hidden="1">{#N/A,#N/A,FALSE,"REPORT"}</definedName>
    <definedName name="qetryywt" hidden="1">{#N/A,#N/A,FALSE,"REPORT"}</definedName>
    <definedName name="qetryywt_1" localSheetId="3" hidden="1">{#N/A,#N/A,FALSE,"REPORT"}</definedName>
    <definedName name="qetryywt_1" hidden="1">{#N/A,#N/A,FALSE,"REPORT"}</definedName>
    <definedName name="qetryywt_2" localSheetId="3" hidden="1">{#N/A,#N/A,FALSE,"REPORT"}</definedName>
    <definedName name="qetryywt_2" hidden="1">{#N/A,#N/A,FALSE,"REPORT"}</definedName>
    <definedName name="qetryywt_3" localSheetId="3" hidden="1">{#N/A,#N/A,FALSE,"REPORT"}</definedName>
    <definedName name="qetryywt_3" hidden="1">{#N/A,#N/A,FALSE,"REPORT"}</definedName>
    <definedName name="qetryywt_4" localSheetId="3" hidden="1">{#N/A,#N/A,FALSE,"REPORT"}</definedName>
    <definedName name="qetryywt_4" hidden="1">{#N/A,#N/A,FALSE,"REPORT"}</definedName>
    <definedName name="qewqeqw" localSheetId="3" hidden="1">{#N/A,#N/A,FALSE,"Aging Summary";#N/A,#N/A,FALSE,"Ratio Analysis";#N/A,#N/A,FALSE,"Test 120 Day Accts";#N/A,#N/A,FALSE,"Tickmarks"}</definedName>
    <definedName name="qewqeqw" hidden="1">{#N/A,#N/A,FALSE,"Aging Summary";#N/A,#N/A,FALSE,"Ratio Analysis";#N/A,#N/A,FALSE,"Test 120 Day Accts";#N/A,#N/A,FALSE,"Tickmarks"}</definedName>
    <definedName name="QEWR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 localSheetId="3">{"'1-TheatreBkgs'!$A$1:$L$102"}</definedName>
    <definedName name="qff">{"'1-TheatreBkgs'!$A$1:$L$102"}</definedName>
    <definedName name="qg" hidden="1">#REF!</definedName>
    <definedName name="qgfqerg" localSheetId="3" hidden="1">{#N/A,#N/A,FALSE,"PMTABB";#N/A,#N/A,FALSE,"PMTABB"}</definedName>
    <definedName name="qgfqerg" hidden="1">{#N/A,#N/A,FALSE,"PMTABB";#N/A,#N/A,FALSE,"PMTABB"}</definedName>
    <definedName name="qi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localSheetId="3" hidden="1">{#N/A,"PURCHM",FALSE,"Business Analysis";#N/A,"SPADD",FALSE,"Business Analysis"}</definedName>
    <definedName name="qink" hidden="1">{#N/A,"PURCHM",FALSE,"Business Analysis";#N/A,"SPADD",FALSE,"Business Analysis"}</definedName>
    <definedName name="ql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localSheetId="3" hidden="1">{"incomemth",#N/A,TRUE,"forecast00";"incomepercentmth",#N/A,TRUE,"forecast00";"balancemth",#N/A,TRUE,"forecast00";"cashmth",#N/A,TRUE,"forecast00";"covenantmth",#N/A,TRUE,"forecast00"}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localSheetId="4" hidden="1">{"Outflow 1",#N/A,FALSE,"Outflows-Inflows";"Outflow 2",#N/A,FALSE,"Outflows-Inflows";"Inflow 1",#N/A,FALSE,"Outflows-Inflows";"Inflow 2",#N/A,FALSE,"Outflows-Inflows"}</definedName>
    <definedName name="qq" localSheetId="3" hidden="1">{"Outflow 1",#N/A,FALSE,"Outflows-Inflows";"Outflow 2",#N/A,FALSE,"Outflows-Inflows";"Inflow 1",#N/A,FALSE,"Outflows-Inflows";"Inflow 2",#N/A,FALSE,"Outflows-Inflows"}</definedName>
    <definedName name="qq" hidden="1">{"Outflow 1",#N/A,FALSE,"Outflows-Inflows";"Outflow 2",#N/A,FALSE,"Outflows-Inflows";"Inflow 1",#N/A,FALSE,"Outflows-Inflows";"Inflow 2",#N/A,FALSE,"Outflows-Inflows"}</definedName>
    <definedName name="qq_1" localSheetId="4" hidden="1">{"Outflow 1",#N/A,FALSE,"Outflows-Inflows";"Outflow 2",#N/A,FALSE,"Outflows-Inflows";"Inflow 1",#N/A,FALSE,"Outflows-Inflows";"Inflow 2",#N/A,FALSE,"Outflows-Inflows"}</definedName>
    <definedName name="qq_1" localSheetId="3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localSheetId="3" hidden="1">{#N/A,"PURCHM",FALSE,"Business Analysis";#N/A,"SPADD",FALSE,"Business Analysis"}</definedName>
    <definedName name="qqkkkkk" hidden="1">{#N/A,"PURCHM",FALSE,"Business Analysis";#N/A,"SPADD",FALSE,"Business Analysis"}</definedName>
    <definedName name="qqq" localSheetId="4" hidden="1">{"Outflow 1",#N/A,FALSE,"Outflows-Inflows";"Outflow 2",#N/A,FALSE,"Outflows-Inflows";"Inflow 1",#N/A,FALSE,"Outflows-Inflows";"Inflow 2",#N/A,FALSE,"Outflows-Inflows"}</definedName>
    <definedName name="qqq" localSheetId="3" hidden="1">{"Outflow 1",#N/A,FALSE,"Outflows-Inflows";"Outflow 2",#N/A,FALSE,"Outflows-Inflows";"Inflow 1",#N/A,FALSE,"Outflows-Inflows";"Inflow 2",#N/A,FALSE,"Outflows-Inflows"}</definedName>
    <definedName name="qqq" hidden="1">{"Outflow 1",#N/A,FALSE,"Outflows-Inflows";"Outflow 2",#N/A,FALSE,"Outflows-Inflows";"Inflow 1",#N/A,FALSE,"Outflows-Inflows";"Inflow 2",#N/A,FALSE,"Outflows-Inflows"}</definedName>
    <definedName name="qqq_1" localSheetId="4" hidden="1">{"Outflow 1",#N/A,FALSE,"Outflows-Inflows";"Outflow 2",#N/A,FALSE,"Outflows-Inflows";"Inflow 1",#N/A,FALSE,"Outflows-Inflows";"Inflow 2",#N/A,FALSE,"Outflows-Inflows"}</definedName>
    <definedName name="qqq_1" localSheetId="3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localSheetId="3" hidden="1">{#N/A,#N/A,FALSE,"Pharm";#N/A,#N/A,FALSE,"WWCM"}</definedName>
    <definedName name="qqq_2" hidden="1">{#N/A,#N/A,FALSE,"Pharm";#N/A,#N/A,FALSE,"WWCM"}</definedName>
    <definedName name="qqq_3" localSheetId="3" hidden="1">{#N/A,#N/A,FALSE,"Pharm";#N/A,#N/A,FALSE,"WWCM"}</definedName>
    <definedName name="qqq_3" hidden="1">{#N/A,#N/A,FALSE,"Pharm";#N/A,#N/A,FALSE,"WWCM"}</definedName>
    <definedName name="qqq_4" localSheetId="3" hidden="1">{#N/A,#N/A,FALSE,"Pharm";#N/A,#N/A,FALSE,"WWCM"}</definedName>
    <definedName name="qqq_4" hidden="1">{#N/A,#N/A,FALSE,"Pharm";#N/A,#N/A,FALSE,"WWCM"}</definedName>
    <definedName name="qqqaa" localSheetId="3" hidden="1">{"detail",#N/A,FALSE,"mfg";"summary",#N/A,FALSE,"mfg"}</definedName>
    <definedName name="qqqaa" hidden="1">{"detail",#N/A,FALSE,"mfg";"summary",#N/A,FALSE,"mfg"}</definedName>
    <definedName name="qqqq" localSheetId="4" hidden="1">{"print 1.6",#N/A,FALSE,"Sheet1";"print 2.6",#N/A,FALSE,"Sheet1";"print 3.6",#N/A,FALSE,"Sheet1";"print 4.6",#N/A,FALSE,"Sheet1";"print 5.6",#N/A,FALSE,"Sheet1";"print 6.6",#N/A,FALSE,"Sheet1"}</definedName>
    <definedName name="qqqq" localSheetId="3" hidden="1">{"print 1.6",#N/A,FALSE,"Sheet1";"print 2.6",#N/A,FALSE,"Sheet1";"print 3.6",#N/A,FALSE,"Sheet1";"print 4.6",#N/A,FALSE,"Sheet1";"print 5.6",#N/A,FALSE,"Sheet1";"print 6.6",#N/A,FALSE,"Sheet1"}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localSheetId="4" hidden="1">{"print 1.6",#N/A,FALSE,"Sheet1";"print 2.6",#N/A,FALSE,"Sheet1";"print 3.6",#N/A,FALSE,"Sheet1";"print 4.6",#N/A,FALSE,"Sheet1";"print 5.6",#N/A,FALSE,"Sheet1";"print 6.6",#N/A,FALSE,"Sheet1"}</definedName>
    <definedName name="qqqq_1" localSheetId="3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localSheetId="3" hidden="1">{#N/A,"PURCHM",FALSE,"Business Analysis";#N/A,"SPADD",FALSE,"Business Analysis"}</definedName>
    <definedName name="qqqqq" hidden="1">{#N/A,"PURCHM",FALSE,"Business Analysis";#N/A,"SPADD",FALSE,"Business Analysis"}</definedName>
    <definedName name="qqqqqq" localSheetId="3" hidden="1">{"QTD_PRS",#N/A,FALSE,"QTD"}</definedName>
    <definedName name="qqqqqq" hidden="1">{"QTD_PRS",#N/A,FALSE,"QTD"}</definedName>
    <definedName name="QQQQQQQQQ" localSheetId="3" hidden="1">{#N/A,#N/A,FALSE,"CMN_FE"}</definedName>
    <definedName name="QQQQQQQQQ" hidden="1">{#N/A,#N/A,FALSE,"CMN_FE"}</definedName>
    <definedName name="qqqqqqqqqq" localSheetId="3">{"'12690-8951'!$A$1:$L$58"}</definedName>
    <definedName name="qqqqqqqqqq">{"'12690-8951'!$A$1:$L$58"}</definedName>
    <definedName name="qqqqqqqqqqqqqq" localSheetId="3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localSheetId="3" hidden="1">{"detail",#N/A,FALSE,"mfg";"summary",#N/A,FALSE,"mfg"}</definedName>
    <definedName name="qqqqqqqqqqqqqqqqqqq" hidden="1">{"detail",#N/A,FALSE,"mfg";"summary",#N/A,FALSE,"mfg"}</definedName>
    <definedName name="qqqqqqqqqqqqqqqqqqqq" localSheetId="3" hidden="1">{"PA1",#N/A,FALSE,"BORDMW";"pa2",#N/A,FALSE,"BORDMW";"PA3",#N/A,FALSE,"BORDMW";"PA4",#N/A,FALSE,"BORDMW"}</definedName>
    <definedName name="qqqqqqqqqqqqqqqqqqqq" hidden="1">{"PA1",#N/A,FALSE,"BORDMW";"pa2",#N/A,FALSE,"BORDMW";"PA3",#N/A,FALSE,"BORDMW";"PA4",#N/A,FALSE,"BORDMW"}</definedName>
    <definedName name="qqqqqqqqqqqqqqqqqqqqqqq" localSheetId="3" hidden="1">{"Five Year Record",#N/A,FALSE,"Front and Back"}</definedName>
    <definedName name="qqqqqqqqqqqqqqqqqqqqqqq" hidden="1">{"Five Year Record",#N/A,FALSE,"Front and Back"}</definedName>
    <definedName name="qqqqqqqqqqqqqqqqqqqqqqqq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localSheetId="3" hidden="1">{"Front Page",#N/A,FALSE,"Front and Back"}</definedName>
    <definedName name="qqqqqqqqqqqqqqqqqqqqqqqqqqq" hidden="1">{"Front Page",#N/A,FALSE,"Front and Back"}</definedName>
    <definedName name="qqqqqqqqqqqqqqqqqqqqqqqqqqqqqqqqq" localSheetId="3" hidden="1">{"Five Year Record",#N/A,FALSE,"Front and Back"}</definedName>
    <definedName name="qqqqqqqqqqqqqqqqqqqqqqqqqqqqqqqqq" hidden="1">{"Five Year Record",#N/A,FALSE,"Front and Back"}</definedName>
    <definedName name="qqqqqqqqqqqqqqqqqqqqqqqqqqqqqqqqqqq" localSheetId="3" hidden="1">{"Geographic P1",#N/A,FALSE,"Division &amp; Geog"}</definedName>
    <definedName name="qqqqqqqqqqqqqqqqqqqqqqqqqqqqqqqqqqq" hidden="1">{"Geographic P1",#N/A,FALSE,"Division &amp; Geog"}</definedName>
    <definedName name="qqqqqqqqqqqqqqqqqqqqqqqqqqqqqqqqqqqq" localSheetId="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localSheetId="3" hidden="1">{"TXO2N2_SLS",#N/A,FALSE,"MTHLYSLES";"TXH2_SLS",#N/A,FALSE,"MTHLYSLES";"LOUIS_SLS",#N/A,FALSE,"MTHLYSLES";"H2_SLS",#N/A,FALSE,"MTHLYSLES";"O2N2_SLS",#N/A,FALSE,"MTHLYSLES";"PACKAGE_SLS",#N/A,FALSE,"MTHLYSLES"}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localSheetId="3" hidden="1">{#N/A,#N/A,FALSE,"REPORT"}</definedName>
    <definedName name="qqwtweryey" hidden="1">{#N/A,#N/A,FALSE,"REPORT"}</definedName>
    <definedName name="qqwtweryey_1" localSheetId="3" hidden="1">{#N/A,#N/A,FALSE,"REPORT"}</definedName>
    <definedName name="qqwtweryey_1" hidden="1">{#N/A,#N/A,FALSE,"REPORT"}</definedName>
    <definedName name="qqwtweryey_2" localSheetId="3" hidden="1">{#N/A,#N/A,FALSE,"REPORT"}</definedName>
    <definedName name="qqwtweryey_2" hidden="1">{#N/A,#N/A,FALSE,"REPORT"}</definedName>
    <definedName name="qqwtweryey_3" localSheetId="3" hidden="1">{#N/A,#N/A,FALSE,"REPORT"}</definedName>
    <definedName name="qqwtweryey_3" hidden="1">{#N/A,#N/A,FALSE,"REPORT"}</definedName>
    <definedName name="qqwtweryey_4" localSheetId="3" hidden="1">{#N/A,#N/A,FALSE,"REPORT"}</definedName>
    <definedName name="qqwtweryey_4" hidden="1">{#N/A,#N/A,FALSE,"REPORT"}</definedName>
    <definedName name="qr" localSheetId="3" hidden="1">{"detail",#N/A,FALSE,"mfg";"summary",#N/A,FALSE,"mfg"}</definedName>
    <definedName name="qr" hidden="1">{"detail",#N/A,FALSE,"mfg";"summary",#N/A,FALSE,"mfg"}</definedName>
    <definedName name="qrewqw" hidden="1">"c1166"</definedName>
    <definedName name="qrewrqwerqw3e" localSheetId="4" hidden="1">{"Outflow 1",#N/A,FALSE,"Outflows-Inflows";"Outflow 2",#N/A,FALSE,"Outflows-Inflows";"Inflow 1",#N/A,FALSE,"Outflows-Inflows";"Inflow 2",#N/A,FALSE,"Outflows-Inflows"}</definedName>
    <definedName name="qrewrqwerqw3e" localSheetId="3" hidden="1">{"Outflow 1",#N/A,FALSE,"Outflows-Inflows";"Outflow 2",#N/A,FALSE,"Outflows-Inflows";"Inflow 1",#N/A,FALSE,"Outflows-Inflows";"Inflow 2",#N/A,FALSE,"Outflows-Inflows"}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localSheetId="4" hidden="1">{"Outflow 1",#N/A,FALSE,"Outflows-Inflows";"Outflow 2",#N/A,FALSE,"Outflows-Inflows";"Inflow 1",#N/A,FALSE,"Outflows-Inflows";"Inflow 2",#N/A,FALSE,"Outflows-Inflows"}</definedName>
    <definedName name="qrewrqwerqw3e_1" localSheetId="3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localSheetId="3" hidden="1">{"'IG3Q99'!$A$306:$I$356"}</definedName>
    <definedName name="qrqer" hidden="1">{"'IG3Q99'!$A$306:$I$356"}</definedName>
    <definedName name="qry_pipeline">#REF!</definedName>
    <definedName name="q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localSheetId="3" hidden="1">{#N/A,"PURCHM",FALSE,"Business Analysis";#N/A,"SPADD",FALSE,"Business Analysis"}</definedName>
    <definedName name="qssss" hidden="1">{#N/A,"PURCHM",FALSE,"Business Analysis";#N/A,"SPADD",FALSE,"Business Analysis"}</definedName>
    <definedName name="qt" localSheetId="3" hidden="1">{"oct_res_comm",#N/A,FALSE,"VarToBud"}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'[196]רו''ה ריכוז לפי קבוצות 7-12.02'!$A$2:$O$14</definedName>
    <definedName name="quarter_4">'[196]רו''ה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localSheetId="4" hidden="1">{"Annual",#N/A,FALSE,"Sales &amp; Market";"Quarterly",#N/A,FALSE,"Sales &amp; Market"}</definedName>
    <definedName name="Quarterly" localSheetId="3" hidden="1">{"Annual",#N/A,FALSE,"Sales &amp; Market";"Quarterly",#N/A,FALSE,"Sales &amp; Market"}</definedName>
    <definedName name="Quarterly" hidden="1">{"Annual",#N/A,FALSE,"Sales &amp; Market";"Quarterly",#N/A,FALSE,"Sales &amp; Market"}</definedName>
    <definedName name="quarterly1" localSheetId="4" hidden="1">{"Annual",#N/A,FALSE,"Sales &amp; Market";"Quarterly",#N/A,FALSE,"Sales &amp; Market"}</definedName>
    <definedName name="quarterly1" localSheetId="3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localSheetId="3" hidden="1">{#N/A,#N/A,FALSE,"JKFLASH2";#N/A,#N/A,FALSE,"Page 4";#N/A,#N/A,FALSE,"page 3"}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localSheetId="4" hidden="1">{"rtn",#N/A,FALSE,"RTN";"tables",#N/A,FALSE,"RTN";"cf",#N/A,FALSE,"CF";"stats",#N/A,FALSE,"Stats";"prop",#N/A,FALSE,"Prop"}</definedName>
    <definedName name="quit" localSheetId="3" hidden="1">{"rtn",#N/A,FALSE,"RTN";"tables",#N/A,FALSE,"RTN";"cf",#N/A,FALSE,"CF";"stats",#N/A,FALSE,"Stats";"prop",#N/A,FALSE,"Prop"}</definedName>
    <definedName name="quit" hidden="1">{"rtn",#N/A,FALSE,"RTN";"tables",#N/A,FALSE,"RTN";"cf",#N/A,FALSE,"CF";"stats",#N/A,FALSE,"Stats";"prop",#N/A,FALSE,"Prop"}</definedName>
    <definedName name="quit_1" localSheetId="4" hidden="1">{"rtn",#N/A,FALSE,"RTN";"tables",#N/A,FALSE,"RTN";"cf",#N/A,FALSE,"CF";"stats",#N/A,FALSE,"Stats";"prop",#N/A,FALSE,"Prop"}</definedName>
    <definedName name="quit_1" localSheetId="3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localSheetId="3" hidden="1">{#N/A,#N/A,FALSE,"REPORT"}</definedName>
    <definedName name="qw" hidden="1">{#N/A,#N/A,FALSE,"REPORT"}</definedName>
    <definedName name="qw_1" localSheetId="3" hidden="1">{#N/A,#N/A,FALSE,"REPORT"}</definedName>
    <definedName name="qw_1" hidden="1">{#N/A,#N/A,FALSE,"REPORT"}</definedName>
    <definedName name="qw_2" localSheetId="3" hidden="1">{#N/A,#N/A,FALSE,"REPORT"}</definedName>
    <definedName name="qw_2" hidden="1">{#N/A,#N/A,FALSE,"REPORT"}</definedName>
    <definedName name="qw_3" localSheetId="3" hidden="1">{#N/A,#N/A,FALSE,"REPORT"}</definedName>
    <definedName name="qw_3" hidden="1">{#N/A,#N/A,FALSE,"REPORT"}</definedName>
    <definedName name="qw_4" localSheetId="3" hidden="1">{#N/A,#N/A,FALSE,"REPORT"}</definedName>
    <definedName name="qw_4" hidden="1">{#N/A,#N/A,FALSE,"REPORT"}</definedName>
    <definedName name="qwdewqkfd" localSheetId="3" hidden="1">{#N/A,#N/A,FALSE,"Assessment";#N/A,#N/A,FALSE,"Staffing";#N/A,#N/A,FALSE,"Hires";#N/A,#N/A,FALSE,"Assumptions"}</definedName>
    <definedName name="qwdewqkfd" hidden="1">{#N/A,#N/A,FALSE,"Assessment";#N/A,#N/A,FALSE,"Staffing";#N/A,#N/A,FALSE,"Hires";#N/A,#N/A,FALSE,"Assumptions"}</definedName>
    <definedName name="qwe" localSheetId="3" hidden="1">{#N/A,#N/A,FALSE,"Detailed";#N/A,#N/A,FALSE,"Total";#N/A,#N/A,FALSE,"Detailed (2)"}</definedName>
    <definedName name="qwe" hidden="1">{#N/A,#N/A,FALSE,"Detailed";#N/A,#N/A,FALSE,"Total";#N/A,#N/A,FALSE,"Detailed (2)"}</definedName>
    <definedName name="qwe_1" localSheetId="3" hidden="1">{#N/A,#N/A,FALSE,"Detailed";#N/A,#N/A,FALSE,"Total";#N/A,#N/A,FALSE,"Detailed (2)"}</definedName>
    <definedName name="qwe_1" hidden="1">{#N/A,#N/A,FALSE,"Detailed";#N/A,#N/A,FALSE,"Total";#N/A,#N/A,FALSE,"Detailed (2)"}</definedName>
    <definedName name="qwef" localSheetId="3" hidden="1">{#N/A,#N/A,FALSE,"EW"}</definedName>
    <definedName name="qwef" hidden="1">{#N/A,#N/A,FALSE,"EW"}</definedName>
    <definedName name="qweqwes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localSheetId="4">[77]COVER!#REF!</definedName>
    <definedName name="qwer">#REF!</definedName>
    <definedName name="qwer_1" localSheetId="3" hidden="1">{#N/A,#N/A,FALSE,"Detailed";#N/A,#N/A,FALSE,"Total";#N/A,#N/A,FALSE,"Detailed (2)"}</definedName>
    <definedName name="qwer_1" hidden="1">{#N/A,#N/A,FALSE,"Detailed";#N/A,#N/A,FALSE,"Total";#N/A,#N/A,FALSE,"Detailed (2)"}</definedName>
    <definedName name="qwer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localSheetId="3" hidden="1">{#N/A,#N/A,FALSE,"REPORT"}</definedName>
    <definedName name="qwertqry" hidden="1">{#N/A,#N/A,FALSE,"REPORT"}</definedName>
    <definedName name="qwertqry_1" localSheetId="3" hidden="1">{#N/A,#N/A,FALSE,"REPORT"}</definedName>
    <definedName name="qwertqry_1" hidden="1">{#N/A,#N/A,FALSE,"REPORT"}</definedName>
    <definedName name="qwertqry_2" localSheetId="3" hidden="1">{#N/A,#N/A,FALSE,"REPORT"}</definedName>
    <definedName name="qwertqry_2" hidden="1">{#N/A,#N/A,FALSE,"REPORT"}</definedName>
    <definedName name="qwertqry_3" localSheetId="3" hidden="1">{#N/A,#N/A,FALSE,"REPORT"}</definedName>
    <definedName name="qwertqry_3" hidden="1">{#N/A,#N/A,FALSE,"REPORT"}</definedName>
    <definedName name="qwertqry_4" localSheetId="3" hidden="1">{#N/A,#N/A,FALSE,"REPORT"}</definedName>
    <definedName name="qwertqry_4" hidden="1">{#N/A,#N/A,FALSE,"REPORT"}</definedName>
    <definedName name="qwetqryetytu" localSheetId="3" hidden="1">{#N/A,#N/A,FALSE,"Pharm";#N/A,#N/A,FALSE,"WWCM"}</definedName>
    <definedName name="qwetqryetytu" hidden="1">{#N/A,#N/A,FALSE,"Pharm";#N/A,#N/A,FALSE,"WWCM"}</definedName>
    <definedName name="qwetqryetytu_1" localSheetId="3" hidden="1">{#N/A,#N/A,FALSE,"Pharm";#N/A,#N/A,FALSE,"WWCM"}</definedName>
    <definedName name="qwetqryetytu_1" hidden="1">{#N/A,#N/A,FALSE,"Pharm";#N/A,#N/A,FALSE,"WWCM"}</definedName>
    <definedName name="qwetqryetytu_2" localSheetId="3" hidden="1">{#N/A,#N/A,FALSE,"Pharm";#N/A,#N/A,FALSE,"WWCM"}</definedName>
    <definedName name="qwetqryetytu_2" hidden="1">{#N/A,#N/A,FALSE,"Pharm";#N/A,#N/A,FALSE,"WWCM"}</definedName>
    <definedName name="qwetqryetytu_3" localSheetId="3" hidden="1">{#N/A,#N/A,FALSE,"Pharm";#N/A,#N/A,FALSE,"WWCM"}</definedName>
    <definedName name="qwetqryetytu_3" hidden="1">{#N/A,#N/A,FALSE,"Pharm";#N/A,#N/A,FALSE,"WWCM"}</definedName>
    <definedName name="qwetqryetytu_4" localSheetId="3" hidden="1">{#N/A,#N/A,FALSE,"Pharm";#N/A,#N/A,FALSE,"WWCM"}</definedName>
    <definedName name="qwetqryetytu_4" hidden="1">{#N/A,#N/A,FALSE,"Pharm";#N/A,#N/A,FALSE,"WWCM"}</definedName>
    <definedName name="qwewqe" localSheetId="3">{"'1-TheatreBkgs'!$A$1:$L$102"}</definedName>
    <definedName name="qwewqe">{"'1-TheatreBkgs'!$A$1:$L$102"}</definedName>
    <definedName name="qwfdq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localSheetId="3" hidden="1">{"incomemth",#N/A,TRUE,"forecast00";"incomepercentmth",#N/A,TRUE,"forecast00";"balancemth",#N/A,TRUE,"forecast00";"cashmth",#N/A,TRUE,"forecast00";"covenantmth",#N/A,TRUE,"forecast00"}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localSheetId="3" hidden="1">{#N/A,#N/A,FALSE,"ALM-ASISC"}</definedName>
    <definedName name="qwqeqd" hidden="1">{#N/A,#N/A,FALSE,"ALM-ASISC"}</definedName>
    <definedName name="qwqw" localSheetId="3" hidden="1">{#N/A,#N/A,FALSE,"Créances";#N/A,#N/A,FALSE,"Effectifs";#N/A,#N/A,FALSE,"SI"}</definedName>
    <definedName name="qwqw" hidden="1">{#N/A,#N/A,FALSE,"Créances";#N/A,#N/A,FALSE,"Effectifs";#N/A,#N/A,FALSE,"SI"}</definedName>
    <definedName name="qwqwqw" localSheetId="3" hidden="1">{"AT","COMPANIES",TRUE}</definedName>
    <definedName name="qwqwqw" hidden="1">{"AT","COMPANIES",TRUE}</definedName>
    <definedName name="qwrd" localSheetId="3" hidden="1">{"ACT",#N/A,FALSE,"Q3Elec P&amp;L fy 99  ";"BUD",#N/A,FALSE,"Q3Elec P&amp;L fy 99  ";"PRIOR",#N/A,FALSE,"Q3Elec P&amp;L fy 99  "}</definedName>
    <definedName name="qwrd" hidden="1">{"ACT",#N/A,FALSE,"Q3Elec P&amp;L fy 99  ";"BUD",#N/A,FALSE,"Q3Elec P&amp;L fy 99  ";"PRIOR",#N/A,FALSE,"Q3Elec P&amp;L fy 99  "}</definedName>
    <definedName name="qws" localSheetId="3" hidden="1">{"QTD_OTHER",#N/A,FALSE,"QTD"}</definedName>
    <definedName name="qws" hidden="1">{"QTD_OTHER",#N/A,FALSE,"QTD"}</definedName>
    <definedName name="qwsa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localSheetId="3" hidden="1">{"'2ND_QUAR'!$A$1:$P$106"}</definedName>
    <definedName name="qwsd_1" hidden="1">{"'2ND_QUAR'!$A$1:$P$106"}</definedName>
    <definedName name="qwsd_1_1" localSheetId="3" hidden="1">{"'2ND_QUAR'!$A$1:$P$106"}</definedName>
    <definedName name="qwsd_1_1" hidden="1">{"'2ND_QUAR'!$A$1:$P$106"}</definedName>
    <definedName name="qwsd_1_2" localSheetId="3" hidden="1">{"'2ND_QUAR'!$A$1:$P$106"}</definedName>
    <definedName name="qwsd_1_2" hidden="1">{"'2ND_QUAR'!$A$1:$P$106"}</definedName>
    <definedName name="qwsd_1_3" localSheetId="3" hidden="1">{"'2ND_QUAR'!$A$1:$P$106"}</definedName>
    <definedName name="qwsd_1_3" hidden="1">{"'2ND_QUAR'!$A$1:$P$106"}</definedName>
    <definedName name="qwsd_1_4" localSheetId="3" hidden="1">{"'2ND_QUAR'!$A$1:$P$106"}</definedName>
    <definedName name="qwsd_1_4" hidden="1">{"'2ND_QUAR'!$A$1:$P$106"}</definedName>
    <definedName name="qwsd_1_5" localSheetId="3" hidden="1">{"'2ND_QUAR'!$A$1:$P$106"}</definedName>
    <definedName name="qwsd_1_5" hidden="1">{"'2ND_QUAR'!$A$1:$P$106"}</definedName>
    <definedName name="qwsd_2" localSheetId="3" hidden="1">{"'2ND_QUAR'!$A$1:$P$106"}</definedName>
    <definedName name="qwsd_2" hidden="1">{"'2ND_QUAR'!$A$1:$P$106"}</definedName>
    <definedName name="qwsd_2_1" localSheetId="3" hidden="1">{"'2ND_QUAR'!$A$1:$P$106"}</definedName>
    <definedName name="qwsd_2_1" hidden="1">{"'2ND_QUAR'!$A$1:$P$106"}</definedName>
    <definedName name="qwsd_2_2" localSheetId="3" hidden="1">{"'2ND_QUAR'!$A$1:$P$106"}</definedName>
    <definedName name="qwsd_2_2" hidden="1">{"'2ND_QUAR'!$A$1:$P$106"}</definedName>
    <definedName name="qwsd_2_3" localSheetId="3" hidden="1">{"'2ND_QUAR'!$A$1:$P$106"}</definedName>
    <definedName name="qwsd_2_3" hidden="1">{"'2ND_QUAR'!$A$1:$P$106"}</definedName>
    <definedName name="qwsd_2_4" localSheetId="3" hidden="1">{"'2ND_QUAR'!$A$1:$P$106"}</definedName>
    <definedName name="qwsd_2_4" hidden="1">{"'2ND_QUAR'!$A$1:$P$106"}</definedName>
    <definedName name="qwsd_2_5" localSheetId="3" hidden="1">{"'2ND_QUAR'!$A$1:$P$106"}</definedName>
    <definedName name="qwsd_2_5" hidden="1">{"'2ND_QUAR'!$A$1:$P$106"}</definedName>
    <definedName name="qwsd_3" localSheetId="3" hidden="1">{"'2ND_QUAR'!$A$1:$P$106"}</definedName>
    <definedName name="qwsd_3" hidden="1">{"'2ND_QUAR'!$A$1:$P$106"}</definedName>
    <definedName name="qwsd_3_1" localSheetId="3" hidden="1">{"'2ND_QUAR'!$A$1:$P$106"}</definedName>
    <definedName name="qwsd_3_1" hidden="1">{"'2ND_QUAR'!$A$1:$P$106"}</definedName>
    <definedName name="qwsd_3_2" localSheetId="3" hidden="1">{"'2ND_QUAR'!$A$1:$P$106"}</definedName>
    <definedName name="qwsd_3_2" hidden="1">{"'2ND_QUAR'!$A$1:$P$106"}</definedName>
    <definedName name="qwsd_3_3" localSheetId="3" hidden="1">{"'2ND_QUAR'!$A$1:$P$106"}</definedName>
    <definedName name="qwsd_3_3" hidden="1">{"'2ND_QUAR'!$A$1:$P$106"}</definedName>
    <definedName name="qwsd_3_4" localSheetId="3" hidden="1">{"'2ND_QUAR'!$A$1:$P$106"}</definedName>
    <definedName name="qwsd_3_4" hidden="1">{"'2ND_QUAR'!$A$1:$P$106"}</definedName>
    <definedName name="qwsd_3_5" localSheetId="3" hidden="1">{"'2ND_QUAR'!$A$1:$P$106"}</definedName>
    <definedName name="qwsd_3_5" hidden="1">{"'2ND_QUAR'!$A$1:$P$106"}</definedName>
    <definedName name="qwsd_4" localSheetId="3" hidden="1">{"'2ND_QUAR'!$A$1:$P$106"}</definedName>
    <definedName name="qwsd_4" hidden="1">{"'2ND_QUAR'!$A$1:$P$106"}</definedName>
    <definedName name="qwsd_4_1" localSheetId="3" hidden="1">{"'2ND_QUAR'!$A$1:$P$106"}</definedName>
    <definedName name="qwsd_4_1" hidden="1">{"'2ND_QUAR'!$A$1:$P$106"}</definedName>
    <definedName name="qwsd_4_2" localSheetId="3" hidden="1">{"'2ND_QUAR'!$A$1:$P$106"}</definedName>
    <definedName name="qwsd_4_2" hidden="1">{"'2ND_QUAR'!$A$1:$P$106"}</definedName>
    <definedName name="qwsd_4_3" localSheetId="3" hidden="1">{"'2ND_QUAR'!$A$1:$P$106"}</definedName>
    <definedName name="qwsd_4_3" hidden="1">{"'2ND_QUAR'!$A$1:$P$106"}</definedName>
    <definedName name="qwsd_4_4" localSheetId="3" hidden="1">{"'2ND_QUAR'!$A$1:$P$106"}</definedName>
    <definedName name="qwsd_4_4" hidden="1">{"'2ND_QUAR'!$A$1:$P$106"}</definedName>
    <definedName name="qwsd_4_5" localSheetId="3" hidden="1">{"'2ND_QUAR'!$A$1:$P$106"}</definedName>
    <definedName name="qwsd_4_5" hidden="1">{"'2ND_QUAR'!$A$1:$P$106"}</definedName>
    <definedName name="qwsd_5" localSheetId="3" hidden="1">{"'2ND_QUAR'!$A$1:$P$106"}</definedName>
    <definedName name="qwsd_5" hidden="1">{"'2ND_QUAR'!$A$1:$P$106"}</definedName>
    <definedName name="qwsd_5_1" localSheetId="3" hidden="1">{"'2ND_QUAR'!$A$1:$P$106"}</definedName>
    <definedName name="qwsd_5_1" hidden="1">{"'2ND_QUAR'!$A$1:$P$106"}</definedName>
    <definedName name="qwsd_5_2" localSheetId="3" hidden="1">{"'2ND_QUAR'!$A$1:$P$106"}</definedName>
    <definedName name="qwsd_5_2" hidden="1">{"'2ND_QUAR'!$A$1:$P$106"}</definedName>
    <definedName name="qwsd_5_3" localSheetId="3" hidden="1">{"'2ND_QUAR'!$A$1:$P$106"}</definedName>
    <definedName name="qwsd_5_3" hidden="1">{"'2ND_QUAR'!$A$1:$P$106"}</definedName>
    <definedName name="qwsd_5_4" localSheetId="3" hidden="1">{"'2ND_QUAR'!$A$1:$P$106"}</definedName>
    <definedName name="qwsd_5_4" hidden="1">{"'2ND_QUAR'!$A$1:$P$106"}</definedName>
    <definedName name="qwsd_5_5" localSheetId="3" hidden="1">{"'2ND_QUAR'!$A$1:$P$106"}</definedName>
    <definedName name="qwsd_5_5" hidden="1">{"'2ND_QUAR'!$A$1:$P$106"}</definedName>
    <definedName name="qww" localSheetId="4" hidden="1">{#N/A,#N/A,FALSE,"Aging Summary";#N/A,#N/A,FALSE,"Ratio Analysis";#N/A,#N/A,FALSE,"Test 120 Day Accts";#N/A,#N/A,FALSE,"Tickmarks"}</definedName>
    <definedName name="qww" localSheetId="3" hidden="1">{#N/A,#N/A,FALSE,"Aging Summary";#N/A,#N/A,FALSE,"Ratio Analysis";#N/A,#N/A,FALSE,"Test 120 Day Accts";#N/A,#N/A,FALSE,"Tickmarks"}</definedName>
    <definedName name="qww" hidden="1">{#N/A,#N/A,FALSE,"Aging Summary";#N/A,#N/A,FALSE,"Ratio Analysis";#N/A,#N/A,FALSE,"Test 120 Day Accts";#N/A,#N/A,FALSE,"Tickmarks"}</definedName>
    <definedName name="qwz" localSheetId="3" hidden="1">{"QTD_HYCO",#N/A,FALSE,"QTD"}</definedName>
    <definedName name="qwz" hidden="1">{"QTD_HYCO",#N/A,FALSE,"QTD"}</definedName>
    <definedName name="qxgf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 localSheetId="4">'[90]Page 300'!$B$6</definedName>
    <definedName name="r_">#REF!</definedName>
    <definedName name="R_D__Property_and_facility_Expense">'[48]GL-PC'!#REF!</definedName>
    <definedName name="R_D__Repair_and_Maintenance_Expense">'[48]GL-PC'!#REF!</definedName>
    <definedName name="R_D_Consulting__Expense">#REF!</definedName>
    <definedName name="R_D_Expense">#REF!</definedName>
    <definedName name="R_D_Materials">'[48]GL-PC'!#REF!</definedName>
    <definedName name="R_D_Process">'[48]GL-PC'!#REF!</definedName>
    <definedName name="R_D_Supply">'[48]GL-PC'!#REF!</definedName>
    <definedName name="R_D_Utilities_Expense">'[48]GL-PC'!#REF!</definedName>
    <definedName name="R_D_Vehicle_Expenses">'[48]GL-PC'!#REF!</definedName>
    <definedName name="r_printfunction">#REF!</definedName>
    <definedName name="ra" localSheetId="3" hidden="1">{"bs",#N/A,FALSE,"SCF"}</definedName>
    <definedName name="ra" hidden="1">{"bs",#N/A,FALSE,"SCF"}</definedName>
    <definedName name="rab">[104]rabintex!$1:$1048576</definedName>
    <definedName name="rad" localSheetId="3" hidden="1">{"PACKAGE",#N/A,FALSE,"CM"}</definedName>
    <definedName name="rad" hidden="1">{"PACKAGE",#N/A,FALSE,"CM"}</definedName>
    <definedName name="RADIO" localSheetId="3" hidden="1">{"HW",#N/A,FALSE,"1998"}</definedName>
    <definedName name="RADIO" hidden="1">{"HW",#N/A,FALSE,"1998"}</definedName>
    <definedName name="Rafi" localSheetId="3" hidden="1">{#N/A,#N/A,FALSE,"AD_Purchase";#N/A,#N/A,FALSE,"Credit";#N/A,#N/A,FALSE,"PF Acquisition";#N/A,#N/A,FALSE,"PF Offering"}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localSheetId="3" hidden="1">{"Fcst by Qtr Full",#N/A,FALSE,"Tot PalmPalm";"Fcst by Qtr Full",#N/A,FALSE,"Tot Device";"Fcst by Qtr Full",#N/A,FALSE,"Platform";"Fcst by Qtr Full",#N/A,FALSE,"Palm.Net";"Fcst by Qtr Full",#N/A,FALSE,"Elim"}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localSheetId="4" hidden="1">{"rtn",#N/A,FALSE,"RTN";"tables",#N/A,FALSE,"RTN";"cf",#N/A,FALSE,"CF";"stats",#N/A,FALSE,"Stats";"prop",#N/A,FALSE,"Prop"}</definedName>
    <definedName name="Ramp" localSheetId="3" hidden="1">{"rtn",#N/A,FALSE,"RTN";"tables",#N/A,FALSE,"RTN";"cf",#N/A,FALSE,"CF";"stats",#N/A,FALSE,"Stats";"prop",#N/A,FALSE,"Prop"}</definedName>
    <definedName name="Ramp" hidden="1">{"rtn",#N/A,FALSE,"RTN";"tables",#N/A,FALSE,"RTN";"cf",#N/A,FALSE,"CF";"stats",#N/A,FALSE,"Stats";"prop",#N/A,FALSE,"Prop"}</definedName>
    <definedName name="Ramp_1" localSheetId="4" hidden="1">{"rtn",#N/A,FALSE,"RTN";"tables",#N/A,FALSE,"RTN";"cf",#N/A,FALSE,"CF";"stats",#N/A,FALSE,"Stats";"prop",#N/A,FALSE,"Prop"}</definedName>
    <definedName name="Ramp_1" localSheetId="3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 localSheetId="4">'[30]Temp 2'!#REF!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 localSheetId="4">'[30]Temp 2'!#REF!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 localSheetId="4">[95]consolidation!#REF!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 localSheetId="4">[197]נתונים!$A$250:$F$438</definedName>
    <definedName name="rave">#REF!</definedName>
    <definedName name="ray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 localSheetId="4">[95]consolidation!#REF!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localSheetId="3" hidden="1">{"oct_res_comm",#N/A,FALSE,"VarToBud"}</definedName>
    <definedName name="rdx" hidden="1">{"oct_res_comm",#N/A,FALSE,"VarToBud"}</definedName>
    <definedName name="re" localSheetId="3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 localSheetId="4">[45]Workings!$D$510:$O$510</definedName>
    <definedName name="ReceivableDays">#REF!</definedName>
    <definedName name="reco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localSheetId="3" hidden="1">{#N/A,#N/A,FALSE,"COMP"}</definedName>
    <definedName name="Recons" hidden="1">{#N/A,#N/A,FALSE,"COMP"}</definedName>
    <definedName name="Record1">#REF!</definedName>
    <definedName name="_xlnm.Recorder">#REF!</definedName>
    <definedName name="RECRIATION_COST" localSheetId="4">[190]WP!#REF!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'[48]GL-PC'!#REF!</definedName>
    <definedName name="Redeem_MI">#REF!</definedName>
    <definedName name="RedefinePrintTableRange" hidden="1">#REF!</definedName>
    <definedName name="redo" localSheetId="3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">#REF!</definedName>
    <definedName name="reear" localSheetId="3" hidden="1">{#N/A,#N/A,FALSE,"Sheet1"}</definedName>
    <definedName name="reear" hidden="1">{#N/A,#N/A,FALSE,"Sheet1"}</definedName>
    <definedName name="Reference">#REF!</definedName>
    <definedName name="refg" localSheetId="3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freshments_Expense">'[48]GL-PC'!#REF!</definedName>
    <definedName name="refurb">#REF!</definedName>
    <definedName name="Reg">#REF!</definedName>
    <definedName name="reggie" localSheetId="3" hidden="1">{#N/A,#N/A,FALSE,"Pharm";#N/A,#N/A,FALSE,"WWCM"}</definedName>
    <definedName name="reggie" hidden="1">{#N/A,#N/A,FALSE,"Pharm";#N/A,#N/A,FALSE,"WWCM"}</definedName>
    <definedName name="reggie_1" localSheetId="3" hidden="1">{#N/A,#N/A,FALSE,"Pharm";#N/A,#N/A,FALSE,"WWCM"}</definedName>
    <definedName name="reggie_1" hidden="1">{#N/A,#N/A,FALSE,"Pharm";#N/A,#N/A,FALSE,"WWCM"}</definedName>
    <definedName name="reggie_2" localSheetId="3" hidden="1">{#N/A,#N/A,FALSE,"Pharm";#N/A,#N/A,FALSE,"WWCM"}</definedName>
    <definedName name="reggie_2" hidden="1">{#N/A,#N/A,FALSE,"Pharm";#N/A,#N/A,FALSE,"WWCM"}</definedName>
    <definedName name="reggie_3" localSheetId="3" hidden="1">{#N/A,#N/A,FALSE,"Pharm";#N/A,#N/A,FALSE,"WWCM"}</definedName>
    <definedName name="reggie_3" hidden="1">{#N/A,#N/A,FALSE,"Pharm";#N/A,#N/A,FALSE,"WWCM"}</definedName>
    <definedName name="reggie_4" localSheetId="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localSheetId="3" hidden="1">{"'Customer Support Trends'!$A$1:$AB$13"}</definedName>
    <definedName name="RegisteredUsers" hidden="1">{"'Customer Support Trends'!$A$1:$AB$13"}</definedName>
    <definedName name="RegisteredUsers2" localSheetId="3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 localSheetId="3">{0}</definedName>
    <definedName name="regtrr">{0}</definedName>
    <definedName name="Regulation">#REF!</definedName>
    <definedName name="Regulation_consulting_Expense">'[48]GL-PC'!#REF!</definedName>
    <definedName name="REID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localSheetId="4" hidden="1">{#N/A,#N/A,FALSE,"Job Sched"}</definedName>
    <definedName name="Related" localSheetId="3" hidden="1">{#N/A,#N/A,FALSE,"Job Sched"}</definedName>
    <definedName name="Related" hidden="1">{#N/A,#N/A,FALSE,"Job Sched"}</definedName>
    <definedName name="RelatedEmployee">#REF!</definedName>
    <definedName name="rem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localSheetId="3" hidden="1">{"page1",#N/A,TRUE,"CSC";"page2",#N/A,TRUE,"CSC"}</definedName>
    <definedName name="rename_of_wrn.CSC" hidden="1">{"page1",#N/A,TRUE,"CSC";"page2",#N/A,TRUE,"CSC"}</definedName>
    <definedName name="Rene" localSheetId="3" hidden="1">{"'Customer Support Trends'!$A$1:$AB$13"}</definedName>
    <definedName name="Rene" hidden="1">{"'Customer Support Trends'!$A$1:$AB$13"}</definedName>
    <definedName name="rene_registered3" localSheetId="3" hidden="1">{"'Customer Support Trends'!$A$1:$AB$13"}</definedName>
    <definedName name="rene_registered3" hidden="1">{"'Customer Support Trends'!$A$1:$AB$13"}</definedName>
    <definedName name="rene_registeredusers2" localSheetId="3" hidden="1">{"'Customer Support Trends'!$A$1:$AB$13"}</definedName>
    <definedName name="rene_registeredusers2" hidden="1">{"'Customer Support Trends'!$A$1:$AB$13"}</definedName>
    <definedName name="Rene2" localSheetId="3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'[48]GL-PC'!#REF!</definedName>
    <definedName name="Rent_A" localSheetId="4">[155]Wells!#REF!</definedName>
    <definedName name="Rent_A">#REF!</definedName>
    <definedName name="Rent_and_Taxes">#REF!</definedName>
    <definedName name="RENT_CONCESSIONS">#REF!</definedName>
    <definedName name="Rent_Expense">'[48]GL-PC'!#REF!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'[48]GL-PC'!#REF!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[105]Params!$B$1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localSheetId="3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localSheetId="3" hidden="1">{#N/A,#N/A,FALSE,"Projections";#N/A,#N/A,FALSE,"Multiples Valuation";#N/A,#N/A,FALSE,"LBO";#N/A,#N/A,FALSE,"Multiples_Sensitivity";#N/A,#N/A,FALSE,"Summary"}</definedName>
    <definedName name="rer" hidden="1">{#N/A,#N/A,FALSE,"Projections";#N/A,#N/A,FALSE,"Multiples Valuation";#N/A,#N/A,FALSE,"LBO";#N/A,#N/A,FALSE,"Multiples_Sensitivity";#N/A,#N/A,FALSE,"Summary"}</definedName>
    <definedName name="rerer" localSheetId="3" hidden="1">{#N/A,#N/A,FALSE,"puboff";#N/A,#N/A,FALSE,"valuation";#N/A,#N/A,FALSE,"finanalsis";#N/A,#N/A,FALSE,"split";#N/A,#N/A,FALSE,"ownership"}</definedName>
    <definedName name="rerer" hidden="1">{#N/A,#N/A,FALSE,"puboff";#N/A,#N/A,FALSE,"valuation";#N/A,#N/A,FALSE,"finanalsis";#N/A,#N/A,FALSE,"split";#N/A,#N/A,FALSE,"ownership"}</definedName>
    <definedName name="rererer" localSheetId="3" hidden="1">{#N/A,#N/A,FALSE,"Full";#N/A,#N/A,FALSE,"Half";#N/A,#N/A,FALSE,"Op Expenses";#N/A,#N/A,FALSE,"Cap Charge";#N/A,#N/A,FALSE,"Cost C";#N/A,#N/A,FALSE,"PP&amp;E";#N/A,#N/A,FALSE,"R&amp;D"}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 localSheetId="4">'[65]Budget New'!#REF!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localSheetId="3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ources_1" localSheetId="3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localSheetId="3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localSheetId="3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localSheetId="3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localSheetId="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localSheetId="3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localSheetId="3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localSheetId="3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localSheetId="3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localSheetId="3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localSheetId="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localSheetId="3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localSheetId="3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localSheetId="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localSheetId="3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localSheetId="3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localSheetId="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localSheetId="3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localSheetId="3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localSheetId="3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localSheetId="3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localSheetId="3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localSheetId="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localSheetId="3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localSheetId="3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localSheetId="3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localSheetId="3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localSheetId="3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localSheetId="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localSheetId="3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localSheetId="3" hidden="1">{#N/A,#N/A,FALSE,"Pharm";#N/A,#N/A,FALSE,"WWCM"}</definedName>
    <definedName name="resp." hidden="1">{#N/A,#N/A,FALSE,"Pharm";#N/A,#N/A,FALSE,"WWCM"}</definedName>
    <definedName name="resp._1" localSheetId="3" hidden="1">{#N/A,#N/A,FALSE,"Pharm";#N/A,#N/A,FALSE,"WWCM"}</definedName>
    <definedName name="resp._1" hidden="1">{#N/A,#N/A,FALSE,"Pharm";#N/A,#N/A,FALSE,"WWCM"}</definedName>
    <definedName name="resp._2" localSheetId="3" hidden="1">{#N/A,#N/A,FALSE,"Pharm";#N/A,#N/A,FALSE,"WWCM"}</definedName>
    <definedName name="resp._2" hidden="1">{#N/A,#N/A,FALSE,"Pharm";#N/A,#N/A,FALSE,"WWCM"}</definedName>
    <definedName name="resp._3" localSheetId="3" hidden="1">{#N/A,#N/A,FALSE,"Pharm";#N/A,#N/A,FALSE,"WWCM"}</definedName>
    <definedName name="resp._3" hidden="1">{#N/A,#N/A,FALSE,"Pharm";#N/A,#N/A,FALSE,"WWCM"}</definedName>
    <definedName name="resp._4" localSheetId="3" hidden="1">{#N/A,#N/A,FALSE,"Pharm";#N/A,#N/A,FALSE,"WWCM"}</definedName>
    <definedName name="resp._4" hidden="1">{#N/A,#N/A,FALSE,"Pharm";#N/A,#N/A,FALSE,"WWCM"}</definedName>
    <definedName name="Restricted">#REF!</definedName>
    <definedName name="Results" localSheetId="3" hidden="1">{"FCB_ALL",#N/A,FALSE,"FCB"}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localSheetId="3" hidden="1">{"FCB_ALL",#N/A,FALSE,"FCB"}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localSheetId="3" hidden="1">{"legalsumm",#N/A,FALSE,"Forecast (no FAW)";"legaldetail",#N/A,FALSE,"Forecast (no FAW)"}</definedName>
    <definedName name="Retrieve_Fcst" hidden="1">{"legalsumm",#N/A,FALSE,"Forecast (no FAW)";"legaldetail",#N/A,FALSE,"Forecast (no FAW)"}</definedName>
    <definedName name="Retrieve_Fct" localSheetId="3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localSheetId="3" hidden="1">{#N/A,#N/A,FALSE,"AD_Purchase";#N/A,#N/A,FALSE,"Credit";#N/A,#N/A,FALSE,"PF Acquisition";#N/A,#N/A,FALSE,"PF Offering"}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 localSheetId="4">[18]Sensetivities!#REF!</definedName>
    <definedName name="revenues2">#REF!</definedName>
    <definedName name="reveunes2" localSheetId="4">[18]Sensetivities!#REF!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localSheetId="3" hidden="1">{"sales growth",#N/A,FALSE,"summary";"oper income",#N/A,FALSE,"summary";"oros rank",#N/A,FALSE,"summary";"net assets",#N/A,FALSE,"summary";"asset turnover",#N/A,FALSE,"summary";"orona",#N/A,FALSE,"summary"}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localSheetId="3" hidden="1">{#N/A,#N/A,FALSE,"Umsatz 99";#N/A,#N/A,FALSE,"ER 99 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localSheetId="3" hidden="1">{#N/A,#N/A,FALSE,"Pharm";#N/A,#N/A,FALSE,"WWCM"}</definedName>
    <definedName name="rf2e" hidden="1">{#N/A,#N/A,FALSE,"Pharm";#N/A,#N/A,FALSE,"WWCM"}</definedName>
    <definedName name="rf2e_1" localSheetId="3" hidden="1">{#N/A,#N/A,FALSE,"Pharm";#N/A,#N/A,FALSE,"WWCM"}</definedName>
    <definedName name="rf2e_1" hidden="1">{#N/A,#N/A,FALSE,"Pharm";#N/A,#N/A,FALSE,"WWCM"}</definedName>
    <definedName name="rf2e_2" localSheetId="3" hidden="1">{#N/A,#N/A,FALSE,"Pharm";#N/A,#N/A,FALSE,"WWCM"}</definedName>
    <definedName name="rf2e_2" hidden="1">{#N/A,#N/A,FALSE,"Pharm";#N/A,#N/A,FALSE,"WWCM"}</definedName>
    <definedName name="rf2e_3" localSheetId="3" hidden="1">{#N/A,#N/A,FALSE,"Pharm";#N/A,#N/A,FALSE,"WWCM"}</definedName>
    <definedName name="rf2e_3" hidden="1">{#N/A,#N/A,FALSE,"Pharm";#N/A,#N/A,FALSE,"WWCM"}</definedName>
    <definedName name="rf2e_4" localSheetId="3" hidden="1">{#N/A,#N/A,FALSE,"Pharm";#N/A,#N/A,FALSE,"WWCM"}</definedName>
    <definedName name="rf2e_4" hidden="1">{#N/A,#N/A,FALSE,"Pharm";#N/A,#N/A,FALSE,"WWCM"}</definedName>
    <definedName name="rfdg">#REF!</definedName>
    <definedName name="rfgg" localSheetId="3" hidden="1">{#N/A,#N/A,FALSE,"sum-don";#N/A,#N/A,FALSE,"inc-don"}</definedName>
    <definedName name="rfgg" hidden="1">{#N/A,#N/A,FALSE,"sum-don";#N/A,#N/A,FALSE,"inc-don"}</definedName>
    <definedName name="rfr">#REF!</definedName>
    <definedName name="rFSPresets">#REF!</definedName>
    <definedName name="RG" localSheetId="3" hidden="1">{#N/A,#N/A,FALSE,"ALM-ASISC"}</definedName>
    <definedName name="RG" hidden="1">{#N/A,#N/A,FALSE,"ALM-ASISC"}</definedName>
    <definedName name="RGBRTFGB" localSheetId="3" hidden="1">{#N/A,#N/A,FALSE,"ALM-ASISC"}</definedName>
    <definedName name="RGBRTFGB" hidden="1">{#N/A,#N/A,FALSE,"ALM-ASISC"}</definedName>
    <definedName name="rgegerg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localSheetId="3" hidden="1">{#N/A,#N/A,FALSE,"PGW"}</definedName>
    <definedName name="rgergeger" hidden="1">{#N/A,#N/A,FALSE,"PGW"}</definedName>
    <definedName name="rgh" localSheetId="3" hidden="1">{"Test",#N/A,FALSE,"Index";#N/A,"RISK",FALSE,"MarketProjection"}</definedName>
    <definedName name="rgh" hidden="1">{"Test",#N/A,FALSE,"Index";#N/A,"RISK",FALSE,"MarketProjection"}</definedName>
    <definedName name="rgh_1" localSheetId="3" hidden="1">{"Test",#N/A,FALSE,"Index";#N/A,"RISK",FALSE,"MarketProjection"}</definedName>
    <definedName name="rgh_1" hidden="1">{"Test",#N/A,FALSE,"Index";#N/A,"RISK",FALSE,"MarketProjection"}</definedName>
    <definedName name="rh" localSheetId="3" hidden="1">{#N/A,#N/A,FALSE,"FREE"}</definedName>
    <definedName name="rh" hidden="1">{#N/A,#N/A,FALSE,"FREE"}</definedName>
    <definedName name="RHKPRTH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localSheetId="3" hidden="1">{#N/A,#N/A,FALSE,"FREE"}</definedName>
    <definedName name="rhw" hidden="1">{#N/A,#N/A,FALSE,"FREE"}</definedName>
    <definedName name="rhwr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localSheetId="3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localSheetId="4" hidden="1">{"BALANCE SHEET",#N/A,FALSE,"FINANCIALS";"INCOME",#N/A,FALSE,"FINANCIALS";"RETAINED EARNINGS",#N/A,FALSE,"FINANCIALS";"SOCFP",#N/A,FALSE,"FINANCIALS";"TRIAL BALANCE",#N/A,FALSE,"FINANCIALS"}</definedName>
    <definedName name="ris" localSheetId="3" hidden="1">{"BALANCE SHEET",#N/A,FALSE,"FINANCIALS";"INCOME",#N/A,FALSE,"FINANCIALS";"RETAINED EARNINGS",#N/A,FALSE,"FINANCIALS";"SOCFP",#N/A,FALSE,"FINANCIALS";"TRIAL BALANCE",#N/A,FALSE,"FINANCIALS"}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 localSheetId="3">{"'1-TheatreBkgs'!$A$1:$L$102"}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localSheetId="3" hidden="1">{"oct_res_comm",#N/A,FALSE,"VarToBud"}</definedName>
    <definedName name="rixi" hidden="1">{"oct_res_comm",#N/A,FALSE,"VarToBud"}</definedName>
    <definedName name="rjod" localSheetId="3" hidden="1">{"detail",#N/A,FALSE,"mfg";"summary",#N/A,FALSE,"mfg"}</definedName>
    <definedName name="rjod" hidden="1">{"detail",#N/A,FALSE,"mfg";"summary",#N/A,FALSE,"mfg"}</definedName>
    <definedName name="rkods" localSheetId="3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 localSheetId="4">'[99]Overall market'!#REF!</definedName>
    <definedName name="ROA_Share">#REF!</definedName>
    <definedName name="rob" localSheetId="3" hidden="1">{"GLI-Income Statement",#N/A,FALSE,"gli";"GLI - Balance Sheet Wksht",#N/A,FALSE,"gli";"GLI-Cash Flow",#N/A,FALSE,"gli";"GLI Qtrly Stats",#N/A,FALSE,"gli"}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localSheetId="4" hidden="1">{"SCH44",#N/A,FALSE,"5b5f";"SCH45",#N/A,FALSE,"5b5f"}</definedName>
    <definedName name="Roberta" localSheetId="3" hidden="1">{"SCH44",#N/A,FALSE,"5b5f";"SCH45",#N/A,FALSE,"5b5f"}</definedName>
    <definedName name="Roberta" hidden="1">{"SCH44",#N/A,FALSE,"5b5f";"SCH45",#N/A,FALSE,"5b5f"}</definedName>
    <definedName name="Rock2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localSheetId="3" hidden="1">{"LBO Summary",#N/A,FALSE,"Summary"}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localSheetId="3" hidden="1">{"comp1",#N/A,FALSE,"COMPS";"footnotes",#N/A,FALSE,"COMPS"}</definedName>
    <definedName name="rOSTOV" hidden="1">{"comp1",#N/A,FALSE,"COMPS";"footnotes",#N/A,FALSE,"COMPS"}</definedName>
    <definedName name="Roulage" localSheetId="3" hidden="1">{"'ID(2)'!$E$1:$N$4"}</definedName>
    <definedName name="Roulage" hidden="1">{"'ID(2)'!$E$1:$N$4"}</definedName>
    <definedName name="round" localSheetId="4">#REF!</definedName>
    <definedName name="round">1</definedName>
    <definedName name="Rounding">#REF!</definedName>
    <definedName name="row" localSheetId="3">#N/A</definedName>
    <definedName name="row">#N/A</definedName>
    <definedName name="ROW_Share" localSheetId="4">'[99]Overall market'!#REF!</definedName>
    <definedName name="ROW_Share">#REF!</definedName>
    <definedName name="rowgroup">#REF!</definedName>
    <definedName name="rownum">#REF!</definedName>
    <definedName name="rows_array" localSheetId="4">{"סעיף",0,"Auto","Auto",""}</definedName>
    <definedName name="rows_array" localSheetId="3">{"סעיף",0,"Auto","Auto",""}</definedName>
    <definedName name="rows_array">{"סעיף",0,"Auto","Auto",""}</definedName>
    <definedName name="rows_array_1" localSheetId="3">{"סעיף",0,"Auto","Auto",""}</definedName>
    <definedName name="rows_array_1">{"סעיף",0,"Auto","Auto",""}</definedName>
    <definedName name="rows_array00" localSheetId="4">{"סעיף",0,"Auto","Auto",""}</definedName>
    <definedName name="rows_array00" localSheetId="3">{"סעיף",0,"Auto","Auto",""}</definedName>
    <definedName name="rows_array00">{"סעיף",0,"Auto","Auto",""}</definedName>
    <definedName name="rows_array00_1" localSheetId="3">{"סעיף",0,"Auto","Auto",""}</definedName>
    <definedName name="rows_array00_1">{"סעיף",0,"Auto","Auto",""}</definedName>
    <definedName name="rows_arrayB" localSheetId="4">{"סעיף",0,"Auto","Auto",""}</definedName>
    <definedName name="rows_arrayB" localSheetId="3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 localSheetId="4">{"חובה","SUM(חובה)","YNNNN",FALSE}</definedName>
    <definedName name="roy" localSheetId="3">{"חובה","SUM(חובה)","YNNNN",FALSE}</definedName>
    <definedName name="roy">{"חובה","SUM(חובה)","YNNNN",FALSE}</definedName>
    <definedName name="roy_roy" localSheetId="4">{"סעיף",0,"Auto","Auto",""}</definedName>
    <definedName name="roy_roy" localSheetId="3">{"סעיף",0,"Auto","Auto",""}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 localSheetId="4">'[198]Debt Schedule'!$A$4:$S$40</definedName>
    <definedName name="Rpage7">#REF!</definedName>
    <definedName name="Rpage8" localSheetId="4">'[198]Debt Schedule'!$A$44:$S$89</definedName>
    <definedName name="Rpage8">#REF!</definedName>
    <definedName name="RPE">#REF!</definedName>
    <definedName name="RPT">#N/A</definedName>
    <definedName name="rq">#REF!</definedName>
    <definedName name="rqwe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localSheetId="4">#REF!</definedName>
    <definedName name="RR" localSheetId="3" hidden="1">{#N/A,#N/A,FALSE,"מערך הלוגיסטיקה"}</definedName>
    <definedName name="RR" hidden="1">{#N/A,#N/A,FALSE,"מערך הלוגיסטיקה"}</definedName>
    <definedName name="rr.k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localSheetId="3" hidden="1">{#N/A,#N/A,FALSE,"NAI Cash Flow"}</definedName>
    <definedName name="rrr" hidden="1">{#N/A,#N/A,FALSE,"NAI Cash Flow"}</definedName>
    <definedName name="rrrr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localSheetId="3" hidden="1">{"GTI monthly IS",#N/A,FALSE,"gti";#N/A,#N/A,FALSE,"gti"}</definedName>
    <definedName name="rrrrr" hidden="1">{"GTI monthly IS",#N/A,FALSE,"gti";#N/A,#N/A,FALSE,"gti"}</definedName>
    <definedName name="rrrrr_1" localSheetId="3" hidden="1">{#N/A,#N/A,FALSE,"Pharm";#N/A,#N/A,FALSE,"WWCM"}</definedName>
    <definedName name="rrrrr_1" hidden="1">{#N/A,#N/A,FALSE,"Pharm";#N/A,#N/A,FALSE,"WWCM"}</definedName>
    <definedName name="rrrrr_2" localSheetId="3" hidden="1">{#N/A,#N/A,FALSE,"Pharm";#N/A,#N/A,FALSE,"WWCM"}</definedName>
    <definedName name="rrrrr_2" hidden="1">{#N/A,#N/A,FALSE,"Pharm";#N/A,#N/A,FALSE,"WWCM"}</definedName>
    <definedName name="rrrrr_3" localSheetId="3" hidden="1">{#N/A,#N/A,FALSE,"Pharm";#N/A,#N/A,FALSE,"WWCM"}</definedName>
    <definedName name="rrrrr_3" hidden="1">{#N/A,#N/A,FALSE,"Pharm";#N/A,#N/A,FALSE,"WWCM"}</definedName>
    <definedName name="rrrrr_4" localSheetId="3" hidden="1">{#N/A,#N/A,FALSE,"Pharm";#N/A,#N/A,FALSE,"WWCM"}</definedName>
    <definedName name="rrrrr_4" hidden="1">{#N/A,#N/A,FALSE,"Pharm";#N/A,#N/A,FALSE,"WWCM"}</definedName>
    <definedName name="rrrrrr" localSheetId="3" hidden="1">{"cash plan",#N/A,FALSE,"fccashflow"}</definedName>
    <definedName name="rrrrrr" hidden="1">{"cash plan",#N/A,FALSE,"fccashflow"}</definedName>
    <definedName name="rrrrrrffvv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localSheetId="3" hidden="1">{#N/A,#N/A,FALSE,"Aging Summary";#N/A,#N/A,FALSE,"Ratio Analysis";#N/A,#N/A,FALSE,"Test 120 Day Accts";#N/A,#N/A,FALSE,"Tickmarks"}</definedName>
    <definedName name="rrrrrrrr" hidden="1">{#N/A,#N/A,FALSE,"Aging Summary";#N/A,#N/A,FALSE,"Ratio Analysis";#N/A,#N/A,FALSE,"Test 120 Day Accts";#N/A,#N/A,FALSE,"Tickmarks"}</definedName>
    <definedName name="rrrrrrrrrrrrrrrrrrrrrr" localSheetId="3" hidden="1">{"Back Page",#N/A,FALSE,"Front and Back"}</definedName>
    <definedName name="rrrrrrrrrrrrrrrrrrrrrr" hidden="1">{"Back Page",#N/A,FALSE,"Front and Back"}</definedName>
    <definedName name="rsac" localSheetId="3" hidden="1">{"PAGE 1",#N/A,FALSE,"COS Excluding Geismar";"PAGE 2",#N/A,FALSE,"COS Excluding Geismar";"PAGE 3",#N/A,FALSE,"COS Excluding Geismar"}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localSheetId="3" hidden="1">{#N/A,#N/A,FALSE,"1996";#N/A,#N/A,FALSE,"1995";#N/A,#N/A,FALSE,"1994"}</definedName>
    <definedName name="rsem" hidden="1">{#N/A,#N/A,FALSE,"1996";#N/A,#N/A,FALSE,"1995";#N/A,#N/A,FALSE,"1994"}</definedName>
    <definedName name="rsfrow">#REF!</definedName>
    <definedName name="RST_Royalty">#REF!</definedName>
    <definedName name="rt" localSheetId="3" hidden="1">{#N/A,#N/A,FALSE,"Second";#N/A,#N/A,FALSE,"ownership";#N/A,#N/A,FALSE,"Valuation";#N/A,#N/A,FALSE,"Eqiv";#N/A,#N/A,FALSE,"Mults";#N/A,#N/A,FALSE,"ISCG Graphics"}</definedName>
    <definedName name="rt" hidden="1">{#N/A,#N/A,FALSE,"Second";#N/A,#N/A,FALSE,"ownership";#N/A,#N/A,FALSE,"Valuation";#N/A,#N/A,FALSE,"Eqiv";#N/A,#N/A,FALSE,"Mults";#N/A,#N/A,FALSE,"ISCG Graphics"}</definedName>
    <definedName name="rtds" localSheetId="3" hidden="1">{"ICD Details",#N/A,FALSE,"Current Yr";"ICD Details",#N/A,FALSE,"Budget";"ICD Details",#N/A,FALSE,"Prior Year"}</definedName>
    <definedName name="rtds" hidden="1">{"ICD Details",#N/A,FALSE,"Current Yr";"ICD Details",#N/A,FALSE,"Budget";"ICD Details",#N/A,FALSE,"Prior Year"}</definedName>
    <definedName name="rtfg" localSheetId="3" hidden="1">{"LAPO2N2",#N/A,FALSE,"CM";"TOTTEXAS",#N/A,FALSE,"CM";"LOUISIANA",#N/A,FALSE,"CM";"GENERALH2",#N/A,FALSE,"CM";"PRS",#N/A,FALSE,"CM";"PACKAGE",#N/A,FALSE,"CM";"OTHER",#N/A,FALSE,"CM"}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localSheetId="3" hidden="1">{#N/A,#N/A,FALSE,"PMTABB";#N/A,#N/A,FALSE,"PMTABB"}</definedName>
    <definedName name="rtgdsfgdsrhdf" hidden="1">{#N/A,#N/A,FALSE,"PMTABB";#N/A,#N/A,FALSE,"PMTABB"}</definedName>
    <definedName name="rtgh" localSheetId="3" hidden="1">{#N/A,#N/A,TRUE,"Sheet1";#N/A,#N/A,TRUE,"Sheet2";#N/A,#N/A,TRUE,"Sheet3";#N/A,#N/A,TRUE,"Sheet4";#N/A,#N/A,TRUE,"Sheet5";#N/A,#N/A,TRUE,"Sheet6";#N/A,#N/A,TRUE,"Sheet7"}</definedName>
    <definedName name="rtgh" hidden="1">{#N/A,#N/A,TRUE,"Sheet1";#N/A,#N/A,TRUE,"Sheet2";#N/A,#N/A,TRUE,"Sheet3";#N/A,#N/A,TRUE,"Sheet4";#N/A,#N/A,TRUE,"Sheet5";#N/A,#N/A,TRUE,"Sheet6";#N/A,#N/A,TRUE,"Sheet7"}</definedName>
    <definedName name="rthth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localSheetId="3" hidden="1">{"vol data",#N/A,FALSE,"Datasheet";"vol graph",#N/A,FALSE,"Volume";"price data",#N/A,FALSE,"Datasheet";"price graph",#N/A,FALSE,"Price";"dp data",#N/A,FALSE,"Datasheet";"dp graph",#N/A,FALSE,"DirectProfit"}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localSheetId="3" hidden="1">{"BA detail",#N/A,FALSE,"Q3YTD "}</definedName>
    <definedName name="rtyu" hidden="1">{"BA detail",#N/A,FALSE,"Q3YTD "}</definedName>
    <definedName name="rtyui" localSheetId="3">{"'1-TheatreBkgs'!$A$1:$L$102"}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 localSheetId="3">'Company Name COGS+OPEX Build'!Run_Downloads</definedName>
    <definedName name="Run_Downloads">[0]!Run_Downloads</definedName>
    <definedName name="run_time">#REF!</definedName>
    <definedName name="Run_TOC_Switch" hidden="1">#REF!</definedName>
    <definedName name="ruufo" localSheetId="3" hidden="1">{"detail",#N/A,FALSE,"mfg";"summary",#N/A,FALSE,"mfg"}</definedName>
    <definedName name="ruufo" hidden="1">{"detail",#N/A,FALSE,"mfg";"summary",#N/A,FALSE,"mfg"}</definedName>
    <definedName name="rv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localSheetId="3" hidden="1">{"TEXO2N2_VOL",#N/A,FALSE,"MTHLYVOL";"TEXH2_VOL",#N/A,FALSE,"MTHLYVOL";"LOUIS_VOL",#N/A,FALSE,"MTHLYVOL";"H2_VOL",#N/A,FALSE,"MTHLYVOL";"O2N2_VOL",#N/A,FALSE,"MTHLYVOL";"PACKAGE_VOL",#N/A,FALSE,"MTHLYVOL"}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localSheetId="3" hidden="1">{#N/A,#N/A,FALSE,"Pharm";#N/A,#N/A,FALSE,"WWCM"}</definedName>
    <definedName name="rwert" hidden="1">{#N/A,#N/A,FALSE,"Pharm";#N/A,#N/A,FALSE,"WWCM"}</definedName>
    <definedName name="rwert_1" localSheetId="3" hidden="1">{#N/A,#N/A,FALSE,"Pharm";#N/A,#N/A,FALSE,"WWCM"}</definedName>
    <definedName name="rwert_1" hidden="1">{#N/A,#N/A,FALSE,"Pharm";#N/A,#N/A,FALSE,"WWCM"}</definedName>
    <definedName name="rwert_2" localSheetId="3" hidden="1">{#N/A,#N/A,FALSE,"Pharm";#N/A,#N/A,FALSE,"WWCM"}</definedName>
    <definedName name="rwert_2" hidden="1">{#N/A,#N/A,FALSE,"Pharm";#N/A,#N/A,FALSE,"WWCM"}</definedName>
    <definedName name="rwert_3" localSheetId="3" hidden="1">{#N/A,#N/A,FALSE,"Pharm";#N/A,#N/A,FALSE,"WWCM"}</definedName>
    <definedName name="rwert_3" hidden="1">{#N/A,#N/A,FALSE,"Pharm";#N/A,#N/A,FALSE,"WWCM"}</definedName>
    <definedName name="rwert_4" localSheetId="3" hidden="1">{#N/A,#N/A,FALSE,"Pharm";#N/A,#N/A,FALSE,"WWCM"}</definedName>
    <definedName name="rwert_4" hidden="1">{#N/A,#N/A,FALSE,"Pharm";#N/A,#N/A,FALSE,"WWCM"}</definedName>
    <definedName name="rwerwr" localSheetId="3">{"'NPCGUIDELINES'!$A$1:$J$41"}</definedName>
    <definedName name="rwerwr">{"'NPCGUIDELINES'!$A$1:$J$41"}</definedName>
    <definedName name="rwew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localSheetId="3" hidden="1">{#N/A,#N/A,FALSE,"PGW"}</definedName>
    <definedName name="rwh" hidden="1">{#N/A,#N/A,FALSE,"PGW"}</definedName>
    <definedName name="rwhwr" localSheetId="3" hidden="1">{#N/A,#N/A,FALSE,"PGW"}</definedName>
    <definedName name="rwhwr" hidden="1">{#N/A,#N/A,FALSE,"PGW"}</definedName>
    <definedName name="rwsz" localSheetId="3" hidden="1">{"Commentary",#N/A,FALSE,"May"}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localSheetId="3" hidden="1">{"TXO2N2_SLS",#N/A,FALSE,"MTHLYSLES";"TXH2_SLS",#N/A,FALSE,"MTHLYSLES";"LOUIS_SLS",#N/A,FALSE,"MTHLYSLES";"H2_SLS",#N/A,FALSE,"MTHLYSLES";"O2N2_SLS",#N/A,FALSE,"MTHLYSLES";"PACKAGE_SLS",#N/A,FALSE,"MTHLYSLES"}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 localSheetId="3">{"'1-TheatreBkgs'!$A$1:$L$102"}</definedName>
    <definedName name="rwyt">{"'1-TheatreBkgs'!$A$1:$L$102"}</definedName>
    <definedName name="rwytt" localSheetId="3">{"'1-TheatreBkgs'!$A$1:$L$102"}</definedName>
    <definedName name="rwytt">{"'1-TheatreBkgs'!$A$1:$L$102"}</definedName>
    <definedName name="rwytwr" localSheetId="3">{"'1-TheatreBkgs'!$A$1:$L$102"}</definedName>
    <definedName name="rwytwr">{"'1-TheatreBkgs'!$A$1:$L$102"}</definedName>
    <definedName name="rwyty" localSheetId="3">{"'1-TheatreBkgs'!$A$1:$L$102"}</definedName>
    <definedName name="rwyty">{"'1-TheatreBkgs'!$A$1:$L$102"}</definedName>
    <definedName name="rwytyt" localSheetId="3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localSheetId="3" hidden="1">{"Month Summary",#N/A,FALSE,"Summary";"Total Details",#N/A,FALSE,"Current Yr";"Polymers Details",#N/A,FALSE,"Current Yr";"Performance Details",#N/A,FALSE,"Current Yr";"ICD Details",#N/A,FALSE,"Current Yr"}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 localSheetId="3">{"'1-TheatreBkgs'!$A$1:$L$102"}</definedName>
    <definedName name="ryir">{"'1-TheatreBkgs'!$A$1:$L$102"}</definedName>
    <definedName name="ryiuyriu" localSheetId="3">{"'1-TheatreBkgs'!$A$1:$L$102"}</definedName>
    <definedName name="ryiuyriu">{"'1-TheatreBkgs'!$A$1:$L$102"}</definedName>
    <definedName name="RYKITIUY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 localSheetId="3">{"'1-TheatreBkgs'!$A$1:$L$102"}</definedName>
    <definedName name="ryt">{"'1-TheatreBkgs'!$A$1:$L$102"}</definedName>
    <definedName name="RYUKRYU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 localSheetId="4">'[90]Page 300'!$B$3</definedName>
    <definedName name="s" localSheetId="3">{"'NPCGUIDELINES'!$A$1:$J$41"}</definedName>
    <definedName name="s">{"'NPCGUIDELINES'!$A$1:$J$41"}</definedName>
    <definedName name="s.sss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localSheetId="4" hidden="1">{"Outflow 1",#N/A,FALSE,"Outflows-Inflows";"Outflow 2",#N/A,FALSE,"Outflows-Inflows";"Inflow 1",#N/A,FALSE,"Outflows-Inflows";"Inflow 2",#N/A,FALSE,"Outflows-Inflows"}</definedName>
    <definedName name="s_1" localSheetId="3" hidden="1">{"Outflow 1",#N/A,FALSE,"Outflows-Inflows";"Outflow 2",#N/A,FALSE,"Outflows-Inflows";"Inflow 1",#N/A,FALSE,"Outflows-Inflows";"Inflow 2",#N/A,FALSE,"Outflows-Inflows"}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'[48]GL-PC'!#REF!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 localSheetId="4" hidden="1">{"rtn",#N/A,FALSE,"RTN";"tables",#N/A,FALSE,"RTN";"cf",#N/A,FALSE,"CF";"stats",#N/A,FALSE,"Stats";"prop",#N/A,FALSE,"Prop"}</definedName>
    <definedName name="saa">41083.7121412037</definedName>
    <definedName name="saa_1" localSheetId="4" hidden="1">{"rtn",#N/A,FALSE,"RTN";"tables",#N/A,FALSE,"RTN";"cf",#N/A,FALSE,"CF";"stats",#N/A,FALSE,"Stats";"prop",#N/A,FALSE,"Prop"}</definedName>
    <definedName name="saa_1" localSheetId="3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 localSheetId="3">{"DCF","UPSIDE CASE",FALSE,"Sheet1";"DCF","BASE CASE",FALSE,"Sheet1";"DCF","DOWNSIDE CASE",FALSE,"Sheet1"}</definedName>
    <definedName name="sadd">{"DCF","UPSIDE CASE",FALSE,"Sheet1";"DCF","BASE CASE",FALSE,"Sheet1";"DCF","DOWNSIDE CASE",FALSE,"Sheet1"}</definedName>
    <definedName name="saddadasdadas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localSheetId="3" hidden="1">{"incomemth",#N/A,TRUE,"forecast00";"incomepercentmth",#N/A,TRUE,"forecast00";"balancemth",#N/A,TRUE,"forecast00";"cashmth",#N/A,TRUE,"forecast00";"covenantmth",#N/A,TRUE,"forecast00"}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localSheetId="3" hidden="1">{"'Trend_Total'!$A$7:$V$10","'Trend_Total'!$A$1:$V$4"}</definedName>
    <definedName name="sadfds" hidden="1">{"'Trend_Total'!$A$7:$V$10","'Trend_Total'!$A$1:$V$4"}</definedName>
    <definedName name="sadgtdrt" localSheetId="3" hidden="1">{#N/A,#N/A,FALSE,"PMTABB";#N/A,#N/A,FALSE,"PMTABB"}</definedName>
    <definedName name="sadgtdrt" hidden="1">{#N/A,#N/A,FALSE,"PMTABB";#N/A,#N/A,FALSE,"PMTABB"}</definedName>
    <definedName name="sadoio" localSheetId="3">{"'NPCGUIDELINES'!$A$1:$J$41"}</definedName>
    <definedName name="sadoio">{"'NPCGUIDELINES'!$A$1:$J$41"}</definedName>
    <definedName name="sads" hidden="1">#REF!</definedName>
    <definedName name="saf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localSheetId="3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localSheetId="3" hidden="1">{#N/A,#N/A,FALSE,"Aging Summary";#N/A,#N/A,FALSE,"Ratio Analysis";#N/A,#N/A,FALSE,"Test 120 Day Accts";#N/A,#N/A,FALSE,"Tickmarks"}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'[48]GL-PC'!#REF!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 localSheetId="4">[95]consolidation!#REF!</definedName>
    <definedName name="SALES">#REF!</definedName>
    <definedName name="Sales___Administration_Expenses">#REF!</definedName>
    <definedName name="Sales___Marketiong_professional_service">'[48]GL-PC'!#REF!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localSheetId="3" hidden="1">{#N/A,#N/A,FALSE,"CMN_FE"}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 localSheetId="4">[18]Sensetivities!#REF!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 localSheetId="4">[18]Sensetivities!#REF!</definedName>
    <definedName name="sales3">#REF!</definedName>
    <definedName name="sales3_hc">#REF!</definedName>
    <definedName name="sales30">#REF!</definedName>
    <definedName name="sales4" localSheetId="4">[18]Sensetivities!#REF!</definedName>
    <definedName name="sales4">#REF!</definedName>
    <definedName name="SalesData">#REF!</definedName>
    <definedName name="salesebitda" localSheetId="4">[18]Model!#REF!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localSheetId="3" hidden="1">{"detail",#N/A,FALSE,"mfg";"summary",#N/A,FALSE,"mfg"}</definedName>
    <definedName name="Salespp" hidden="1">{"detail",#N/A,FALSE,"mfg";"summary",#N/A,FALSE,"mfg"}</definedName>
    <definedName name="Salesqtrallergy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localSheetId="3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localSheetId="3" hidden="1">{#N/A,#N/A,FALSE,"Pharm";#N/A,#N/A,FALSE,"WWCM"}</definedName>
    <definedName name="sally" hidden="1">{#N/A,#N/A,FALSE,"Pharm";#N/A,#N/A,FALSE,"WWCM"}</definedName>
    <definedName name="sally_1" localSheetId="3" hidden="1">{#N/A,#N/A,FALSE,"Pharm";#N/A,#N/A,FALSE,"WWCM"}</definedName>
    <definedName name="sally_1" hidden="1">{#N/A,#N/A,FALSE,"Pharm";#N/A,#N/A,FALSE,"WWCM"}</definedName>
    <definedName name="sally_2" localSheetId="3" hidden="1">{#N/A,#N/A,FALSE,"Pharm";#N/A,#N/A,FALSE,"WWCM"}</definedName>
    <definedName name="sally_2" hidden="1">{#N/A,#N/A,FALSE,"Pharm";#N/A,#N/A,FALSE,"WWCM"}</definedName>
    <definedName name="sally_3" localSheetId="3" hidden="1">{#N/A,#N/A,FALSE,"Pharm";#N/A,#N/A,FALSE,"WWCM"}</definedName>
    <definedName name="sally_3" hidden="1">{#N/A,#N/A,FALSE,"Pharm";#N/A,#N/A,FALSE,"WWCM"}</definedName>
    <definedName name="sally_4" localSheetId="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 localSheetId="4" hidden="1">2</definedName>
    <definedName name="SAPBEXhrIndnt">1</definedName>
    <definedName name="SAPBEXrevision" localSheetId="4" hidden="1">1</definedName>
    <definedName name="SAPBEXrevision">2</definedName>
    <definedName name="SAPBEXsysID" localSheetId="4" hidden="1">"MLB"</definedName>
    <definedName name="SAPBEXsysID">"BWP"</definedName>
    <definedName name="SAPBEXwbID" localSheetId="4" hidden="1">"3LDMR45EAITNEBZIEMP8UE9D4"</definedName>
    <definedName name="SAPBEXwbID">"3ONVMAG3B0FHSVRJCC7H9XQP8"</definedName>
    <definedName name="SAPFuncF4Help" localSheetId="3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localSheetId="3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localSheetId="3" hidden="1">{#N/A,#N/A,TRUE,"10 Yr Hold";#N/A,#N/A,TRUE,"7 Yr Hold";#N/A,#N/A,TRUE,"5 Yr Hold";#N/A,#N/A,TRUE,"3 Yr Hold"}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localSheetId="3" hidden="1">{#N/A,#N/A,FALSE,"PGW"}</definedName>
    <definedName name="saryder" hidden="1">{#N/A,#N/A,FALSE,"PGW"}</definedName>
    <definedName name="sas" localSheetId="4" hidden="1">{"Outflow 1",#N/A,FALSE,"Outflows-Inflows";"Outflow 2",#N/A,FALSE,"Outflows-Inflows";"Inflow 1",#N/A,FALSE,"Outflows-Inflows";"Inflow 2",#N/A,FALSE,"Outflows-Inflows"}</definedName>
    <definedName name="sas" localSheetId="3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s_1" localSheetId="4" hidden="1">{"Outflow 1",#N/A,FALSE,"Outflows-Inflows";"Outflow 2",#N/A,FALSE,"Outflows-Inflows";"Inflow 1",#N/A,FALSE,"Outflows-Inflows";"Inflow 2",#N/A,FALSE,"Outflows-Inflows"}</definedName>
    <definedName name="sas_1" localSheetId="3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 localSheetId="3">{"'NPCGUIDELINES'!$A$1:$J$41"}</definedName>
    <definedName name="sasa">{"'NPCGUIDELINES'!$A$1:$J$41"}</definedName>
    <definedName name="sasd" localSheetId="3" hidden="1">{#N/A,#N/A,FALSE,"Status of Projects";#N/A,#N/A,FALSE,"CEA-TEC";#N/A,#N/A,FALSE,"U-Constr.";#N/A,#N/A,FALSE,"summary";#N/A,#N/A,FALSE,"PPP-3 yrs"}</definedName>
    <definedName name="sasd" hidden="1">{#N/A,#N/A,FALSE,"Status of Projects";#N/A,#N/A,FALSE,"CEA-TEC";#N/A,#N/A,FALSE,"U-Constr.";#N/A,#N/A,FALSE,"summary";#N/A,#N/A,FALSE,"PPP-3 yrs"}</definedName>
    <definedName name="sasdetwerterte" localSheetId="3" hidden="1">{#N/A,#N/A,FALSE,"PMTABB";#N/A,#N/A,FALSE,"PMTABB"}</definedName>
    <definedName name="sasdetwerterte" hidden="1">{#N/A,#N/A,FALSE,"PMTABB";#N/A,#N/A,FALSE,"PMTABB"}</definedName>
    <definedName name="sash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localSheetId="3" hidden="1">{"Flash Result",#N/A,FALSE,"Flash Result"}</definedName>
    <definedName name="Sato" hidden="1">{"Flash Result",#N/A,FALSE,"Flash Result"}</definedName>
    <definedName name="Satoh" localSheetId="3" hidden="1">{"Summ",#N/A,FALSE,"Summary";"PL",#N/A,FALSE,"PL";"BS",#N/A,FALSE,"BS";"Varrep1",#N/A,FALSE,"Var Rep";"CashFl",#N/A,FALSE,"CashFlow";"Varrep2",#N/A,FALSE,"Var Rep";"Invent",#N/A,FALSE,"Invent"}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localSheetId="3" hidden="1">{#N/A,#N/A,TRUE,"MAIN FT TERM";#N/A,#N/A,TRUE,"MCI  FT TERM ";#N/A,#N/A,TRUE,"OC12 EQV"}</definedName>
    <definedName name="SAWTELL" hidden="1">{#N/A,#N/A,TRUE,"MAIN FT TERM";#N/A,#N/A,TRUE,"MCI  FT TERM ";#N/A,#N/A,TRUE,"OC12 EQV"}</definedName>
    <definedName name="sb" localSheetId="3" hidden="1">{"bs",#N/A,FALSE,"SCF"}</definedName>
    <definedName name="sb" hidden="1">{"bs",#N/A,FALSE,"SCF"}</definedName>
    <definedName name="SBEName">#REF!</definedName>
    <definedName name="SB세부내역" localSheetId="3" hidden="1">{#N/A,#N/A,FALSE,"3가";#N/A,#N/A,FALSE,"3나";#N/A,#N/A,FALSE,"3다"}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localSheetId="3" hidden="1">{"Page1",#N/A,FALSE,"CompCo";"Page2",#N/A,FALSE,"CompCo"}</definedName>
    <definedName name="Scanner" hidden="1">{"Page1",#N/A,FALSE,"CompCo";"Page2",#N/A,FALSE,"CompCo"}</definedName>
    <definedName name="scen">#REF!</definedName>
    <definedName name="scen_switch">#REF!</definedName>
    <definedName name="scenario" localSheetId="3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'[48]GL-PC'!#REF!</definedName>
    <definedName name="score" localSheetId="3" hidden="1">{"detail",#N/A,FALSE,"mfg";"summary",#N/A,FALSE,"mfg"}</definedName>
    <definedName name="score" hidden="1">{"detail",#N/A,FALSE,"mfg";"summary",#N/A,FALSE,"mfg"}</definedName>
    <definedName name="scorecardfy00" localSheetId="3" hidden="1">{"Comp_of_Price_Effect",#N/A,FALSE,"QTRDPVAR"}</definedName>
    <definedName name="scorecardfy00" hidden="1">{"Comp_of_Price_Effect",#N/A,FALSE,"QTRDPVAR"}</definedName>
    <definedName name="scot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localSheetId="3" hidden="1">{"'subnets'!$A$1:$F$20"}</definedName>
    <definedName name="SCRAP" hidden="1">{"'subnets'!$A$1:$F$20"}</definedName>
    <definedName name="sd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localSheetId="3" hidden="1">{#N/A,#N/A,FALSE,"Pharm";#N/A,#N/A,FALSE,"WWCM"}</definedName>
    <definedName name="SD_1" hidden="1">{#N/A,#N/A,FALSE,"Pharm";#N/A,#N/A,FALSE,"WWCM"}</definedName>
    <definedName name="SD_2" localSheetId="3" hidden="1">{#N/A,#N/A,FALSE,"Pharm";#N/A,#N/A,FALSE,"WWCM"}</definedName>
    <definedName name="SD_2" hidden="1">{#N/A,#N/A,FALSE,"Pharm";#N/A,#N/A,FALSE,"WWCM"}</definedName>
    <definedName name="SD_3" localSheetId="3" hidden="1">{#N/A,#N/A,FALSE,"Pharm";#N/A,#N/A,FALSE,"WWCM"}</definedName>
    <definedName name="SD_3" hidden="1">{#N/A,#N/A,FALSE,"Pharm";#N/A,#N/A,FALSE,"WWCM"}</definedName>
    <definedName name="SD_4" localSheetId="3" hidden="1">{#N/A,#N/A,FALSE,"Pharm";#N/A,#N/A,FALSE,"WWCM"}</definedName>
    <definedName name="SD_4" hidden="1">{#N/A,#N/A,FALSE,"Pharm";#N/A,#N/A,FALSE,"WWCM"}</definedName>
    <definedName name="sda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 localSheetId="3">{"'NPCGUIDELINES'!$A$1:$J$41"}</definedName>
    <definedName name="sdadd">{"'NPCGUIDELINES'!$A$1:$J$41"}</definedName>
    <definedName name="sdaf" localSheetId="3" hidden="1">{#N/A,#N/A,FALSE,"P&amp;L";#N/A,#N/A,FALSE,"BalSheet";#N/A,#N/A,FALSE,"EBITDA";#N/A,#N/A,FALSE,"Assumptions";#N/A,#N/A,FALSE,"CashFlows"}</definedName>
    <definedName name="sdaf" hidden="1">{#N/A,#N/A,FALSE,"P&amp;L";#N/A,#N/A,FALSE,"BalSheet";#N/A,#N/A,FALSE,"EBITDA";#N/A,#N/A,FALSE,"Assumptions";#N/A,#N/A,FALSE,"CashFlows"}</definedName>
    <definedName name="sdafgs" localSheetId="3" hidden="1">{#N/A,#N/A,FALSE,"Pharm";#N/A,#N/A,FALSE,"WWCM"}</definedName>
    <definedName name="sdafgs" hidden="1">{#N/A,#N/A,FALSE,"Pharm";#N/A,#N/A,FALSE,"WWCM"}</definedName>
    <definedName name="sdafgs_1" localSheetId="3" hidden="1">{#N/A,#N/A,FALSE,"Pharm";#N/A,#N/A,FALSE,"WWCM"}</definedName>
    <definedName name="sdafgs_1" hidden="1">{#N/A,#N/A,FALSE,"Pharm";#N/A,#N/A,FALSE,"WWCM"}</definedName>
    <definedName name="sdafgs_2" localSheetId="3" hidden="1">{#N/A,#N/A,FALSE,"Pharm";#N/A,#N/A,FALSE,"WWCM"}</definedName>
    <definedName name="sdafgs_2" hidden="1">{#N/A,#N/A,FALSE,"Pharm";#N/A,#N/A,FALSE,"WWCM"}</definedName>
    <definedName name="sdafgs_3" localSheetId="3" hidden="1">{#N/A,#N/A,FALSE,"Pharm";#N/A,#N/A,FALSE,"WWCM"}</definedName>
    <definedName name="sdafgs_3" hidden="1">{#N/A,#N/A,FALSE,"Pharm";#N/A,#N/A,FALSE,"WWCM"}</definedName>
    <definedName name="sdafgs_4" localSheetId="3" hidden="1">{#N/A,#N/A,FALSE,"Pharm";#N/A,#N/A,FALSE,"WWCM"}</definedName>
    <definedName name="sdafgs_4" hidden="1">{#N/A,#N/A,FALSE,"Pharm";#N/A,#N/A,FALSE,"WWCM"}</definedName>
    <definedName name="sdafsdfzSDfasdf" localSheetId="3" hidden="1">{#N/A,#N/A,FALSE,"Sheet1"}</definedName>
    <definedName name="sdafsdfzSDfasdf" hidden="1">{#N/A,#N/A,FALSE,"Sheet1"}</definedName>
    <definedName name="sdas" localSheetId="3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d" localSheetId="3">{"EVA",#N/A,FALSE,"EVA";"WACC",#N/A,FALSE,"WACC"}</definedName>
    <definedName name="sdasd">{"EVA",#N/A,FALSE,"EVA";"WACC",#N/A,FALSE,"WACC"}</definedName>
    <definedName name="sdbbsdkbfgbsdk.fj" localSheetId="3" hidden="1">{#N/A,#N/A,FALSE,"PMTABB";#N/A,#N/A,FALSE,"PMTABB"}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localSheetId="3" hidden="1">{#N/A,#N/A,TRUE,"Cover";#N/A,#N/A,TRUE,"Header (eu)";#N/A,#N/A,TRUE,"Region Charts";#N/A,#N/A,TRUE,"T&amp;O By Region";#N/A,#N/A,TRUE,"AD Report"}</definedName>
    <definedName name="sdD" hidden="1">{#N/A,#N/A,TRUE,"Cover";#N/A,#N/A,TRUE,"Header (eu)";#N/A,#N/A,TRUE,"Region Charts";#N/A,#N/A,TRUE,"T&amp;O By Region";#N/A,#N/A,TRUE,"AD Report"}</definedName>
    <definedName name="sddd" localSheetId="3" hidden="1">{"bs",#N/A,FALSE,"SCF"}</definedName>
    <definedName name="sddd" hidden="1">{"bs",#N/A,FALSE,"SCF"}</definedName>
    <definedName name="sdddd" localSheetId="3" hidden="1">{#N/A,#N/A,FALSE,"Créances";#N/A,#N/A,FALSE,"Effectifs";#N/A,#N/A,FALSE,"SI"}</definedName>
    <definedName name="sdddd" hidden="1">{#N/A,#N/A,FALSE,"Créances";#N/A,#N/A,FALSE,"Effectifs";#N/A,#N/A,FALSE,"SI"}</definedName>
    <definedName name="sdes" localSheetId="3" hidden="1">{"PACKAGE",#N/A,FALSE,"CM"}</definedName>
    <definedName name="sdes" hidden="1">{"PACKAGE",#N/A,FALSE,"CM"}</definedName>
    <definedName name="sdf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localSheetId="3" hidden="1">{#N/A,#N/A,FALSE,"FREE"}</definedName>
    <definedName name="sdfag" hidden="1">{#N/A,#N/A,FALSE,"FREE"}</definedName>
    <definedName name="sdfasdfas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localSheetId="4" hidden="1">{"Outflow 1",#N/A,FALSE,"Outflows-Inflows";"Outflow 2",#N/A,FALSE,"Outflows-Inflows";"Inflow 1",#N/A,FALSE,"Outflows-Inflows";"Inflow 2",#N/A,FALSE,"Outflows-Inflows"}</definedName>
    <definedName name="sdfass" localSheetId="3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ass_1" localSheetId="4" hidden="1">{"Outflow 1",#N/A,FALSE,"Outflows-Inflows";"Outflow 2",#N/A,FALSE,"Outflows-Inflows";"Inflow 1",#N/A,FALSE,"Outflows-Inflows";"Inflow 2",#N/A,FALSE,"Outflows-Inflows"}</definedName>
    <definedName name="sdfass_1" localSheetId="3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localSheetId="3" hidden="1">{#N/A,#N/A,FALSE,"KA CH  (2)"}</definedName>
    <definedName name="sdfdsf" hidden="1">{#N/A,#N/A,FALSE,"KA CH  (2)"}</definedName>
    <definedName name="sdfdsfsdfsdfsdfsdf" localSheetId="3" hidden="1">{"' calendrier 2000'!$A$1:$Q$38"}</definedName>
    <definedName name="sdfdsfsdfsdfsdfsdf" hidden="1">{"' calendrier 2000'!$A$1:$Q$38"}</definedName>
    <definedName name="sdfg" localSheetId="3" hidden="1">{#N/A,#N/A,FALSE,"Sheet1"}</definedName>
    <definedName name="sdfg" hidden="1">{#N/A,#N/A,FALSE,"Sheet1"}</definedName>
    <definedName name="sdfg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localSheetId="3" hidden="1">{#N/A,#N/A,FALSE,"Pharm";#N/A,#N/A,FALSE,"WWCM"}</definedName>
    <definedName name="sdfh" hidden="1">{#N/A,#N/A,FALSE,"Pharm";#N/A,#N/A,FALSE,"WWCM"}</definedName>
    <definedName name="sdfh_1" localSheetId="3" hidden="1">{#N/A,#N/A,FALSE,"Pharm";#N/A,#N/A,FALSE,"WWCM"}</definedName>
    <definedName name="sdfh_1" hidden="1">{#N/A,#N/A,FALSE,"Pharm";#N/A,#N/A,FALSE,"WWCM"}</definedName>
    <definedName name="sdfh_2" localSheetId="3" hidden="1">{#N/A,#N/A,FALSE,"Pharm";#N/A,#N/A,FALSE,"WWCM"}</definedName>
    <definedName name="sdfh_2" hidden="1">{#N/A,#N/A,FALSE,"Pharm";#N/A,#N/A,FALSE,"WWCM"}</definedName>
    <definedName name="sdfh_3" localSheetId="3" hidden="1">{#N/A,#N/A,FALSE,"Pharm";#N/A,#N/A,FALSE,"WWCM"}</definedName>
    <definedName name="sdfh_3" hidden="1">{#N/A,#N/A,FALSE,"Pharm";#N/A,#N/A,FALSE,"WWCM"}</definedName>
    <definedName name="sdfh_4" localSheetId="3" hidden="1">{#N/A,#N/A,FALSE,"Pharm";#N/A,#N/A,FALSE,"WWCM"}</definedName>
    <definedName name="sdfh_4" hidden="1">{#N/A,#N/A,FALSE,"Pharm";#N/A,#N/A,FALSE,"WWCM"}</definedName>
    <definedName name="SDFHG" localSheetId="3" hidden="1">{"Agg Output",#N/A,FALSE,"Operational Drivers Output";"NW Output",#N/A,FALSE,"Operational Drivers Output";"South Output",#N/A,FALSE,"Operational Drivers Output";"Central Output",#N/A,FALSE,"Operational Drivers Output"}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localSheetId="3" hidden="1">{"SchG1",#N/A,FALSE,"Schedules";"SchG2",#N/A,FALSE,"Schedules"}</definedName>
    <definedName name="sdfs" hidden="1">{"SchG1",#N/A,FALSE,"Schedules";"SchG2",#N/A,FALSE,"Schedules"}</definedName>
    <definedName name="sdfsaf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localSheetId="3" hidden="1">{#N/A,#N/A,FALSE,"Créances";#N/A,#N/A,FALSE,"Effectifs";#N/A,#N/A,FALSE,"SI"}</definedName>
    <definedName name="sdfsddsf" hidden="1">{#N/A,#N/A,FALSE,"Créances";#N/A,#N/A,FALSE,"Effectifs";#N/A,#N/A,FALSE,"SI"}</definedName>
    <definedName name="sdfsdf" localSheetId="3" hidden="1">{#N/A,#N/A,FALSE,"Créances";#N/A,#N/A,FALSE,"Effectifs";#N/A,#N/A,FALSE,"SI"}</definedName>
    <definedName name="sdfsdf" hidden="1">{#N/A,#N/A,FALSE,"Créances";#N/A,#N/A,FALSE,"Effectifs";#N/A,#N/A,FALSE,"SI"}</definedName>
    <definedName name="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localSheetId="3" hidden="1">{#N/A,#N/A,FALSE,"PMTABB";#N/A,#N/A,FALSE,"PMTABB"}</definedName>
    <definedName name="sdfsdfsdfs" hidden="1">{#N/A,#N/A,FALSE,"PMTABB";#N/A,#N/A,FALSE,"PMTABB"}</definedName>
    <definedName name="sdfskdfskdf" localSheetId="3" hidden="1">{#N/A,#N/A,FALSE,"TOWNSHIP"}</definedName>
    <definedName name="sdfskdfskdf" hidden="1">{#N/A,#N/A,FALSE,"TOWNSHIP"}</definedName>
    <definedName name="sdft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localSheetId="3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">{"'All AERs-2000-2001'!$A$5:$K$39"}</definedName>
    <definedName name="sdg">{"'All AERs-2000-2001'!$A$5:$K$39"}</definedName>
    <definedName name="sdgagf" localSheetId="3" hidden="1">{#N/A,#N/A,FALSE,"Pharm";#N/A,#N/A,FALSE,"WWCM"}</definedName>
    <definedName name="sdgagf" hidden="1">{#N/A,#N/A,FALSE,"Pharm";#N/A,#N/A,FALSE,"WWCM"}</definedName>
    <definedName name="sdgagf_1" localSheetId="3" hidden="1">{#N/A,#N/A,FALSE,"Pharm";#N/A,#N/A,FALSE,"WWCM"}</definedName>
    <definedName name="sdgagf_1" hidden="1">{#N/A,#N/A,FALSE,"Pharm";#N/A,#N/A,FALSE,"WWCM"}</definedName>
    <definedName name="sdgagf_2" localSheetId="3" hidden="1">{#N/A,#N/A,FALSE,"Pharm";#N/A,#N/A,FALSE,"WWCM"}</definedName>
    <definedName name="sdgagf_2" hidden="1">{#N/A,#N/A,FALSE,"Pharm";#N/A,#N/A,FALSE,"WWCM"}</definedName>
    <definedName name="sdgagf_3" localSheetId="3" hidden="1">{#N/A,#N/A,FALSE,"Pharm";#N/A,#N/A,FALSE,"WWCM"}</definedName>
    <definedName name="sdgagf_3" hidden="1">{#N/A,#N/A,FALSE,"Pharm";#N/A,#N/A,FALSE,"WWCM"}</definedName>
    <definedName name="sdgagf_4" localSheetId="3" hidden="1">{#N/A,#N/A,FALSE,"Pharm";#N/A,#N/A,FALSE,"WWCM"}</definedName>
    <definedName name="sdgagf_4" hidden="1">{#N/A,#N/A,FALSE,"Pharm";#N/A,#N/A,FALSE,"WWCM"}</definedName>
    <definedName name="sdgh" localSheetId="3" hidden="1">{"qty and inventory value",#N/A,FALSE,"MPartners";"general ledger entries",#N/A,FALSE,"MPartners"}</definedName>
    <definedName name="sdgh" hidden="1">{"qty and inventory value",#N/A,FALSE,"MPartners";"general ledger entries",#N/A,FALSE,"MPartners"}</definedName>
    <definedName name="sdghgfr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localSheetId="3" hidden="1">{#N/A,#N/A,FALSE,"Balance Sheet";#N/A,#N/A,FALSE,"Income Statement";#N/A,#N/A,FALSE,"Changes in Financial Position"}</definedName>
    <definedName name="sdhdhfdfhh" hidden="1">{#N/A,#N/A,FALSE,"Balance Sheet";#N/A,#N/A,FALSE,"Income Statement";#N/A,#N/A,FALSE,"Changes in Financial Position"}</definedName>
    <definedName name="sdkasdka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localSheetId="3" hidden="1">{#N/A,#N/A,FALSE,"FREE"}</definedName>
    <definedName name="sdrf" hidden="1">{#N/A,#N/A,FALSE,"FREE"}</definedName>
    <definedName name="sds" hidden="1">#REF!</definedName>
    <definedName name="sdsadasd" localSheetId="3" hidden="1">{#N/A,#N/A,FALSE,"Pharm";#N/A,#N/A,FALSE,"WWCM"}</definedName>
    <definedName name="sdsadasd" hidden="1">{#N/A,#N/A,FALSE,"Pharm";#N/A,#N/A,FALSE,"WWCM"}</definedName>
    <definedName name="sdsadasd_1" localSheetId="3" hidden="1">{#N/A,#N/A,FALSE,"Pharm";#N/A,#N/A,FALSE,"WWCM"}</definedName>
    <definedName name="sdsadasd_1" hidden="1">{#N/A,#N/A,FALSE,"Pharm";#N/A,#N/A,FALSE,"WWCM"}</definedName>
    <definedName name="sdsadasd_2" localSheetId="3" hidden="1">{#N/A,#N/A,FALSE,"Pharm";#N/A,#N/A,FALSE,"WWCM"}</definedName>
    <definedName name="sdsadasd_2" hidden="1">{#N/A,#N/A,FALSE,"Pharm";#N/A,#N/A,FALSE,"WWCM"}</definedName>
    <definedName name="sdsadasd_3" localSheetId="3" hidden="1">{#N/A,#N/A,FALSE,"Pharm";#N/A,#N/A,FALSE,"WWCM"}</definedName>
    <definedName name="sdsadasd_3" hidden="1">{#N/A,#N/A,FALSE,"Pharm";#N/A,#N/A,FALSE,"WWCM"}</definedName>
    <definedName name="sdsadasd_4" localSheetId="3" hidden="1">{#N/A,#N/A,FALSE,"Pharm";#N/A,#N/A,FALSE,"WWCM"}</definedName>
    <definedName name="sdsadasd_4" hidden="1">{#N/A,#N/A,FALSE,"Pharm";#N/A,#N/A,FALSE,"WWCM"}</definedName>
    <definedName name="sdsd" localSheetId="3" hidden="1">{#N/A,#N/A,FALSE,"REPORT"}</definedName>
    <definedName name="sdsd" hidden="1">{#N/A,#N/A,FALSE,"REPORT"}</definedName>
    <definedName name="sdsd_1" localSheetId="3" hidden="1">{#N/A,#N/A,FALSE,"REPORT"}</definedName>
    <definedName name="sdsd_1" hidden="1">{#N/A,#N/A,FALSE,"REPORT"}</definedName>
    <definedName name="sdsd_2" localSheetId="3" hidden="1">{#N/A,#N/A,FALSE,"REPORT"}</definedName>
    <definedName name="sdsd_2" hidden="1">{#N/A,#N/A,FALSE,"REPORT"}</definedName>
    <definedName name="sdsd_3" localSheetId="3" hidden="1">{#N/A,#N/A,FALSE,"REPORT"}</definedName>
    <definedName name="sdsd_3" hidden="1">{#N/A,#N/A,FALSE,"REPORT"}</definedName>
    <definedName name="sdsd_4" localSheetId="3" hidden="1">{#N/A,#N/A,FALSE,"REPORT"}</definedName>
    <definedName name="sdsd_4" hidden="1">{#N/A,#N/A,FALSE,"REPORT"}</definedName>
    <definedName name="sdsdfsdfsdf" localSheetId="3" hidden="1">{#N/A,#N/A,FALSE,"Créances";#N/A,#N/A,FALSE,"Effectifs";#N/A,#N/A,FALSE,"SI"}</definedName>
    <definedName name="sdsdfsdfsdf" hidden="1">{#N/A,#N/A,FALSE,"Créances";#N/A,#N/A,FALSE,"Effectifs";#N/A,#N/A,FALSE,"SI"}</definedName>
    <definedName name="sdsdksdks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localSheetId="3" hidden="1">{"PR1","pr1",TRUE,"Sch PR-1"}</definedName>
    <definedName name="sdsds" hidden="1">{"PR1","pr1",TRUE,"Sch PR-1"}</definedName>
    <definedName name="sdsjdsjd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localSheetId="3" hidden="1">{#N/A,#N/A,FALSE,"ALM-ASISC"}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localSheetId="3" hidden="1">{"oct_res_comm",#N/A,FALSE,"VarToBud"}</definedName>
    <definedName name="sea" hidden="1">{"oct_res_comm",#N/A,FALSE,"VarToBud"}</definedName>
    <definedName name="SearchTable">#REF!</definedName>
    <definedName name="Seasonality" localSheetId="4">[84]Seasonalization!$A$6:$A$29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e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localSheetId="3" hidden="1">{"LBO Summary",#N/A,FALSE,"Summary"}</definedName>
    <definedName name="Seg_LBO_Summ" hidden="1">{"LBO Summary",#N/A,FALSE,"Summary"}</definedName>
    <definedName name="segfsdvgfsd" localSheetId="3">{"page1",#N/A,FALSE,"BHCOMPC5";"page2",#N/A,FALSE,"BHCOMPC5";"page3",#N/A,FALSE,"BHCOMPC5";"page4",#N/A,FALSE,"BHCOMPC5"}</definedName>
    <definedName name="segfsdvgfsd">{"page1",#N/A,FALSE,"BHCOMPC5";"page2",#N/A,FALSE,"BHCOMPC5";"page3",#N/A,FALSE,"BHCOMPC5";"page4",#N/A,FALSE,"BHCOMPC5"}</definedName>
    <definedName name="SEGMENT">#REF!</definedName>
    <definedName name="SegmentBudget" localSheetId="3" hidden="1">{"oct_res_comm",#N/A,FALSE,"VarToBud"}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'[48]GL-PC'!#REF!</definedName>
    <definedName name="Sell">#REF!</definedName>
    <definedName name="seller">#REF!</definedName>
    <definedName name="SellFactor">#REF!</definedName>
    <definedName name="Selling" localSheetId="4">[95]consolidation!#REF!</definedName>
    <definedName name="Selling">#REF!</definedName>
    <definedName name="SellingGeneralAndAdministrative">#REF!</definedName>
    <definedName name="SellingGeneralAndAdministrativeMargin">#REF!</definedName>
    <definedName name="selrange" localSheetId="4" hidden="1">'[176]Exb II.1_Summary Taira'!#REF!</definedName>
    <definedName name="selrange" hidden="1">#REF!</definedName>
    <definedName name="Semiconductor_Cost_of_Sales">#REF!</definedName>
    <definedName name="SENA" localSheetId="3" hidden="1">{"SchH1",#N/A,FALSE,"Schedules";"SchH2",#N/A,FALSE,"Schedules"}</definedName>
    <definedName name="SENA" hidden="1">{"SchH1",#N/A,FALSE,"Schedules";"SchH2",#N/A,FALSE,"Schedules"}</definedName>
    <definedName name="sencount" localSheetId="4" hidden="1">4</definedName>
    <definedName name="sencount">2</definedName>
    <definedName name="SENIOR">#REF!</definedName>
    <definedName name="SENIORFI">#REF!</definedName>
    <definedName name="sens">#REF!</definedName>
    <definedName name="sensitivity" localSheetId="4">[199]ASSUMPTIONS!$E$16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 localSheetId="4">{"חובה","SUM(חובה)","YNNNN",FALSE}</definedName>
    <definedName name="Sep" localSheetId="3">{"חובה","SUM(חובה)","YNNNN",FALSE}</definedName>
    <definedName name="Sep">{"חובה","SUM(חובה)","YNNNN",FALSE}</definedName>
    <definedName name="SEP_ACT">#REF!</definedName>
    <definedName name="SEP_AOP">#REF!</definedName>
    <definedName name="Sep_BUD" localSheetId="4">'[43]P&amp;L Breakdown'!$Q:$Q</definedName>
    <definedName name="Sep_BUD">#REF!</definedName>
    <definedName name="sep_detail">#REF!</definedName>
    <definedName name="SEP_TB_18" localSheetId="4">[43]TB!#REF!</definedName>
    <definedName name="SEP_TB_18">#REF!</definedName>
    <definedName name="sepadic">#REF!</definedName>
    <definedName name="sept" localSheetId="4">'[200]9.99'!$A$4:$K$111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'[48]GL-PC'!#REF!</definedName>
    <definedName name="ServiceCost">[201]Basis!$B$6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'[48]GL-PC'!#REF!</definedName>
    <definedName name="sety" localSheetId="3" hidden="1">{"LAPO2N2",#N/A,FALSE,"CM"}</definedName>
    <definedName name="sety" hidden="1">{"LAPO2N2",#N/A,FALSE,"CM"}</definedName>
    <definedName name="SeverancePay">#REF!</definedName>
    <definedName name="sex" localSheetId="3">{"'1-TheatreBkgs'!$A$1:$L$102"}</definedName>
    <definedName name="sex">{"'1-TheatreBkgs'!$A$1:$L$102"}</definedName>
    <definedName name="sf" localSheetId="3" hidden="1">{#N/A,#N/A,FALSE,"Sales Graph";#N/A,#N/A,FALSE,"BUC Graph";#N/A,#N/A,FALSE,"P&amp;L - YTD"}</definedName>
    <definedName name="sf" hidden="1">{#N/A,#N/A,FALSE,"Sales Graph";#N/A,#N/A,FALSE,"BUC Graph";#N/A,#N/A,FALSE,"P&amp;L - YTD"}</definedName>
    <definedName name="sf_1" localSheetId="3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localSheetId="3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localSheetId="3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localSheetId="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 localSheetId="3">{"EVA",#N/A,FALSE,"EVA";"WACC",#N/A,FALSE,"WACC"}</definedName>
    <definedName name="sfads">{"EVA",#N/A,FALSE,"EVA";"WACC",#N/A,FALSE,"WACC"}</definedName>
    <definedName name="sfdgfgg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localSheetId="3" hidden="1">{#N/A,#N/A,FALSE,"REPORT"}</definedName>
    <definedName name="sfdirect" hidden="1">{#N/A,#N/A,FALSE,"REPORT"}</definedName>
    <definedName name="sfdirect_1" localSheetId="3" hidden="1">{#N/A,#N/A,FALSE,"REPORT"}</definedName>
    <definedName name="sfdirect_1" hidden="1">{#N/A,#N/A,FALSE,"REPORT"}</definedName>
    <definedName name="sfdirect_2" localSheetId="3" hidden="1">{#N/A,#N/A,FALSE,"REPORT"}</definedName>
    <definedName name="sfdirect_2" hidden="1">{#N/A,#N/A,FALSE,"REPORT"}</definedName>
    <definedName name="sfdirect_3" localSheetId="3" hidden="1">{#N/A,#N/A,FALSE,"REPORT"}</definedName>
    <definedName name="sfdirect_3" hidden="1">{#N/A,#N/A,FALSE,"REPORT"}</definedName>
    <definedName name="sfdirect_4" localSheetId="3" hidden="1">{#N/A,#N/A,FALSE,"REPORT"}</definedName>
    <definedName name="sfdirect_4" hidden="1">{#N/A,#N/A,FALSE,"REPORT"}</definedName>
    <definedName name="sfdsdfdf" localSheetId="3" hidden="1">{#N/A,#N/A,FALSE,"Créances";#N/A,#N/A,FALSE,"Effectifs";#N/A,#N/A,FALSE,"SI"}</definedName>
    <definedName name="sfdsdfdf" hidden="1">{#N/A,#N/A,FALSE,"Créances";#N/A,#N/A,FALSE,"Effectifs";#N/A,#N/A,FALSE,"SI"}</definedName>
    <definedName name="sfdsf" hidden="1">#REF!</definedName>
    <definedName name="SFEWSFFEW" localSheetId="3" hidden="1">{#N/A,#N/A,FALSE,"ALM-ASISC"}</definedName>
    <definedName name="SFEWSFFEW" hidden="1">{#N/A,#N/A,FALSE,"ALM-ASISC"}</definedName>
    <definedName name="SFG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localSheetId="3" hidden="1">{#N/A,#N/A,FALSE,"Card";#N/A,#N/A,FALSE,"Prav";#N/A,#N/A,FALSE,"Irbe";#N/A,#N/A,FALSE,"Plavix";#N/A,#N/A,FALSE,"Capt";#N/A,#N/A,FALSE,"Fosi"}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localSheetId="3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HS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localSheetId="3" hidden="1">{#N/A,#N/A,FALSE,"Model";#N/A,#N/A,FALSE,"Division"}</definedName>
    <definedName name="sfjewgj" hidden="1">{#N/A,#N/A,FALSE,"Model";#N/A,#N/A,FALSE,"Division"}</definedName>
    <definedName name="sfq" localSheetId="3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" localSheetId="4" hidden="1">{"CSC_1",#N/A,FALSE,"CSC Outputs";"CSC_2",#N/A,FALSE,"CSC Outputs"}</definedName>
    <definedName name="sfsdf" localSheetId="3" hidden="1">{"CSC_1",#N/A,FALSE,"CSC Outputs";"CSC_2",#N/A,FALSE,"CSC Outputs"}</definedName>
    <definedName name="sfsdf" hidden="1">{"CSC_1",#N/A,FALSE,"CSC Outputs";"CSC_2",#N/A,FALSE,"CSC Outputs"}</definedName>
    <definedName name="sfsdfsdf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 localSheetId="3">{"page1",#N/A,FALSE,"BHCOMPC5";"page2",#N/A,FALSE,"BHCOMPC5";"page3",#N/A,FALSE,"BHCOMPC5";"page4",#N/A,FALSE,"BHCOMPC5"}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localSheetId="3" hidden="1">{#N/A,#N/A,FALSE,"Calc";#N/A,#N/A,FALSE,"Sensitivity";#N/A,#N/A,FALSE,"LT Earn.Dil.";#N/A,#N/A,FALSE,"Dil. AVP"}</definedName>
    <definedName name="sgd" hidden="1">{#N/A,#N/A,FALSE,"Calc";#N/A,#N/A,FALSE,"Sensitivity";#N/A,#N/A,FALSE,"LT Earn.Dil.";#N/A,#N/A,FALSE,"Dil. AVP"}</definedName>
    <definedName name="sgddfg" localSheetId="3" hidden="1">{#N/A,#N/A,FALSE,"PMTABB";#N/A,#N/A,FALSE,"PMTABB"}</definedName>
    <definedName name="sgddfg" hidden="1">{#N/A,#N/A,FALSE,"PMTABB";#N/A,#N/A,FALSE,"PMTABB"}</definedName>
    <definedName name="sgdg" localSheetId="3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h" localSheetId="4" hidden="1">{#N/A,#N/A,FALSE,"Comp Co";#N/A,#N/A,FALSE,"Debt &amp; Competitive Analysis";#N/A,#N/A,FALSE,"Grove Model";#N/A,#N/A,FALSE,"T&amp;C Model"}</definedName>
    <definedName name="sgdh" localSheetId="3" hidden="1">{#N/A,#N/A,FALSE,"Comp Co";#N/A,#N/A,FALSE,"Debt &amp; Competitive Analysis";#N/A,#N/A,FALSE,"Grove Model";#N/A,#N/A,FALSE,"T&amp;C Model"}</definedName>
    <definedName name="sgdh" hidden="1">{#N/A,#N/A,FALSE,"Comp Co";#N/A,#N/A,FALSE,"Debt &amp; Competitive Analysis";#N/A,#N/A,FALSE,"Grove Model";#N/A,#N/A,FALSE,"T&amp;C Model"}</definedName>
    <definedName name="sgdh1" localSheetId="4" hidden="1">{#N/A,#N/A,FALSE,"Comp Co";#N/A,#N/A,FALSE,"Debt &amp; Competitive Analysis";#N/A,#N/A,FALSE,"Grove Model";#N/A,#N/A,FALSE,"T&amp;C Model"}</definedName>
    <definedName name="sgdh1" localSheetId="3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localSheetId="3" hidden="1">{#N/A,#N/A,FALSE,"Sheet1"}</definedName>
    <definedName name="SGI" hidden="1">{#N/A,#N/A,FALSE,"Sheet1"}</definedName>
    <definedName name="sgsx" localSheetId="3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localSheetId="4" hidden="1">'[122]WP_Hist ABC'!#REF!</definedName>
    <definedName name="shareoutltm" hidden="1">#REF!</definedName>
    <definedName name="SharePrice">#REF!</definedName>
    <definedName name="sharepriceltm" localSheetId="4" hidden="1">'[122]WP_Hist ABC'!#REF!</definedName>
    <definedName name="sharepriceltm" hidden="1">#REF!</definedName>
    <definedName name="shares" localSheetId="4">'[202]Comparables Analysis'!$C$10</definedName>
    <definedName name="shares">#REF!</definedName>
    <definedName name="Shares_Outstanding">#REF!</definedName>
    <definedName name="shares2" localSheetId="4">[78]Sheet1!$M$56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 localSheetId="4">'[54]Basic Assumptions'!$B$10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localSheetId="3" hidden="1">{"Curves","Chart 3","Curves Graphique 3"}</definedName>
    <definedName name="SHFIAJD" hidden="1">{"Curves","Chart 3","Curves Graphique 3"}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Subscription Revenue">'[48]GL-PC'!#REF!</definedName>
    <definedName name="SHOO" localSheetId="3" hidden="1">{#N/A,#N/A,FALSE,"Sheet1"}</definedName>
    <definedName name="SHOO" hidden="1">{#N/A,#N/A,FALSE,"Sheet1"}</definedName>
    <definedName name="Shoot" localSheetId="3" hidden="1">{"Page1",#N/A,FALSE,"CompCo";"Page2",#N/A,FALSE,"CompCo"}</definedName>
    <definedName name="Shoot" hidden="1">{"Page1",#N/A,FALSE,"CompCo";"Page2",#N/A,FALSE,"CompCo"}</definedName>
    <definedName name="shop18">#REF!</definedName>
    <definedName name="ShortTermDebt">#REF!</definedName>
    <definedName name="SHR" localSheetId="3" hidden="1">{"formulas",#N/A,FALSE,"Key Indicators"}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localSheetId="3" hidden="1">{"PL",#N/A,FALSE,"Flash PL"}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 localSheetId="4">'[90]Page 300'!$B$7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localSheetId="3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localSheetId="3" hidden="1">{"kricash",#N/A,FALSE,"INC";"kriinc",#N/A,FALSE,"INC";"krimiami",#N/A,FALSE,"INC";"kriother",#N/A,FALSE,"INC";"kripapers",#N/A,FALSE,"INC"}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localSheetId="3" hidden="1">{#N/A,#N/A,FALSE,"Model";#N/A,#N/A,FALSE,"Division"}</definedName>
    <definedName name="sldfkj" hidden="1">{#N/A,#N/A,FALSE,"Model";#N/A,#N/A,FALSE,"Division"}</definedName>
    <definedName name="sldfks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localSheetId="3" hidden="1">{#N/A,#N/A,FALSE,"Model";#N/A,#N/A,FALSE,"Division"}</definedName>
    <definedName name="slfjslfj" hidden="1">{#N/A,#N/A,FALSE,"Model";#N/A,#N/A,FALSE,"Division"}</definedName>
    <definedName name="sll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'[48]GL-PC'!#REF!</definedName>
    <definedName name="SM_STOCK_PREM">#REF!</definedName>
    <definedName name="SM_Subcontractors">#REF!</definedName>
    <definedName name="Smartcaps" localSheetId="4">'[65]Budget New'!#REF!</definedName>
    <definedName name="Smartcaps">#REF!</definedName>
    <definedName name="SMHigh">#REF!</definedName>
    <definedName name="Smith">#REF!</definedName>
    <definedName name="smk" localSheetId="3" hidden="1">{"QTD_GENERALH2",#N/A,FALSE,"QTD"}</definedName>
    <definedName name="smk" hidden="1">{"QTD_GENERALH2",#N/A,FALSE,"QTD"}</definedName>
    <definedName name="SMLow">#REF!</definedName>
    <definedName name="SMM">'[1]טורים 98'!$GT$20</definedName>
    <definedName name="SMPS" localSheetId="3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 localSheetId="4">[203]!sName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'[48]GL-PC'!#REF!</definedName>
    <definedName name="Software___Licenses_Expense_G_A">#REF!</definedName>
    <definedName name="Software___Licenses_Expense_R_D">'[48]GL-PC'!#REF!</definedName>
    <definedName name="Software___Licenses_Expense_S_M">'[48]GL-PC'!#REF!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localSheetId="4" hidden="1">3</definedName>
    <definedName name="solver_typ" hidden="1">1</definedName>
    <definedName name="solver_val" hidden="1">0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 localSheetId="4">#REF!</definedName>
    <definedName name="SP" localSheetId="3">{"'NPCGUIDELINES'!$A$1:$J$41"}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'[48]GL-PC'!#REF!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localSheetId="3" hidden="1">{"schedule",#N/A,FALSE,"Sum Op's";"input area",#N/A,FALSE,"Sum Op's"}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localSheetId="3" hidden="1">{"Page 1",#N/A,FALSE,"Sheet1";"Page 2",#N/A,FALSE,"Sheet1"}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 localSheetId="4">[18]Sensetivities!#REF!</definedName>
    <definedName name="spsales">#REF!</definedName>
    <definedName name="SPSet">"current"</definedName>
    <definedName name="SPVerticalAccountName" localSheetId="3">{"'1-TheatreBkgs'!$A$1:$L$102"}</definedName>
    <definedName name="SPVerticalAccountName">{"'1-TheatreBkgs'!$A$1:$L$102"}</definedName>
    <definedName name="SPWS_WBID" localSheetId="4">"F1754E3C-8B33-11D3-B915-000086369788"</definedName>
    <definedName name="SPWS_WBID">"0D145571-4AA7-4C6E-B8EB-4DF0FED2B8BC"</definedName>
    <definedName name="spws2">"1A97CD9F-CC4A-11D5-9D28-0010A4C68674"</definedName>
    <definedName name="sq" localSheetId="3" hidden="1">{"bs",#N/A,FALSE,"SCF"}</definedName>
    <definedName name="sq" hidden="1">{"bs",#N/A,FALSE,"SCF"}</definedName>
    <definedName name="sqfs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localSheetId="3" hidden="1">{#N/A,#N/A,FALSE,"ALM-ASISC"}</definedName>
    <definedName name="sqsqe" hidden="1">{#N/A,#N/A,FALSE,"ALM-ASISC"}</definedName>
    <definedName name="Square_Ft_400">#REF!</definedName>
    <definedName name="sr">#REF!</definedName>
    <definedName name="srdfg" localSheetId="3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e" localSheetId="3" hidden="1">{"vol data",#N/A,FALSE,"Datasheet";"vol graph",#N/A,FALSE,"Volume";"price data",#N/A,FALSE,"Datasheet";"price graph",#N/A,FALSE,"Price";"dp data",#N/A,FALSE,"Datasheet";"dp graph",#N/A,FALSE,"DirectProfit"}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localSheetId="4">#REF!</definedName>
    <definedName name="SRV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 localSheetId="3">{0}</definedName>
    <definedName name="sryryty">{0}</definedName>
    <definedName name="ss" localSheetId="4" hidden="1">#REF!</definedName>
    <definedName name="ss" localSheetId="3">{"DCF1",#N/A,FALSE,"SIERRA DCF";"MATRIX1",#N/A,FALSE,"SIERRA DCF"}</definedName>
    <definedName name="ss">{"DCF1",#N/A,FALSE,"SIERRA DCF";"MATRIX1",#N/A,FALSE,"SIERRA DCF"}</definedName>
    <definedName name="ss_1" localSheetId="4" hidden="1">{"rtn",#N/A,FALSE,"RTN";"tables",#N/A,FALSE,"RTN";"cf",#N/A,FALSE,"CF";"stats",#N/A,FALSE,"Stats";"prop",#N/A,FALSE,"Prop"}</definedName>
    <definedName name="ss_1" localSheetId="3" hidden="1">{"rtn",#N/A,FALSE,"RTN";"tables",#N/A,FALSE,"RTN";"cf",#N/A,FALSE,"CF";"stats",#N/A,FALSE,"Stats";"prop",#N/A,FALSE,"Prop"}</definedName>
    <definedName name="ss_1" hidden="1">{"rtn",#N/A,FALSE,"RTN";"tables",#N/A,FALSE,"RTN";"cf",#N/A,FALSE,"CF";"stats",#N/A,FALSE,"Stats";"prop",#N/A,FALSE,"Prop"}</definedName>
    <definedName name="ssadsad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b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 localSheetId="4">'[65]Budget New'!#REF!</definedName>
    <definedName name="SSD">#REF!</definedName>
    <definedName name="SSD_1" localSheetId="3" hidden="1">{#N/A,#N/A,FALSE,"REPORT"}</definedName>
    <definedName name="SSD_1" hidden="1">{#N/A,#N/A,FALSE,"REPORT"}</definedName>
    <definedName name="SSD_2" localSheetId="3" hidden="1">{#N/A,#N/A,FALSE,"REPORT"}</definedName>
    <definedName name="SSD_2" hidden="1">{#N/A,#N/A,FALSE,"REPORT"}</definedName>
    <definedName name="SSD_3" localSheetId="3" hidden="1">{#N/A,#N/A,FALSE,"REPORT"}</definedName>
    <definedName name="SSD_3" hidden="1">{#N/A,#N/A,FALSE,"REPORT"}</definedName>
    <definedName name="SSD_4" localSheetId="3" hidden="1">{#N/A,#N/A,FALSE,"REPORT"}</definedName>
    <definedName name="SSD_4" hidden="1">{#N/A,#N/A,FALSE,"REPORT"}</definedName>
    <definedName name="SSD_BU" localSheetId="4">'[80]Customer Support Group'!$A$38:$F$48</definedName>
    <definedName name="SSD_BU">#REF!</definedName>
    <definedName name="ssdfg" hidden="1">#REF!</definedName>
    <definedName name="ssdsa" localSheetId="3" hidden="1">{#N/A,#N/A,FALSE,"FREE"}</definedName>
    <definedName name="ssdsa" hidden="1">{#N/A,#N/A,FALSE,"FREE"}</definedName>
    <definedName name="sse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localSheetId="3" hidden="1">{"quarterly",#N/A,FALSE,"Income Statement";#N/A,#N/A,FALSE,"print segment";#N/A,#N/A,FALSE,"Balance Sheet";#N/A,#N/A,FALSE,"Annl Inc";#N/A,#N/A,FALSE,"Cash Flow"}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localSheetId="3" hidden="1">{"bs",#N/A,FALSE,"SCF"}</definedName>
    <definedName name="ssr" hidden="1">{"bs",#N/A,FALSE,"SCF"}</definedName>
    <definedName name="sss" localSheetId="4" hidden="1">{"Outflow 1",#N/A,FALSE,"Outflows-Inflows";"Outflow 2",#N/A,FALSE,"Outflows-Inflows";"Inflow 1",#N/A,FALSE,"Outflows-Inflows";"Inflow 2",#N/A,FALSE,"Outflows-Inflows"}</definedName>
    <definedName name="sss" localSheetId="3" hidden="1">{"Outflow 1",#N/A,FALSE,"Outflows-Inflows";"Outflow 2",#N/A,FALSE,"Outflows-Inflows";"Inflow 1",#N/A,FALSE,"Outflows-Inflows";"Inflow 2",#N/A,FALSE,"Outflows-Inflows"}</definedName>
    <definedName name="sss" hidden="1">{"Outflow 1",#N/A,FALSE,"Outflows-Inflows";"Outflow 2",#N/A,FALSE,"Outflows-Inflows";"Inflow 1",#N/A,FALSE,"Outflows-Inflows";"Inflow 2",#N/A,FALSE,"Outflows-Inflows"}</definedName>
    <definedName name="sss_1" localSheetId="4" hidden="1">{"Outflow 1",#N/A,FALSE,"Outflows-Inflows";"Outflow 2",#N/A,FALSE,"Outflows-Inflows";"Inflow 1",#N/A,FALSE,"Outflows-Inflows";"Inflow 2",#N/A,FALSE,"Outflows-Inflows"}</definedName>
    <definedName name="sss_1" localSheetId="3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localSheetId="3" hidden="1">{#N/A,#N/A,FALSE,"Pharm";#N/A,#N/A,FALSE,"WWCM"}</definedName>
    <definedName name="sss_2" hidden="1">{#N/A,#N/A,FALSE,"Pharm";#N/A,#N/A,FALSE,"WWCM"}</definedName>
    <definedName name="sss_3" localSheetId="3" hidden="1">{#N/A,#N/A,FALSE,"Pharm";#N/A,#N/A,FALSE,"WWCM"}</definedName>
    <definedName name="sss_3" hidden="1">{#N/A,#N/A,FALSE,"Pharm";#N/A,#N/A,FALSE,"WWCM"}</definedName>
    <definedName name="sss_4" localSheetId="3" hidden="1">{#N/A,#N/A,FALSE,"Pharm";#N/A,#N/A,FALSE,"WWCM"}</definedName>
    <definedName name="sss_4" hidden="1">{#N/A,#N/A,FALSE,"Pharm";#N/A,#N/A,FALSE,"WWCM"}</definedName>
    <definedName name="SSSD" localSheetId="3" hidden="1">{#N/A,#N/A,FALSE,"ALM-ASISC"}</definedName>
    <definedName name="SSSD" hidden="1">{#N/A,#N/A,FALSE,"ALM-ASISC"}</definedName>
    <definedName name="ssss" localSheetId="4" hidden="1">{"print 1.6",#N/A,FALSE,"Sheet1";"print 2.6",#N/A,FALSE,"Sheet1";"print 3.6",#N/A,FALSE,"Sheet1";"print 4.6",#N/A,FALSE,"Sheet1";"print 5.6",#N/A,FALSE,"Sheet1";"print 6.6",#N/A,FALSE,"Sheet1"}</definedName>
    <definedName name="ssss" localSheetId="3" hidden="1">{"print 1.6",#N/A,FALSE,"Sheet1";"print 2.6",#N/A,FALSE,"Sheet1";"print 3.6",#N/A,FALSE,"Sheet1";"print 4.6",#N/A,FALSE,"Sheet1";"print 5.6",#N/A,FALSE,"Sheet1";"print 6.6",#N/A,FALSE,"Sheet1"}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localSheetId="4" hidden="1">{"print 1.6",#N/A,FALSE,"Sheet1";"print 2.6",#N/A,FALSE,"Sheet1";"print 3.6",#N/A,FALSE,"Sheet1";"print 4.6",#N/A,FALSE,"Sheet1";"print 5.6",#N/A,FALSE,"Sheet1";"print 6.6",#N/A,FALSE,"Sheet1"}</definedName>
    <definedName name="ssss_1" localSheetId="3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localSheetId="4" hidden="1">{"print 1.6",#N/A,FALSE,"Sheet1";"print 2.6",#N/A,FALSE,"Sheet1";"print 3.6",#N/A,FALSE,"Sheet1";"print 4.6",#N/A,FALSE,"Sheet1";"print 5.6",#N/A,FALSE,"Sheet1";"print 6.6",#N/A,FALSE,"Sheet1"}</definedName>
    <definedName name="sssss" localSheetId="3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localSheetId="4" hidden="1">{"print 1.6",#N/A,FALSE,"Sheet1";"print 2.6",#N/A,FALSE,"Sheet1";"print 3.6",#N/A,FALSE,"Sheet1";"print 4.6",#N/A,FALSE,"Sheet1";"print 5.6",#N/A,FALSE,"Sheet1";"print 6.6",#N/A,FALSE,"Sheet1"}</definedName>
    <definedName name="sssss_1" localSheetId="3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localSheetId="4" hidden="1">{"rtn",#N/A,FALSE,"RTN";"tables",#N/A,FALSE,"RTN";"cf",#N/A,FALSE,"CF";"stats",#N/A,FALSE,"Stats";"prop",#N/A,FALSE,"Prop"}</definedName>
    <definedName name="ssssss" localSheetId="3" hidden="1">{"rtn",#N/A,FALSE,"RTN";"tables",#N/A,FALSE,"RTN";"cf",#N/A,FALSE,"CF";"stats",#N/A,FALSE,"Stats";"prop",#N/A,FALSE,"Prop"}</definedName>
    <definedName name="ssssss" hidden="1">{"rtn",#N/A,FALSE,"RTN";"tables",#N/A,FALSE,"RTN";"cf",#N/A,FALSE,"CF";"stats",#N/A,FALSE,"Stats";"prop",#N/A,FALSE,"Prop"}</definedName>
    <definedName name="ssssss_1" localSheetId="4" hidden="1">{"rtn",#N/A,FALSE,"RTN";"tables",#N/A,FALSE,"RTN";"cf",#N/A,FALSE,"CF";"stats",#N/A,FALSE,"Stats";"prop",#N/A,FALSE,"Prop"}</definedName>
    <definedName name="ssssss_1" localSheetId="3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localSheetId="4" hidden="1">{"print 1.6",#N/A,FALSE,"Sheet1";"print 2.6",#N/A,FALSE,"Sheet1";"print 3.6",#N/A,FALSE,"Sheet1";"print 4.6",#N/A,FALSE,"Sheet1";"print 5.6",#N/A,FALSE,"Sheet1";"print 6.6",#N/A,FALSE,"Sheet1"}</definedName>
    <definedName name="sssssss" localSheetId="3" hidden="1">{"PR1","pr1",TRUE,"Sch PR-1"}</definedName>
    <definedName name="sssssss" hidden="1">{"PR1","pr1",TRUE,"Sch PR-1"}</definedName>
    <definedName name="sssssss_1" localSheetId="4" hidden="1">{"print 1.6",#N/A,FALSE,"Sheet1";"print 2.6",#N/A,FALSE,"Sheet1";"print 3.6",#N/A,FALSE,"Sheet1";"print 4.6",#N/A,FALSE,"Sheet1";"print 5.6",#N/A,FALSE,"Sheet1";"print 6.6",#N/A,FALSE,"Sheet1"}</definedName>
    <definedName name="sssssss_1" localSheetId="3" hidden="1">{"print 1.6",#N/A,FALSE,"Sheet1";"print 2.6",#N/A,FALSE,"Sheet1";"print 3.6",#N/A,FALSE,"Sheet1";"print 4.6",#N/A,FALSE,"Sheet1";"print 5.6",#N/A,FALSE,"Sheet1";"print 6.6",#N/A,FALSE,"Sheet1"}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localSheetId="4" hidden="1">{"rtn",#N/A,FALSE,"RTN";"tables",#N/A,FALSE,"RTN";"cf",#N/A,FALSE,"CF";"stats",#N/A,FALSE,"Stats";"prop",#N/A,FALSE,"Prop"}</definedName>
    <definedName name="ssssssss" localSheetId="3" hidden="1">{"rtn",#N/A,FALSE,"RTN";"tables",#N/A,FALSE,"RTN";"cf",#N/A,FALSE,"CF";"stats",#N/A,FALSE,"Stats";"prop",#N/A,FALSE,"Prop"}</definedName>
    <definedName name="ssssssss" hidden="1">{"rtn",#N/A,FALSE,"RTN";"tables",#N/A,FALSE,"RTN";"cf",#N/A,FALSE,"CF";"stats",#N/A,FALSE,"Stats";"prop",#N/A,FALSE,"Prop"}</definedName>
    <definedName name="ssssssss_1" localSheetId="4" hidden="1">{"rtn",#N/A,FALSE,"RTN";"tables",#N/A,FALSE,"RTN";"cf",#N/A,FALSE,"CF";"stats",#N/A,FALSE,"Stats";"prop",#N/A,FALSE,"Prop"}</definedName>
    <definedName name="ssssssss_1" localSheetId="3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localSheetId="4" hidden="1">{"rtn",#N/A,FALSE,"RTN";"tables",#N/A,FALSE,"RTN";"cf",#N/A,FALSE,"CF";"stats",#N/A,FALSE,"Stats";"prop",#N/A,FALSE,"Prop"}</definedName>
    <definedName name="sssssssss" localSheetId="3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localSheetId="4" hidden="1">{"rtn",#N/A,FALSE,"RTN";"tables",#N/A,FALSE,"RTN";"cf",#N/A,FALSE,"CF";"stats",#N/A,FALSE,"Stats";"prop",#N/A,FALSE,"Prop"}</definedName>
    <definedName name="sssssssss_1" localSheetId="3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localSheetId="3" hidden="1">{#N/A,#N/A,FALSE,"TSUM";#N/A,#N/A,FALSE,"shares";#N/A,#N/A,FALSE,"earnout";#N/A,#N/A,FALSE,"Heaty";#N/A,#N/A,FALSE,"self-tend";#N/A,#N/A,FALSE,"self-sum"}</definedName>
    <definedName name="ssssssssss" hidden="1">{#N/A,#N/A,FALSE,"TSUM";#N/A,#N/A,FALSE,"shares";#N/A,#N/A,FALSE,"earnout";#N/A,#N/A,FALSE,"Heaty";#N/A,#N/A,FALSE,"self-tend";#N/A,#N/A,FALSE,"self-sum"}</definedName>
    <definedName name="ssssssssssss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localSheetId="3" hidden="1">{"detail",#N/A,FALSE,"mfg";"summary",#N/A,FALSE,"mfg"}</definedName>
    <definedName name="sssssssssssssssss" hidden="1">{"detail",#N/A,FALSE,"mfg";"summary",#N/A,FALSE,"mfg"}</definedName>
    <definedName name="sssswwww" localSheetId="3" hidden="1">{#N/A,"PURCHM",FALSE,"Business Analysis";#N/A,"SPADD",FALSE,"Business Analysis"}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'[89]Receipts and Disbursements'!#REF!</definedName>
    <definedName name="Staffing_Plan_1">#REF!</definedName>
    <definedName name="Staffing_Plan_2">#REF!</definedName>
    <definedName name="staffing2" localSheetId="3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1" localSheetId="3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localSheetId="3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localSheetId="3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localSheetId="3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localSheetId="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localSheetId="3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localSheetId="3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localSheetId="3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localSheetId="3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localSheetId="3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localSheetId="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localSheetId="3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localSheetId="3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localSheetId="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localSheetId="3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localSheetId="3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localSheetId="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localSheetId="3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localSheetId="3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localSheetId="3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localSheetId="3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localSheetId="3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localSheetId="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localSheetId="3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localSheetId="3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localSheetId="3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localSheetId="3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localSheetId="3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localSheetId="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localSheetId="3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localSheetId="3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localSheetId="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localSheetId="3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localSheetId="3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localSheetId="3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localSheetId="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localSheetId="3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localSheetId="3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localSheetId="3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localSheetId="3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localSheetId="3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localSheetId="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localSheetId="3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localSheetId="3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localSheetId="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localSheetId="3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localSheetId="3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localSheetId="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localSheetId="3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localSheetId="3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localSheetId="3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localSheetId="3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localSheetId="3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localSheetId="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localSheetId="3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localSheetId="3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localSheetId="3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localSheetId="3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localSheetId="3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localSheetId="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localSheetId="3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localSheetId="3" hidden="1">{#N/A,#N/A,FALSE,"REPORT"}</definedName>
    <definedName name="Staril" hidden="1">{#N/A,#N/A,FALSE,"REPORT"}</definedName>
    <definedName name="Staril_1" localSheetId="3" hidden="1">{#N/A,#N/A,FALSE,"REPORT"}</definedName>
    <definedName name="Staril_1" hidden="1">{#N/A,#N/A,FALSE,"REPORT"}</definedName>
    <definedName name="Staril_2" localSheetId="3" hidden="1">{#N/A,#N/A,FALSE,"REPORT"}</definedName>
    <definedName name="Staril_2" hidden="1">{#N/A,#N/A,FALSE,"REPORT"}</definedName>
    <definedName name="Staril_3" localSheetId="3" hidden="1">{#N/A,#N/A,FALSE,"REPORT"}</definedName>
    <definedName name="Staril_3" hidden="1">{#N/A,#N/A,FALSE,"REPORT"}</definedName>
    <definedName name="Staril_4" localSheetId="3" hidden="1">{#N/A,#N/A,FALSE,"REPORT"}</definedName>
    <definedName name="Staril_4" hidden="1">{#N/A,#N/A,FALSE,"REPORT"}</definedName>
    <definedName name="start">#REF!</definedName>
    <definedName name="start_date">#REF!</definedName>
    <definedName name="Start_MLA" localSheetId="4">'[66]1.3 Input_MLA'!$R$2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 localSheetId="4">'[204]statement of income'!#REF!</definedName>
    <definedName name="statement_of_income">#REF!</definedName>
    <definedName name="Statistics" localSheetId="4">[205]Rev!#REF!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 localSheetId="3">'Company Name COGS+OPEX Build'!std_BS</definedName>
    <definedName name="std_BS">[0]!std_BS</definedName>
    <definedName name="std_BS2" localSheetId="3">'Company Name COGS+OPEX Build'!std_BS2</definedName>
    <definedName name="std_BS2">[0]!std_BS2</definedName>
    <definedName name="std_IS" localSheetId="3">'Company Name COGS+OPEX Build'!std_IS</definedName>
    <definedName name="std_IS">[0]!std_IS</definedName>
    <definedName name="std_IS2" localSheetId="3">'Company Name COGS+OPEX Build'!std_IS2</definedName>
    <definedName name="std_IS2">[0]!std_IS2</definedName>
    <definedName name="STDebt">#REF!</definedName>
    <definedName name="stdhg" localSheetId="3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ef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 localSheetId="4">'[85]Expected Term'!STOCK</definedName>
    <definedName name="STOCK">#REF!</definedName>
    <definedName name="Stock_Premium">#REF!</definedName>
    <definedName name="Stock_Price" localSheetId="4">'[206]Binomial Model'!$R$2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'[48]GL-PC'!#REF!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localSheetId="3" hidden="1">{#N/A,#N/A,FALSE,"Sheet1"}</definedName>
    <definedName name="strange" hidden="1">{#N/A,#N/A,FALSE,"Sheet1"}</definedName>
    <definedName name="strange\" localSheetId="3" hidden="1">{#N/A,#N/A,FALSE,"Sheet1"}</definedName>
    <definedName name="strange\" hidden="1">{#N/A,#N/A,FALSE,"Sheet1"}</definedName>
    <definedName name="strange2" localSheetId="3" hidden="1">{#N/A,#N/A,FALSE,"Sheet1"}</definedName>
    <definedName name="strange2" hidden="1">{#N/A,#N/A,FALSE,"Sheet1"}</definedName>
    <definedName name="StratPlanAP" localSheetId="3" hidden="1">{#N/A,#N/A,FALSE,"Pharm";#N/A,#N/A,FALSE,"WWCM"}</definedName>
    <definedName name="StratPlanAP" hidden="1">{#N/A,#N/A,FALSE,"Pharm";#N/A,#N/A,FALSE,"WWCM"}</definedName>
    <definedName name="StratPlanAP_1" localSheetId="3" hidden="1">{#N/A,#N/A,FALSE,"Pharm";#N/A,#N/A,FALSE,"WWCM"}</definedName>
    <definedName name="StratPlanAP_1" hidden="1">{#N/A,#N/A,FALSE,"Pharm";#N/A,#N/A,FALSE,"WWCM"}</definedName>
    <definedName name="StratPlanAP_2" localSheetId="3" hidden="1">{#N/A,#N/A,FALSE,"Pharm";#N/A,#N/A,FALSE,"WWCM"}</definedName>
    <definedName name="StratPlanAP_2" hidden="1">{#N/A,#N/A,FALSE,"Pharm";#N/A,#N/A,FALSE,"WWCM"}</definedName>
    <definedName name="StratPlanAP_3" localSheetId="3" hidden="1">{#N/A,#N/A,FALSE,"Pharm";#N/A,#N/A,FALSE,"WWCM"}</definedName>
    <definedName name="StratPlanAP_3" hidden="1">{#N/A,#N/A,FALSE,"Pharm";#N/A,#N/A,FALSE,"WWCM"}</definedName>
    <definedName name="StratPlanAP_4" localSheetId="3" hidden="1">{#N/A,#N/A,FALSE,"Pharm";#N/A,#N/A,FALSE,"WWCM"}</definedName>
    <definedName name="StratPlanAP_4" hidden="1">{#N/A,#N/A,FALSE,"Pharm";#N/A,#N/A,FALSE,"WWCM"}</definedName>
    <definedName name="STREET">#REF!</definedName>
    <definedName name="strh" localSheetId="3">{0}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 localSheetId="3">{0}</definedName>
    <definedName name="strtt">{0}</definedName>
    <definedName name="stsg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 localSheetId="3">'Company Name COGS+OPEX Build'!$T$2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localSheetId="3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 localSheetId="3">'Company Name COGS+OPEX Build'!________________________wrn7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'[48]GL-PC'!#REF!</definedName>
    <definedName name="Subcontractor_Expense_COGS">#REF!</definedName>
    <definedName name="Subcontractor_Expense_R_D">'[48]GL-PC'!#REF!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localSheetId="4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part" localSheetId="3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 localSheetId="4">[164]ASSUMPTIONS!$A$3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localSheetId="3" hidden="1">{"FCB_ALL",#N/A,FALSE,"FCB"}</definedName>
    <definedName name="such" hidden="1">{"FCB_ALL",#N/A,FALSE,"FCB"}</definedName>
    <definedName name="sucker" localSheetId="3" hidden="1">{#N/A,#N/A,FALSE,"Sheet1"}</definedName>
    <definedName name="sucker" hidden="1">{#N/A,#N/A,FALSE,"Sheet1"}</definedName>
    <definedName name="sucker2" localSheetId="3" hidden="1">{#N/A,#N/A,FALSE,"Sheet1"}</definedName>
    <definedName name="sucker2" hidden="1">{#N/A,#N/A,FALSE,"Sheet1"}</definedName>
    <definedName name="Suffix">#REF!</definedName>
    <definedName name="sukuarc" localSheetId="4">[55]contahal!$A$1:$N$96,[55]contahal!$A$98:$N$159</definedName>
    <definedName name="sukuarc">#REF!,#REF!</definedName>
    <definedName name="Sum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 localSheetId="4">#REF!</definedName>
    <definedName name="Summary">"DGKQYRHSHFAH3VMRNIFU7L0DK"</definedName>
    <definedName name="SUMMARY_BOOK" localSheetId="4" hidden="1">{"page1",#N/A,FALSE,"GIRLBO";"page2",#N/A,FALSE,"GIRLBO";"page3",#N/A,FALSE,"GIRLBO";"page4",#N/A,FALSE,"GIRLBO";"page5",#N/A,FALSE,"GIRLBO"}</definedName>
    <definedName name="SUMMARY_BOOK" localSheetId="3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_BOOK_1" localSheetId="3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localSheetId="3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localSheetId="3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localSheetId="3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localSheetId="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localSheetId="3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localSheetId="3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localSheetId="3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localSheetId="3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localSheetId="3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localSheetId="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localSheetId="3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localSheetId="3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localSheetId="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localSheetId="3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localSheetId="3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localSheetId="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localSheetId="3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localSheetId="3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localSheetId="3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localSheetId="3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localSheetId="3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localSheetId="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localSheetId="3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localSheetId="3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localSheetId="3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localSheetId="3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localSheetId="3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localSheetId="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localSheetId="3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localSheetId="3" hidden="1">{"'subnets'!$A$1:$F$20"}</definedName>
    <definedName name="Summary08" hidden="1">{"'subnets'!$A$1:$F$20"}</definedName>
    <definedName name="SUMMARY1">#REF!</definedName>
    <definedName name="SUMMARY2">#REF!</definedName>
    <definedName name="sumval" localSheetId="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'[48]GL-PC'!#REF!</definedName>
    <definedName name="supply" localSheetId="3" hidden="1">{#N/A,#N/A,FALSE,"PMTABB";#N/A,#N/A,FALSE,"PMTABB"}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localSheetId="3" hidden="1">{#N/A,#N/A,FALSE,"Revised cover";#N/A,#N/A,FALSE,"Trends";"main view",#N/A,FALSE,"As Reported";#N/A,#N/A,FALSE,"delegations";#N/A,#N/A,FALSE,"(un) Commited"}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 localSheetId="4">'[80]Customer Support Group'!$A$50:$F$56</definedName>
    <definedName name="SW">#REF!</definedName>
    <definedName name="swa">#REF!</definedName>
    <definedName name="Swap1">#REF!</definedName>
    <definedName name="Swap2">#REF!</definedName>
    <definedName name="swaw" localSheetId="3" hidden="1">{"TEXO2N2_VOL",#N/A,FALSE,"MTHLYVOL";"TEXH2_VOL",#N/A,FALSE,"MTHLYVOL";"LOUIS_VOL",#N/A,FALSE,"MTHLYVOL";"H2_VOL",#N/A,FALSE,"MTHLYVOL";"O2N2_VOL",#N/A,FALSE,"MTHLYVOL";"PACKAGE_VOL",#N/A,FALSE,"MTHLYVOL"}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 localSheetId="4">[18]Model!#REF!</definedName>
    <definedName name="swingcogs">#REF!</definedName>
    <definedName name="swinggross" localSheetId="4">[18]Model!#REF!</definedName>
    <definedName name="swinggross">#REF!</definedName>
    <definedName name="swingop" localSheetId="4">[18]Model!#REF!</definedName>
    <definedName name="swingop">#REF!</definedName>
    <definedName name="switch">#REF!</definedName>
    <definedName name="swp">#REF!</definedName>
    <definedName name="swq" localSheetId="3" hidden="1">{#N/A,"PURCHM",FALSE,"Business Analysis";#N/A,"SPADD",FALSE,"Business Analysis"}</definedName>
    <definedName name="swq" hidden="1">{#N/A,"PURCHM",FALSE,"Business Analysis";#N/A,"SPADD",FALSE,"Business Analysis"}</definedName>
    <definedName name="swr" localSheetId="3" hidden="1">{"Polymers Details",#N/A,FALSE,"Current Yr";"Polymer Details",#N/A,FALSE,"Budget";"Polymer Details",#N/A,FALSE,"Prior Year"}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localSheetId="3" hidden="1">{#N/A,#N/A,FALSE,"PGW"}</definedName>
    <definedName name="sxcg" hidden="1">{#N/A,#N/A,FALSE,"PGW"}</definedName>
    <definedName name="Symbol">#REF!</definedName>
    <definedName name="syn" localSheetId="4" hidden="1">{#N/A,#N/A,FALSE,"Cover";#N/A,#N/A,FALSE,"Assumptions";#N/A,#N/A,FALSE,"Acquirer";#N/A,#N/A,FALSE,"Target";#N/A,#N/A,FALSE,"Income Statement";#N/A,#N/A,FALSE,"Summary Tables"}</definedName>
    <definedName name="syn" localSheetId="3" hidden="1">{#N/A,#N/A,FALSE,"Cover";#N/A,#N/A,FALSE,"Assumptions";#N/A,#N/A,FALSE,"Acquirer";#N/A,#N/A,FALSE,"Target";#N/A,#N/A,FALSE,"Income Statement";#N/A,#N/A,FALSE,"Summary Tables"}</definedName>
    <definedName name="syn" hidden="1">{#N/A,#N/A,FALSE,"Cover";#N/A,#N/A,FALSE,"Assumptions";#N/A,#N/A,FALSE,"Acquirer";#N/A,#N/A,FALSE,"Target";#N/A,#N/A,FALSE,"Income Statement";#N/A,#N/A,FALSE,"Summary Tables"}</definedName>
    <definedName name="synergies" localSheetId="3">#REF!</definedName>
    <definedName name="synergies">#REF!</definedName>
    <definedName name="sz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localSheetId="3" hidden="1">{"LAPO2N2",#N/A,FALSE,"CM"}</definedName>
    <definedName name="szx" hidden="1">{"LAPO2N2",#N/A,FALSE,"CM"}</definedName>
    <definedName name="T" localSheetId="4">'[90]Page 300'!$B$5</definedName>
    <definedName name="t">#REF!</definedName>
    <definedName name="t.2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 localSheetId="4">[95]consolidation!#REF!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 localSheetId="4">'[207]USI Assumptions'!$E$30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'[14]שמ"מ מ"ה'!#REF!</definedName>
    <definedName name="T2_">'[14]שמ"מ מ"ה'!#REF!</definedName>
    <definedName name="T3_">'[14]שמ"מ מ"ה'!#REF!</definedName>
    <definedName name="T5_">'[14]שמ"מ מ"ה'!#REF!</definedName>
    <definedName name="T6_">'[14]שמ"מ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 localSheetId="4">[208]TableList!$A$10:$E$177</definedName>
    <definedName name="tables22222">#REF!</definedName>
    <definedName name="TABPROY">'[186]TAB-SALES-97'!$S$3:$Z$98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[104]tadirgan!$1:$1048576</definedName>
    <definedName name="Tagging_expenses">'[48]GL-PC'!#REF!</definedName>
    <definedName name="tai.v4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localSheetId="3" hidden="1">{#N/A,#N/A,FALSE,"KA CH  (2)"}</definedName>
    <definedName name="Tail.2" hidden="1">{#N/A,#N/A,FALSE,"KA CH  (2)"}</definedName>
    <definedName name="tali">#REF!</definedName>
    <definedName name="TangibleBookValuePerShare">#REF!</definedName>
    <definedName name="tar">#REF!</definedName>
    <definedName name="targ">#REF!</definedName>
    <definedName name="Target">#REF!</definedName>
    <definedName name="target_call_price" localSheetId="4">'[90]Page 304'!$B$11</definedName>
    <definedName name="target_call_price">#REF!</definedName>
    <definedName name="target_debt_to_equity">#REF!</definedName>
    <definedName name="target_month">#REF!</definedName>
    <definedName name="target_name" localSheetId="4">'[209]Primary Drivers'!$D$5</definedName>
    <definedName name="target_name">#REF!</definedName>
    <definedName name="target_preferred_to_equity">#REF!</definedName>
    <definedName name="TargetDCF2" localSheetId="3" hidden="1">{#N/A,#N/A,FALSE,"Sheet1"}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 localSheetId="4">'[210]OPEX IL'!#REF!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localSheetId="3" hidden="1">{#N/A,#N/A,FALSE,"Pharm";#N/A,#N/A,FALSE,"WWCM"}</definedName>
    <definedName name="taxol" hidden="1">{#N/A,#N/A,FALSE,"Pharm";#N/A,#N/A,FALSE,"WWCM"}</definedName>
    <definedName name="taxol_1" localSheetId="3" hidden="1">{#N/A,#N/A,FALSE,"Pharm";#N/A,#N/A,FALSE,"WWCM"}</definedName>
    <definedName name="taxol_1" hidden="1">{#N/A,#N/A,FALSE,"Pharm";#N/A,#N/A,FALSE,"WWCM"}</definedName>
    <definedName name="taxol_2" localSheetId="3" hidden="1">{#N/A,#N/A,FALSE,"Pharm";#N/A,#N/A,FALSE,"WWCM"}</definedName>
    <definedName name="taxol_2" hidden="1">{#N/A,#N/A,FALSE,"Pharm";#N/A,#N/A,FALSE,"WWCM"}</definedName>
    <definedName name="taxol_3" localSheetId="3" hidden="1">{#N/A,#N/A,FALSE,"Pharm";#N/A,#N/A,FALSE,"WWCM"}</definedName>
    <definedName name="taxol_3" hidden="1">{#N/A,#N/A,FALSE,"Pharm";#N/A,#N/A,FALSE,"WWCM"}</definedName>
    <definedName name="taxol_4" localSheetId="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 localSheetId="4">[164]ASSUMPTIONS!$E$25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 localSheetId="4">'[98]Parameters '!$M$4</definedName>
    <definedName name="Td">#REF!</definedName>
    <definedName name="tdc" localSheetId="3" hidden="1">{"'April 24'!$J$11"}</definedName>
    <definedName name="tdc" hidden="1">{"'April 24'!$J$11"}</definedName>
    <definedName name="tdep">#REF!</definedName>
    <definedName name="TDGJTJ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ch_Know_return">#REF!</definedName>
    <definedName name="TECh_WRTUP" localSheetId="3" hidden="1">{"CASH FLOW",#N/A,FALSE,"A"}</definedName>
    <definedName name="TECh_WRTUP" hidden="1">{"CASH FLOW",#N/A,FALSE,"A"}</definedName>
    <definedName name="Technology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 localSheetId="3">{0,0,0,0;0,0,0,0}</definedName>
    <definedName name="tej">{0,0,0,0;0,0,0,0}</definedName>
    <definedName name="tele">#REF!</definedName>
    <definedName name="Telephone">#REF!</definedName>
    <definedName name="Telephone___Telecommunication_Expense">'[194]GL-PC'!$B$4</definedName>
    <definedName name="Teleradiology_Services_costs">'[48]GL-PC'!#REF!</definedName>
    <definedName name="Tem" localSheetId="3" hidden="1">{#N/A,#N/A,FALSE,"Pharm";#N/A,#N/A,FALSE,"WWCM"}</definedName>
    <definedName name="Tem" hidden="1">{#N/A,#N/A,FALSE,"Pharm";#N/A,#N/A,FALSE,"WWCM"}</definedName>
    <definedName name="Tem_1" localSheetId="3" hidden="1">{#N/A,#N/A,FALSE,"Pharm";#N/A,#N/A,FALSE,"WWCM"}</definedName>
    <definedName name="Tem_1" hidden="1">{#N/A,#N/A,FALSE,"Pharm";#N/A,#N/A,FALSE,"WWCM"}</definedName>
    <definedName name="Tem_2" localSheetId="3" hidden="1">{#N/A,#N/A,FALSE,"Pharm";#N/A,#N/A,FALSE,"WWCM"}</definedName>
    <definedName name="Tem_2" hidden="1">{#N/A,#N/A,FALSE,"Pharm";#N/A,#N/A,FALSE,"WWCM"}</definedName>
    <definedName name="Tem_3" localSheetId="3" hidden="1">{#N/A,#N/A,FALSE,"Pharm";#N/A,#N/A,FALSE,"WWCM"}</definedName>
    <definedName name="Tem_3" hidden="1">{#N/A,#N/A,FALSE,"Pharm";#N/A,#N/A,FALSE,"WWCM"}</definedName>
    <definedName name="Tem_4" localSheetId="3" hidden="1">{#N/A,#N/A,FALSE,"Pharm";#N/A,#N/A,FALSE,"WWCM"}</definedName>
    <definedName name="Tem_4" hidden="1">{#N/A,#N/A,FALSE,"Pharm";#N/A,#N/A,FALSE,"WWCM"}</definedName>
    <definedName name="temp" localSheetId="4">{"סעיף",0,"Auto","Auto",""}</definedName>
    <definedName name="temp" localSheetId="3">{"'NPCGUIDELINES'!$A$1:$J$41"}</definedName>
    <definedName name="temp">{"'NPCGUIDELINES'!$A$1:$J$41"}</definedName>
    <definedName name="temp_1" localSheetId="4" hidden="1">{"Outflow 1",#N/A,FALSE,"Outflows-Inflows";"Outflow 2",#N/A,FALSE,"Outflows-Inflows";"Inflow 1",#N/A,FALSE,"Outflows-Inflows";"Inflow 2",#N/A,FALSE,"Outflows-Inflows"}</definedName>
    <definedName name="temp_1" localSheetId="3" hidden="1">{"Outflow 1",#N/A,FALSE,"Outflows-Inflows";"Outflow 2",#N/A,FALSE,"Outflows-Inflows";"Inflow 1",#N/A,FALSE,"Outflows-Inflows";"Inflow 2",#N/A,FALSE,"Outflows-Inflows"}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localSheetId="3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2_1" localSheetId="3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localSheetId="3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localSheetId="3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localSheetId="3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localSheetId="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localSheetId="3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localSheetId="3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localSheetId="3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localSheetId="3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localSheetId="3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localSheetId="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localSheetId="3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localSheetId="3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localSheetId="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localSheetId="3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localSheetId="3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localSheetId="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localSheetId="3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localSheetId="3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localSheetId="3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localSheetId="3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localSheetId="3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localSheetId="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localSheetId="3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localSheetId="3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localSheetId="3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localSheetId="3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localSheetId="3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localSheetId="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localSheetId="3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localSheetId="3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localSheetId="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localSheetId="3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localSheetId="3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localSheetId="3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localSheetId="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localSheetId="3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localSheetId="3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localSheetId="3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localSheetId="3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localSheetId="3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localSheetId="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localSheetId="3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localSheetId="3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localSheetId="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localSheetId="3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localSheetId="3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localSheetId="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localSheetId="3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localSheetId="3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localSheetId="3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localSheetId="3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localSheetId="3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localSheetId="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localSheetId="3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localSheetId="3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localSheetId="3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localSheetId="3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localSheetId="3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localSheetId="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localSheetId="3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localSheetId="4">{"חובה","SUM(חובה)","YNNNN",FALSE}</definedName>
    <definedName name="temp1" localSheetId="3" hidden="1">{"PAGE 1",#N/A,FALSE,"WEST_OT"}</definedName>
    <definedName name="temp1" hidden="1">{"PAGE 1",#N/A,FALSE,"WEST_OT"}</definedName>
    <definedName name="temp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localSheetId="4" hidden="1">{"PAGE 1",#N/A,FALSE,"WEST_OT"}</definedName>
    <definedName name="temp2" localSheetId="3" hidden="1">{"PAGE 1",#N/A,FALSE,"WEST_OT"}</definedName>
    <definedName name="temp2" hidden="1">{"PAGE 1",#N/A,FALSE,"WEST_OT"}</definedName>
    <definedName name="temp2_1" localSheetId="3" hidden="1">{"Frequency Graph",#N/A,FALSE,"Trend";"Loss Cost Graph",#N/A,FALSE,"Trend";"Severity Trend Graph",#N/A,FALSE,"Trend"}</definedName>
    <definedName name="temp2_1" hidden="1">{"Frequency Graph",#N/A,FALSE,"Trend";"Loss Cost Graph",#N/A,FALSE,"Trend";"Severity Trend Graph",#N/A,FALSE,"Trend"}</definedName>
    <definedName name="temp2_1_1" localSheetId="3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localSheetId="3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localSheetId="3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localSheetId="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localSheetId="3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localSheetId="3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localSheetId="3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localSheetId="3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localSheetId="3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localSheetId="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localSheetId="3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localSheetId="3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localSheetId="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localSheetId="3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localSheetId="3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localSheetId="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localSheetId="3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localSheetId="3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localSheetId="3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localSheetId="3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localSheetId="3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localSheetId="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localSheetId="3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localSheetId="3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localSheetId="3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localSheetId="3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localSheetId="3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localSheetId="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localSheetId="3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localSheetId="4" hidden="1">{"PAGE 1",#N/A,FALSE,"WEST_OT"}</definedName>
    <definedName name="temp3" localSheetId="3" hidden="1">{"PAGE 1",#N/A,FALSE,"WEST_OT"}</definedName>
    <definedName name="temp3" hidden="1">{"PAGE 1",#N/A,FALSE,"WEST_OT"}</definedName>
    <definedName name="temp3_1" localSheetId="3" hidden="1">{"Reported Interpolated Dev Factors",#N/A,FALSE,"Interpolation";"Paid Interpolated Dev Factors",#N/A,FALSE,"Interpolation";"Reported Claim Interpolated Dev Factors",#N/A,FALSE,"Interpolation"}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localSheetId="3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localSheetId="3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localSheetId="3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localSheetId="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localSheetId="3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localSheetId="3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localSheetId="3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localSheetId="3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localSheetId="3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localSheetId="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localSheetId="3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localSheetId="3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localSheetId="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localSheetId="3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localSheetId="3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localSheetId="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localSheetId="3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localSheetId="3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localSheetId="3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localSheetId="3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localSheetId="3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localSheetId="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localSheetId="3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localSheetId="3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localSheetId="3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localSheetId="3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localSheetId="3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localSheetId="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localSheetId="3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localSheetId="3" hidden="1">{"Reported Loss Inverse Power Curve",#N/A,FALSE,"IPC";"Paid Inverse Power Curve",#N/A,FALSE,"IPC";"Reported Claim Inverse Power Curve",#N/A,FALSE,"IPC"}</definedName>
    <definedName name="temp4" hidden="1">{"Reported Loss Inverse Power Curve",#N/A,FALSE,"IPC";"Paid Inverse Power Curve",#N/A,FALSE,"IPC";"Reported Claim Inverse Power Curve",#N/A,FALSE,"IPC"}</definedName>
    <definedName name="temp4_1" localSheetId="3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localSheetId="3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localSheetId="3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localSheetId="3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localSheetId="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localSheetId="3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localSheetId="3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localSheetId="3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localSheetId="3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localSheetId="3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localSheetId="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localSheetId="3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localSheetId="3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localSheetId="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localSheetId="3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localSheetId="3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localSheetId="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localSheetId="3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localSheetId="3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localSheetId="3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localSheetId="3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localSheetId="3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localSheetId="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localSheetId="3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localSheetId="3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localSheetId="3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localSheetId="3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localSheetId="3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localSheetId="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localSheetId="3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localSheetId="3" hidden="1">{"Summary",#N/A,FALSE,"Summary";"Summary Diagnotics",#N/A,FALSE,"Summary"}</definedName>
    <definedName name="temp7" hidden="1">{"Summary",#N/A,FALSE,"Summary";"Summary Diagnotics",#N/A,FALSE,"Summary"}</definedName>
    <definedName name="temp7_1" localSheetId="3" hidden="1">{"Summary",#N/A,FALSE,"Summary";"Summary Diagnotics",#N/A,FALSE,"Summary"}</definedName>
    <definedName name="temp7_1" hidden="1">{"Summary",#N/A,FALSE,"Summary";"Summary Diagnotics",#N/A,FALSE,"Summary"}</definedName>
    <definedName name="temp7_1_1" localSheetId="3" hidden="1">{"Summary",#N/A,FALSE,"Summary";"Summary Diagnotics",#N/A,FALSE,"Summary"}</definedName>
    <definedName name="temp7_1_1" hidden="1">{"Summary",#N/A,FALSE,"Summary";"Summary Diagnotics",#N/A,FALSE,"Summary"}</definedName>
    <definedName name="temp7_1_2" localSheetId="3" hidden="1">{"Summary",#N/A,FALSE,"Summary";"Summary Diagnotics",#N/A,FALSE,"Summary"}</definedName>
    <definedName name="temp7_1_2" hidden="1">{"Summary",#N/A,FALSE,"Summary";"Summary Diagnotics",#N/A,FALSE,"Summary"}</definedName>
    <definedName name="temp7_1_3" localSheetId="3" hidden="1">{"Summary",#N/A,FALSE,"Summary";"Summary Diagnotics",#N/A,FALSE,"Summary"}</definedName>
    <definedName name="temp7_1_3" hidden="1">{"Summary",#N/A,FALSE,"Summary";"Summary Diagnotics",#N/A,FALSE,"Summary"}</definedName>
    <definedName name="temp7_1_4" localSheetId="3" hidden="1">{"Summary",#N/A,FALSE,"Summary";"Summary Diagnotics",#N/A,FALSE,"Summary"}</definedName>
    <definedName name="temp7_1_4" hidden="1">{"Summary",#N/A,FALSE,"Summary";"Summary Diagnotics",#N/A,FALSE,"Summary"}</definedName>
    <definedName name="temp7_1_5" localSheetId="3" hidden="1">{"Summary",#N/A,FALSE,"Summary";"Summary Diagnotics",#N/A,FALSE,"Summary"}</definedName>
    <definedName name="temp7_1_5" hidden="1">{"Summary",#N/A,FALSE,"Summary";"Summary Diagnotics",#N/A,FALSE,"Summary"}</definedName>
    <definedName name="temp7_2" localSheetId="3" hidden="1">{"Summary",#N/A,FALSE,"Summary";"Summary Diagnotics",#N/A,FALSE,"Summary"}</definedName>
    <definedName name="temp7_2" hidden="1">{"Summary",#N/A,FALSE,"Summary";"Summary Diagnotics",#N/A,FALSE,"Summary"}</definedName>
    <definedName name="temp7_2_1" localSheetId="3" hidden="1">{"Summary",#N/A,FALSE,"Summary";"Summary Diagnotics",#N/A,FALSE,"Summary"}</definedName>
    <definedName name="temp7_2_1" hidden="1">{"Summary",#N/A,FALSE,"Summary";"Summary Diagnotics",#N/A,FALSE,"Summary"}</definedName>
    <definedName name="temp7_2_2" localSheetId="3" hidden="1">{"Summary",#N/A,FALSE,"Summary";"Summary Diagnotics",#N/A,FALSE,"Summary"}</definedName>
    <definedName name="temp7_2_2" hidden="1">{"Summary",#N/A,FALSE,"Summary";"Summary Diagnotics",#N/A,FALSE,"Summary"}</definedName>
    <definedName name="temp7_2_3" localSheetId="3" hidden="1">{"Summary",#N/A,FALSE,"Summary";"Summary Diagnotics",#N/A,FALSE,"Summary"}</definedName>
    <definedName name="temp7_2_3" hidden="1">{"Summary",#N/A,FALSE,"Summary";"Summary Diagnotics",#N/A,FALSE,"Summary"}</definedName>
    <definedName name="temp7_2_4" localSheetId="3" hidden="1">{"Summary",#N/A,FALSE,"Summary";"Summary Diagnotics",#N/A,FALSE,"Summary"}</definedName>
    <definedName name="temp7_2_4" hidden="1">{"Summary",#N/A,FALSE,"Summary";"Summary Diagnotics",#N/A,FALSE,"Summary"}</definedName>
    <definedName name="temp7_2_5" localSheetId="3" hidden="1">{"Summary",#N/A,FALSE,"Summary";"Summary Diagnotics",#N/A,FALSE,"Summary"}</definedName>
    <definedName name="temp7_2_5" hidden="1">{"Summary",#N/A,FALSE,"Summary";"Summary Diagnotics",#N/A,FALSE,"Summary"}</definedName>
    <definedName name="temp7_3" localSheetId="3" hidden="1">{"Summary",#N/A,FALSE,"Summary";"Summary Diagnotics",#N/A,FALSE,"Summary"}</definedName>
    <definedName name="temp7_3" hidden="1">{"Summary",#N/A,FALSE,"Summary";"Summary Diagnotics",#N/A,FALSE,"Summary"}</definedName>
    <definedName name="temp7_3_1" localSheetId="3" hidden="1">{"Summary",#N/A,FALSE,"Summary";"Summary Diagnotics",#N/A,FALSE,"Summary"}</definedName>
    <definedName name="temp7_3_1" hidden="1">{"Summary",#N/A,FALSE,"Summary";"Summary Diagnotics",#N/A,FALSE,"Summary"}</definedName>
    <definedName name="temp7_3_2" localSheetId="3" hidden="1">{"Summary",#N/A,FALSE,"Summary";"Summary Diagnotics",#N/A,FALSE,"Summary"}</definedName>
    <definedName name="temp7_3_2" hidden="1">{"Summary",#N/A,FALSE,"Summary";"Summary Diagnotics",#N/A,FALSE,"Summary"}</definedName>
    <definedName name="temp7_3_3" localSheetId="3" hidden="1">{"Summary",#N/A,FALSE,"Summary";"Summary Diagnotics",#N/A,FALSE,"Summary"}</definedName>
    <definedName name="temp7_3_3" hidden="1">{"Summary",#N/A,FALSE,"Summary";"Summary Diagnotics",#N/A,FALSE,"Summary"}</definedName>
    <definedName name="temp7_3_4" localSheetId="3" hidden="1">{"Summary",#N/A,FALSE,"Summary";"Summary Diagnotics",#N/A,FALSE,"Summary"}</definedName>
    <definedName name="temp7_3_4" hidden="1">{"Summary",#N/A,FALSE,"Summary";"Summary Diagnotics",#N/A,FALSE,"Summary"}</definedName>
    <definedName name="temp7_3_5" localSheetId="3" hidden="1">{"Summary",#N/A,FALSE,"Summary";"Summary Diagnotics",#N/A,FALSE,"Summary"}</definedName>
    <definedName name="temp7_3_5" hidden="1">{"Summary",#N/A,FALSE,"Summary";"Summary Diagnotics",#N/A,FALSE,"Summary"}</definedName>
    <definedName name="temp7_4" localSheetId="3" hidden="1">{"Summary",#N/A,FALSE,"Summary";"Summary Diagnotics",#N/A,FALSE,"Summary"}</definedName>
    <definedName name="temp7_4" hidden="1">{"Summary",#N/A,FALSE,"Summary";"Summary Diagnotics",#N/A,FALSE,"Summary"}</definedName>
    <definedName name="temp7_4_1" localSheetId="3" hidden="1">{"Summary",#N/A,FALSE,"Summary";"Summary Diagnotics",#N/A,FALSE,"Summary"}</definedName>
    <definedName name="temp7_4_1" hidden="1">{"Summary",#N/A,FALSE,"Summary";"Summary Diagnotics",#N/A,FALSE,"Summary"}</definedName>
    <definedName name="temp7_4_2" localSheetId="3" hidden="1">{"Summary",#N/A,FALSE,"Summary";"Summary Diagnotics",#N/A,FALSE,"Summary"}</definedName>
    <definedName name="temp7_4_2" hidden="1">{"Summary",#N/A,FALSE,"Summary";"Summary Diagnotics",#N/A,FALSE,"Summary"}</definedName>
    <definedName name="temp7_4_3" localSheetId="3" hidden="1">{"Summary",#N/A,FALSE,"Summary";"Summary Diagnotics",#N/A,FALSE,"Summary"}</definedName>
    <definedName name="temp7_4_3" hidden="1">{"Summary",#N/A,FALSE,"Summary";"Summary Diagnotics",#N/A,FALSE,"Summary"}</definedName>
    <definedName name="temp7_4_4" localSheetId="3" hidden="1">{"Summary",#N/A,FALSE,"Summary";"Summary Diagnotics",#N/A,FALSE,"Summary"}</definedName>
    <definedName name="temp7_4_4" hidden="1">{"Summary",#N/A,FALSE,"Summary";"Summary Diagnotics",#N/A,FALSE,"Summary"}</definedName>
    <definedName name="temp7_4_5" localSheetId="3" hidden="1">{"Summary",#N/A,FALSE,"Summary";"Summary Diagnotics",#N/A,FALSE,"Summary"}</definedName>
    <definedName name="temp7_4_5" hidden="1">{"Summary",#N/A,FALSE,"Summary";"Summary Diagnotics",#N/A,FALSE,"Summary"}</definedName>
    <definedName name="temp7_5" localSheetId="3" hidden="1">{"Summary",#N/A,FALSE,"Summary";"Summary Diagnotics",#N/A,FALSE,"Summary"}</definedName>
    <definedName name="temp7_5" hidden="1">{"Summary",#N/A,FALSE,"Summary";"Summary Diagnotics",#N/A,FALSE,"Summary"}</definedName>
    <definedName name="temp7_5_1" localSheetId="3" hidden="1">{"Summary",#N/A,FALSE,"Summary";"Summary Diagnotics",#N/A,FALSE,"Summary"}</definedName>
    <definedName name="temp7_5_1" hidden="1">{"Summary",#N/A,FALSE,"Summary";"Summary Diagnotics",#N/A,FALSE,"Summary"}</definedName>
    <definedName name="temp7_5_2" localSheetId="3" hidden="1">{"Summary",#N/A,FALSE,"Summary";"Summary Diagnotics",#N/A,FALSE,"Summary"}</definedName>
    <definedName name="temp7_5_2" hidden="1">{"Summary",#N/A,FALSE,"Summary";"Summary Diagnotics",#N/A,FALSE,"Summary"}</definedName>
    <definedName name="temp7_5_3" localSheetId="3" hidden="1">{"Summary",#N/A,FALSE,"Summary";"Summary Diagnotics",#N/A,FALSE,"Summary"}</definedName>
    <definedName name="temp7_5_3" hidden="1">{"Summary",#N/A,FALSE,"Summary";"Summary Diagnotics",#N/A,FALSE,"Summary"}</definedName>
    <definedName name="temp7_5_4" localSheetId="3" hidden="1">{"Summary",#N/A,FALSE,"Summary";"Summary Diagnotics",#N/A,FALSE,"Summary"}</definedName>
    <definedName name="temp7_5_4" hidden="1">{"Summary",#N/A,FALSE,"Summary";"Summary Diagnotics",#N/A,FALSE,"Summary"}</definedName>
    <definedName name="temp7_5_5" localSheetId="3" hidden="1">{"Summary",#N/A,FALSE,"Summary";"Summary Diagnotics",#N/A,FALSE,"Summary"}</definedName>
    <definedName name="temp7_5_5" hidden="1">{"Summary",#N/A,FALSE,"Summary";"Summary Diagnotics",#N/A,FALSE,"Summary"}</definedName>
    <definedName name="temp8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localSheetId="3" hidden="1">{#N/A,#N/A,TRUE,"FD IV Portfolio Summary ";#N/A,#N/A,TRUE,"Western";#N/A,#N/A,TRUE,"Kranson";#N/A,#N/A,TRUE,"Product";#N/A,#N/A,TRUE,"Precise";#N/A,#N/A,TRUE,"WNA"}</definedName>
    <definedName name="tempq6" hidden="1">{#N/A,#N/A,TRUE,"FD IV Portfolio Summary ";#N/A,#N/A,TRUE,"Western";#N/A,#N/A,TRUE,"Kranson";#N/A,#N/A,TRUE,"Product";#N/A,#N/A,TRUE,"Precise";#N/A,#N/A,TRUE,"WNA"}</definedName>
    <definedName name="tempq7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localSheetId="3" hidden="1">{#N/A,#N/A,FALSE,"Pharm";#N/A,#N/A,FALSE,"WWCM"}</definedName>
    <definedName name="teq" hidden="1">{#N/A,#N/A,FALSE,"Pharm";#N/A,#N/A,FALSE,"WWCM"}</definedName>
    <definedName name="teq_1" localSheetId="3" hidden="1">{#N/A,#N/A,FALSE,"Pharm";#N/A,#N/A,FALSE,"WWCM"}</definedName>
    <definedName name="teq_1" hidden="1">{#N/A,#N/A,FALSE,"Pharm";#N/A,#N/A,FALSE,"WWCM"}</definedName>
    <definedName name="teq_2" localSheetId="3" hidden="1">{#N/A,#N/A,FALSE,"Pharm";#N/A,#N/A,FALSE,"WWCM"}</definedName>
    <definedName name="teq_2" hidden="1">{#N/A,#N/A,FALSE,"Pharm";#N/A,#N/A,FALSE,"WWCM"}</definedName>
    <definedName name="teq_3" localSheetId="3" hidden="1">{#N/A,#N/A,FALSE,"Pharm";#N/A,#N/A,FALSE,"WWCM"}</definedName>
    <definedName name="teq_3" hidden="1">{#N/A,#N/A,FALSE,"Pharm";#N/A,#N/A,FALSE,"WWCM"}</definedName>
    <definedName name="teq_4" localSheetId="3" hidden="1">{#N/A,#N/A,FALSE,"Pharm";#N/A,#N/A,FALSE,"WWCM"}</definedName>
    <definedName name="teq_4" hidden="1">{#N/A,#N/A,FALSE,"Pharm";#N/A,#N/A,FALSE,"WWCM"}</definedName>
    <definedName name="Tequin" localSheetId="3" hidden="1">{#N/A,#N/A,FALSE,"Pharm";#N/A,#N/A,FALSE,"WWCM"}</definedName>
    <definedName name="Tequin" hidden="1">{#N/A,#N/A,FALSE,"Pharm";#N/A,#N/A,FALSE,"WWCM"}</definedName>
    <definedName name="Tequin_1" localSheetId="3" hidden="1">{#N/A,#N/A,FALSE,"Pharm";#N/A,#N/A,FALSE,"WWCM"}</definedName>
    <definedName name="Tequin_1" hidden="1">{#N/A,#N/A,FALSE,"Pharm";#N/A,#N/A,FALSE,"WWCM"}</definedName>
    <definedName name="Tequin_2" localSheetId="3" hidden="1">{#N/A,#N/A,FALSE,"Pharm";#N/A,#N/A,FALSE,"WWCM"}</definedName>
    <definedName name="Tequin_2" hidden="1">{#N/A,#N/A,FALSE,"Pharm";#N/A,#N/A,FALSE,"WWCM"}</definedName>
    <definedName name="Tequin_3" localSheetId="3" hidden="1">{#N/A,#N/A,FALSE,"Pharm";#N/A,#N/A,FALSE,"WWCM"}</definedName>
    <definedName name="Tequin_3" hidden="1">{#N/A,#N/A,FALSE,"Pharm";#N/A,#N/A,FALSE,"WWCM"}</definedName>
    <definedName name="Tequin_4" localSheetId="3" hidden="1">{#N/A,#N/A,FALSE,"Pharm";#N/A,#N/A,FALSE,"WWCM"}</definedName>
    <definedName name="Tequin_4" hidden="1">{#N/A,#N/A,FALSE,"Pharm";#N/A,#N/A,FALSE,"WWCM"}</definedName>
    <definedName name="tequinol" localSheetId="3" hidden="1">{#N/A,#N/A,FALSE,"REPORT"}</definedName>
    <definedName name="tequinol" hidden="1">{#N/A,#N/A,FALSE,"REPORT"}</definedName>
    <definedName name="tequinol_1" localSheetId="3" hidden="1">{#N/A,#N/A,FALSE,"REPORT"}</definedName>
    <definedName name="tequinol_1" hidden="1">{#N/A,#N/A,FALSE,"REPORT"}</definedName>
    <definedName name="tequinol_2" localSheetId="3" hidden="1">{#N/A,#N/A,FALSE,"REPORT"}</definedName>
    <definedName name="tequinol_2" hidden="1">{#N/A,#N/A,FALSE,"REPORT"}</definedName>
    <definedName name="tequinol_3" localSheetId="3" hidden="1">{#N/A,#N/A,FALSE,"REPORT"}</definedName>
    <definedName name="tequinol_3" hidden="1">{#N/A,#N/A,FALSE,"REPORT"}</definedName>
    <definedName name="tequinol_4" localSheetId="3" hidden="1">{#N/A,#N/A,FALSE,"REPORT"}</definedName>
    <definedName name="tequinol_4" hidden="1">{#N/A,#N/A,FALSE,"REPORT"}</definedName>
    <definedName name="ter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localSheetId="3" hidden="1">{"YD GENERALH2",#N/A,FALSE,"YTD"}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localSheetId="3" hidden="1">{#N/A,#N/A,FALSE,"Monthly"}</definedName>
    <definedName name="tes2stb" hidden="1">{#N/A,#N/A,FALSE,"Monthly"}</definedName>
    <definedName name="tesg4" localSheetId="4" hidden="1">{"PAGE 1",#N/A,FALSE,"WEST_OT"}</definedName>
    <definedName name="tesg4" localSheetId="3" hidden="1">{"PAGE 1",#N/A,FALSE,"WEST_OT"}</definedName>
    <definedName name="tesg4" hidden="1">{"PAGE 1",#N/A,FALSE,"WEST_OT"}</definedName>
    <definedName name="test" localSheetId="4">[211]באורים!$A$1:$F$92,[211]באורים!$A$118:$F$131,[211]באורים!$G$68:$P$92,[211]באורים!$G$96:$L$108,[211]באורים!$G$109:$L$134,[211]באורים!$G$161:$L$173,[211]באורים!$Q$1:$V$27,[211]באורים!$Q$118:$V$146,[211]באורים!$X$1:$AE$90</definedName>
    <definedName name="test">#REF!</definedName>
    <definedName name="test_1" localSheetId="3" hidden="1">{#N/A,#N/A,FALSE,"Japan 2003";#N/A,#N/A,FALSE,"Sheet2"}</definedName>
    <definedName name="test_1" hidden="1">{#N/A,#N/A,FALSE,"Japan 2003";#N/A,#N/A,FALSE,"Sheet2"}</definedName>
    <definedName name="test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localSheetId="3" hidden="1">{#N/A,#N/A,TRUE,"MAIN FT TERM";#N/A,#N/A,TRUE,"MCI  FT TERM ";#N/A,#N/A,TRUE,"OC12 EQV"}</definedName>
    <definedName name="test022" hidden="1">{#N/A,#N/A,TRUE,"MAIN FT TERM";#N/A,#N/A,TRUE,"MCI  FT TERM ";#N/A,#N/A,TRUE,"OC12 EQV"}</definedName>
    <definedName name="TEST1" localSheetId="4">#REF!</definedName>
    <definedName name="test1" localSheetId="3" hidden="1">{"PAGE 1",#N/A,FALSE,"WEST_OT"}</definedName>
    <definedName name="test1" hidden="1">{"PAGE 1",#N/A,FALSE,"WEST_OT"}</definedName>
    <definedName name="test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localSheetId="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localSheetId="4" hidden="1">{"PAGE 1",#N/A,FALSE,"WEST_OT"}</definedName>
    <definedName name="test10" localSheetId="3" hidden="1">{"PAGE 1",#N/A,FALSE,"WEST_OT"}</definedName>
    <definedName name="test10" hidden="1">{"PAGE 1",#N/A,FALSE,"WEST_OT"}</definedName>
    <definedName name="test11" localSheetId="4" hidden="1">{"PAGE 1",#N/A,FALSE,"WEST_OT"}</definedName>
    <definedName name="test11" localSheetId="3" hidden="1">{"PAGE 1",#N/A,FALSE,"WEST_OT"}</definedName>
    <definedName name="test11" hidden="1">{"PAGE 1",#N/A,FALSE,"WEST_OT"}</definedName>
    <definedName name="test12" localSheetId="4" hidden="1">{"PAGE 2",#N/A,FALSE,"WEST_OT"}</definedName>
    <definedName name="test12" localSheetId="3" hidden="1">{"PAGE 2",#N/A,FALSE,"WEST_OT"}</definedName>
    <definedName name="test12" hidden="1">{"PAGE 2",#N/A,FALSE,"WEST_OT"}</definedName>
    <definedName name="TEST13" localSheetId="4">#REF!</definedName>
    <definedName name="test13" localSheetId="3" hidden="1">{"PAGE 2",#N/A,FALSE,"WEST_OT"}</definedName>
    <definedName name="test13" hidden="1">{"PAGE 2",#N/A,FALSE,"WEST_OT"}</definedName>
    <definedName name="TEST14" localSheetId="4">#REF!</definedName>
    <definedName name="test14" localSheetId="3" hidden="1">{"PAGE 1",#N/A,FALSE,"WEST_OT"}</definedName>
    <definedName name="test14" hidden="1">{"PAGE 1",#N/A,FALSE,"WEST_OT"}</definedName>
    <definedName name="TEST15" localSheetId="4">#REF!</definedName>
    <definedName name="test15" localSheetId="3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localSheetId="4">[212]מכירות!#REF!</definedName>
    <definedName name="test2" localSheetId="3" hidden="1">{"PAGE 2",#N/A,FALSE,"WEST_OT"}</definedName>
    <definedName name="test2" hidden="1">{"PAGE 2",#N/A,FALSE,"WEST_OT"}</definedName>
    <definedName name="test2_1" localSheetId="3" hidden="1">{#N/A,#N/A,FALSE,"Japan 2003";#N/A,#N/A,FALSE,"Sheet2"}</definedName>
    <definedName name="test2_1" hidden="1">{#N/A,#N/A,FALSE,"Japan 2003";#N/A,#N/A,FALSE,"Sheet2"}</definedName>
    <definedName name="TEST20" localSheetId="4">#REF!</definedName>
    <definedName name="test20" localSheetId="3" hidden="1">{"PAGE 1",#N/A,FALSE,"WEST_OT"}</definedName>
    <definedName name="test20" hidden="1">{"PAGE 1",#N/A,FALSE,"WEST_OT"}</definedName>
    <definedName name="test200" localSheetId="3">{"'1-TheatreBkgs'!$A$1:$L$102"}</definedName>
    <definedName name="test200">{"'1-TheatreBkgs'!$A$1:$L$102"}</definedName>
    <definedName name="TEST21" localSheetId="4">#REF!</definedName>
    <definedName name="test21" localSheetId="3" hidden="1">{"PAGE 1",#N/A,FALSE,"WEST_OT"}</definedName>
    <definedName name="test21" hidden="1">{"PAGE 1",#N/A,FALSE,"WEST_OT"}</definedName>
    <definedName name="TEST22" localSheetId="4">#REF!</definedName>
    <definedName name="test22" localSheetId="3" hidden="1">{"PAGE 1",#N/A,FALSE,"WEST_OT"}</definedName>
    <definedName name="test22" hidden="1">{"PAGE 1",#N/A,FALSE,"WEST_OT"}</definedName>
    <definedName name="TEST23" localSheetId="4">#REF!</definedName>
    <definedName name="test23" localSheetId="3" hidden="1">{"PAGE 1",#N/A,FALSE,"WEST_OT"}</definedName>
    <definedName name="test23" hidden="1">{"PAGE 1",#N/A,FALSE,"WEST_OT"}</definedName>
    <definedName name="TEST24" localSheetId="4">#REF!</definedName>
    <definedName name="test24" localSheetId="3" hidden="1">{"PAGE 1",#N/A,FALSE,"WEST_OT"}</definedName>
    <definedName name="test24" hidden="1">{"PAGE 1",#N/A,FALSE,"WEST_OT"}</definedName>
    <definedName name="TEST25" localSheetId="4">#REF!</definedName>
    <definedName name="test25" localSheetId="3" hidden="1">{"PAGE 1",#N/A,FALSE,"WEST_OT"}</definedName>
    <definedName name="test25" hidden="1">{"PAGE 1",#N/A,FALSE,"WEST_OT"}</definedName>
    <definedName name="TEST26" localSheetId="4">#REF!</definedName>
    <definedName name="test26" localSheetId="3" hidden="1">{"PAGE 1",#N/A,FALSE,"WEST_OT"}</definedName>
    <definedName name="test26" hidden="1">{"PAGE 1",#N/A,FALSE,"WEST_OT"}</definedName>
    <definedName name="TEST27" localSheetId="4">#REF!</definedName>
    <definedName name="test27" localSheetId="3" hidden="1">{"PAGE 1",#N/A,FALSE,"WEST_OT"}</definedName>
    <definedName name="test27" hidden="1">{"PAGE 1",#N/A,FALSE,"WEST_OT"}</definedName>
    <definedName name="TEST28" localSheetId="4">#REF!</definedName>
    <definedName name="test28" localSheetId="3" hidden="1">{"PAGE 1",#N/A,FALSE,"WEST_OT"}</definedName>
    <definedName name="test28" hidden="1">{"PAGE 1",#N/A,FALSE,"WEST_OT"}</definedName>
    <definedName name="TEST29" localSheetId="4">#REF!</definedName>
    <definedName name="test29" localSheetId="3" hidden="1">{"PAGE 1",#N/A,FALSE,"WEST_OT"}</definedName>
    <definedName name="test29" hidden="1">{"PAGE 1",#N/A,FALSE,"WEST_OT"}</definedName>
    <definedName name="test2stb2" localSheetId="3" hidden="1">{#N/A,#N/A,FALSE,"Monthly"}</definedName>
    <definedName name="test2stb2" hidden="1">{#N/A,#N/A,FALSE,"Monthly"}</definedName>
    <definedName name="TEST3" localSheetId="4">[212]מכירות!#REF!</definedName>
    <definedName name="test3" localSheetId="3" hidden="1">{"PAGE 1",#N/A,FALSE,"WEST_OT"}</definedName>
    <definedName name="test3" hidden="1">{"PAGE 1",#N/A,FALSE,"WEST_OT"}</definedName>
    <definedName name="TEST30" localSheetId="4">#REF!</definedName>
    <definedName name="test30" localSheetId="3" hidden="1">{"PAGE 2",#N/A,FALSE,"WEST_OT"}</definedName>
    <definedName name="test30" hidden="1">{"PAGE 2",#N/A,FALSE,"WEST_OT"}</definedName>
    <definedName name="TEST31" localSheetId="4">#REF!</definedName>
    <definedName name="test31" localSheetId="3" hidden="1">{"PAGE 1",#N/A,FALSE,"WEST_OT"}</definedName>
    <definedName name="test31" hidden="1">{"PAGE 1",#N/A,FALSE,"WEST_OT"}</definedName>
    <definedName name="TEST32" localSheetId="4">#REF!</definedName>
    <definedName name="test32" localSheetId="3" hidden="1">{"PAGE 1",#N/A,FALSE,"WEST_OT"}</definedName>
    <definedName name="test32" hidden="1">{"PAGE 1",#N/A,FALSE,"WEST_OT"}</definedName>
    <definedName name="test33" localSheetId="4" hidden="1">{"PAGE 1",#N/A,FALSE,"WEST_OT"}</definedName>
    <definedName name="test33" localSheetId="3" hidden="1">{"PAGE 1",#N/A,FALSE,"WEST_OT"}</definedName>
    <definedName name="test33" hidden="1">{"PAGE 1",#N/A,FALSE,"WEST_OT"}</definedName>
    <definedName name="test34" localSheetId="4" hidden="1">{"PAGE 1",#N/A,FALSE,"WEST_OT"}</definedName>
    <definedName name="test34" localSheetId="3" hidden="1">{"PAGE 1",#N/A,FALSE,"WEST_OT"}</definedName>
    <definedName name="test34" hidden="1">{"PAGE 1",#N/A,FALSE,"WEST_OT"}</definedName>
    <definedName name="test35" localSheetId="4" hidden="1">{"PAGE 1",#N/A,FALSE,"WEST_OT"}</definedName>
    <definedName name="test35" localSheetId="3" hidden="1">{"PAGE 1",#N/A,FALSE,"WEST_OT"}</definedName>
    <definedName name="test35" hidden="1">{"PAGE 1",#N/A,FALSE,"WEST_OT"}</definedName>
    <definedName name="test36" localSheetId="4" hidden="1">{"PAGE 1",#N/A,FALSE,"WEST_OT"}</definedName>
    <definedName name="test36" localSheetId="3" hidden="1">{"PAGE 1",#N/A,FALSE,"WEST_OT"}</definedName>
    <definedName name="test36" hidden="1">{"PAGE 1",#N/A,FALSE,"WEST_OT"}</definedName>
    <definedName name="test37" localSheetId="4" hidden="1">{"PAGE 2",#N/A,FALSE,"WEST_OT"}</definedName>
    <definedName name="test37" localSheetId="3" hidden="1">{"PAGE 2",#N/A,FALSE,"WEST_OT"}</definedName>
    <definedName name="test37" hidden="1">{"PAGE 2",#N/A,FALSE,"WEST_OT"}</definedName>
    <definedName name="test38" localSheetId="4" hidden="1">{"PAGE 1",#N/A,FALSE,"WEST_OT"}</definedName>
    <definedName name="test38" localSheetId="3" hidden="1">{"PAGE 1",#N/A,FALSE,"WEST_OT"}</definedName>
    <definedName name="test38" hidden="1">{"PAGE 1",#N/A,FALSE,"WEST_OT"}</definedName>
    <definedName name="test39" localSheetId="4" hidden="1">{"PAGE 1",#N/A,FALSE,"WEST_OT"}</definedName>
    <definedName name="test39" localSheetId="3" hidden="1">{"PAGE 1",#N/A,FALSE,"WEST_OT"}</definedName>
    <definedName name="test39" hidden="1">{"PAGE 1",#N/A,FALSE,"WEST_OT"}</definedName>
    <definedName name="test4" localSheetId="4" hidden="1">{"PAGE 1",#N/A,FALSE,"WEST_OT"}</definedName>
    <definedName name="test4" localSheetId="3" hidden="1">{"PAGE 1",#N/A,FALSE,"WEST_OT"}</definedName>
    <definedName name="test4" hidden="1">{"PAGE 1",#N/A,FALSE,"WEST_OT"}</definedName>
    <definedName name="test40" localSheetId="4" hidden="1">{"PAGE 2",#N/A,FALSE,"WEST_OT"}</definedName>
    <definedName name="test40" localSheetId="3" hidden="1">{"PAGE 2",#N/A,FALSE,"WEST_OT"}</definedName>
    <definedName name="test40" hidden="1">{"PAGE 2",#N/A,FALSE,"WEST_OT"}</definedName>
    <definedName name="test41" localSheetId="4" hidden="1">{"PAGE 1",#N/A,FALSE,"WEST_OT"}</definedName>
    <definedName name="test41" localSheetId="3" hidden="1">{"PAGE 1",#N/A,FALSE,"WEST_OT"}</definedName>
    <definedName name="test41" hidden="1">{"PAGE 1",#N/A,FALSE,"WEST_OT"}</definedName>
    <definedName name="test42" localSheetId="4" hidden="1">{"PAGE 1",#N/A,FALSE,"WEST_OT"}</definedName>
    <definedName name="test42" localSheetId="3" hidden="1">{"PAGE 1",#N/A,FALSE,"WEST_OT"}</definedName>
    <definedName name="test42" hidden="1">{"PAGE 1",#N/A,FALSE,"WEST_OT"}</definedName>
    <definedName name="test43" localSheetId="4" hidden="1">{"PAGE 2",#N/A,FALSE,"WEST_OT"}</definedName>
    <definedName name="test43" localSheetId="3" hidden="1">{"PAGE 2",#N/A,FALSE,"WEST_OT"}</definedName>
    <definedName name="test43" hidden="1">{"PAGE 2",#N/A,FALSE,"WEST_OT"}</definedName>
    <definedName name="test44" localSheetId="4" hidden="1">{"PAGE 2",#N/A,FALSE,"WEST_OT"}</definedName>
    <definedName name="test44" localSheetId="3" hidden="1">{"PAGE 2",#N/A,FALSE,"WEST_OT"}</definedName>
    <definedName name="test44" hidden="1">{"PAGE 2",#N/A,FALSE,"WEST_OT"}</definedName>
    <definedName name="test45" localSheetId="4" hidden="1">{"PAGE 1",#N/A,FALSE,"WEST_OT"}</definedName>
    <definedName name="test45" localSheetId="3" hidden="1">{"PAGE 1",#N/A,FALSE,"WEST_OT"}</definedName>
    <definedName name="test45" hidden="1">{"PAGE 1",#N/A,FALSE,"WEST_OT"}</definedName>
    <definedName name="test46" localSheetId="4" hidden="1">{"PAGE 1",#N/A,FALSE,"WEST_OT"}</definedName>
    <definedName name="test46" localSheetId="3" hidden="1">{"PAGE 1",#N/A,FALSE,"WEST_OT"}</definedName>
    <definedName name="test46" hidden="1">{"PAGE 1",#N/A,FALSE,"WEST_OT"}</definedName>
    <definedName name="test5" localSheetId="4" hidden="1">{"PAGE 1",#N/A,FALSE,"WEST_OT"}</definedName>
    <definedName name="test5" localSheetId="3" hidden="1">{"PAGE 1",#N/A,FALSE,"WEST_OT"}</definedName>
    <definedName name="test5" hidden="1">{"PAGE 1",#N/A,FALSE,"WEST_OT"}</definedName>
    <definedName name="test6" localSheetId="4" hidden="1">{"PAGE 2",#N/A,FALSE,"WEST_OT"}</definedName>
    <definedName name="test6" localSheetId="3" hidden="1">{"PAGE 2",#N/A,FALSE,"WEST_OT"}</definedName>
    <definedName name="test6" hidden="1">{"PAGE 2",#N/A,FALSE,"WEST_OT"}</definedName>
    <definedName name="test7" localSheetId="4" hidden="1">{"PAGE 2",#N/A,FALSE,"WEST_OT"}</definedName>
    <definedName name="test7" localSheetId="3" hidden="1">{"PAGE 2",#N/A,FALSE,"WEST_OT"}</definedName>
    <definedName name="test7" hidden="1">{"PAGE 2",#N/A,FALSE,"WEST_OT"}</definedName>
    <definedName name="test8" localSheetId="4" hidden="1">{"PAGE 1",#N/A,FALSE,"WEST_OT"}</definedName>
    <definedName name="test8" localSheetId="3" hidden="1">{"PAGE 1",#N/A,FALSE,"WEST_OT"}</definedName>
    <definedName name="test8" hidden="1">{"PAGE 1",#N/A,FALSE,"WEST_OT"}</definedName>
    <definedName name="test9" localSheetId="4" hidden="1">{"PAGE 1",#N/A,FALSE,"WEST_OT"}</definedName>
    <definedName name="test9" localSheetId="3" hidden="1">{"PAGE 1",#N/A,FALSE,"WEST_OT"}</definedName>
    <definedName name="test9" hidden="1">{"PAGE 1",#N/A,FALSE,"WEST_OT"}</definedName>
    <definedName name="TestAdd">"Test RefersTo1"</definedName>
    <definedName name="testcapital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localSheetId="3" hidden="1">{#N/A,#N/A,FALSE,"Pharm";#N/A,#N/A,FALSE,"WWCM"}</definedName>
    <definedName name="teste" hidden="1">{#N/A,#N/A,FALSE,"Pharm";#N/A,#N/A,FALSE,"WWCM"}</definedName>
    <definedName name="teste_1" localSheetId="3" hidden="1">{#N/A,#N/A,FALSE,"Pharm";#N/A,#N/A,FALSE,"WWCM"}</definedName>
    <definedName name="teste_1" hidden="1">{#N/A,#N/A,FALSE,"Pharm";#N/A,#N/A,FALSE,"WWCM"}</definedName>
    <definedName name="teste_2" localSheetId="3" hidden="1">{#N/A,#N/A,FALSE,"Pharm";#N/A,#N/A,FALSE,"WWCM"}</definedName>
    <definedName name="teste_2" hidden="1">{#N/A,#N/A,FALSE,"Pharm";#N/A,#N/A,FALSE,"WWCM"}</definedName>
    <definedName name="teste_3" localSheetId="3" hidden="1">{#N/A,#N/A,FALSE,"Pharm";#N/A,#N/A,FALSE,"WWCM"}</definedName>
    <definedName name="teste_3" hidden="1">{#N/A,#N/A,FALSE,"Pharm";#N/A,#N/A,FALSE,"WWCM"}</definedName>
    <definedName name="teste_4" localSheetId="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localSheetId="3" hidden="1">{#N/A,#N/A,FALSE,"Sheet1"}</definedName>
    <definedName name="Testssss" hidden="1">{#N/A,#N/A,FALSE,"Sheet1"}</definedName>
    <definedName name="testtable">#REF!</definedName>
    <definedName name="TESTVKEY">#REF!</definedName>
    <definedName name="tete" localSheetId="3" hidden="1">{#N/A,#N/A,FALSE,"Calc";#N/A,#N/A,FALSE,"Sensitivity";#N/A,#N/A,FALSE,"LT Earn.Dil.";#N/A,#N/A,FALSE,"Dil. AVP"}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 localSheetId="4">'[213]פקודות נוספות'!#REF!</definedName>
    <definedName name="TextRefCopy1">#REF!</definedName>
    <definedName name="TextRefCopy10" localSheetId="4">'[214]זכאים 2005'!#REF!</definedName>
    <definedName name="TextRefCopy10">#REF!</definedName>
    <definedName name="TextRefCopy11" localSheetId="4">'[215]AP Q2 05'!#REF!</definedName>
    <definedName name="TextRefCopy11">#REF!</definedName>
    <definedName name="TextRefCopy12" localSheetId="4">'[214]זכאים 2005'!#REF!</definedName>
    <definedName name="TextRefCopy12">#REF!</definedName>
    <definedName name="TextRefCopy13" localSheetId="4">'[216]AP q1 05'!#REF!</definedName>
    <definedName name="TextRefCopy13">#REF!</definedName>
    <definedName name="TextRefCopy14">#REF!</definedName>
    <definedName name="TextRefCopy15" localSheetId="4">'[216]AP q1 05'!#REF!</definedName>
    <definedName name="TextRefCopy15">#REF!</definedName>
    <definedName name="TextRefCopy16" localSheetId="4">'[216]AP q1 05'!#REF!</definedName>
    <definedName name="TextRefCopy16">#REF!</definedName>
    <definedName name="TextRefCopy17" localSheetId="4">'[216]AP q1 05'!#REF!</definedName>
    <definedName name="TextRefCopy17">#REF!</definedName>
    <definedName name="TextRefCopy2" localSheetId="4">'[213]פקודות נוספות'!#REF!</definedName>
    <definedName name="TextRefCopy2">#REF!</definedName>
    <definedName name="TextRefCopy3" localSheetId="4">'[213]פקודות נוספות'!#REF!</definedName>
    <definedName name="TextRefCopy3">#REF!</definedName>
    <definedName name="TextRefCopy4" localSheetId="4">'[213]פקודות נוספות'!#REF!</definedName>
    <definedName name="TextRefCopy4">#REF!</definedName>
    <definedName name="TextRefCopy5" localSheetId="4">'[214]זכאים 2005'!#REF!</definedName>
    <definedName name="TextRefCopy5">#REF!</definedName>
    <definedName name="TextRefCopy6" localSheetId="4">'[217]Q-1 2005'!#REF!</definedName>
    <definedName name="TextRefCopy6">#REF!</definedName>
    <definedName name="TextRefCopy7" localSheetId="4">'[215]AP Q2 05'!#REF!</definedName>
    <definedName name="TextRefCopy7">#REF!</definedName>
    <definedName name="TextRefCopy8" localSheetId="4">'[214]זכאים 2005'!#REF!</definedName>
    <definedName name="TextRefCopy8">#REF!</definedName>
    <definedName name="TextRefCopy9" localSheetId="4">'[214]זכאים 2005'!#REF!</definedName>
    <definedName name="TextRefCopy9">#REF!</definedName>
    <definedName name="TextRefCopyRangeCount" localSheetId="4" hidden="1">1</definedName>
    <definedName name="TextRefCopyRangeCount">4</definedName>
    <definedName name="tf" localSheetId="3" hidden="1">{"Performance Details",#N/A,FALSE,"Current Yr";"Performance Details",#N/A,FALSE,"Budget";"Performance Details",#N/A,FALSE,"Prior Year"}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localSheetId="3" hidden="1">{#N/A,#N/A,FALSE,"Aging Summary";#N/A,#N/A,FALSE,"Ratio Analysis";#N/A,#N/A,FALSE,"Test 120 Day Accts";#N/A,#N/A,FALSE,"Tickmarks"}</definedName>
    <definedName name="tfhtyh" hidden="1">{#N/A,#N/A,FALSE,"Aging Summary";#N/A,#N/A,FALSE,"Ratio Analysis";#N/A,#N/A,FALSE,"Test 120 Day Accts";#N/A,#N/A,FALSE,"Tickmarks"}</definedName>
    <definedName name="TGHG" localSheetId="3" hidden="1">{#N/A,#N/A,FALSE,"SUMMARY";#N/A,#N/A,FALSE,"SUMMARY"}</definedName>
    <definedName name="TGHG" hidden="1">{#N/A,#N/A,FALSE,"SUMMARY";#N/A,#N/A,FALSE,"SUMMARY"}</definedName>
    <definedName name="tgt">#REF!</definedName>
    <definedName name="TGTFGF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localSheetId="3" hidden="1">{#N/A,#N/A,FALSE,"Produkte Erw.";#N/A,#N/A,FALSE,"Produkte Plan";#N/A,#N/A,FALSE,"Leistungen Erw.";#N/A,#N/A,FALSE,"Leistungen Plan";#N/A,#N/A,FALSE,"KA Allg.Kosten (2)";#N/A,#N/A,FALSE,"KA All.Kosten"}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localSheetId="3" hidden="1">{#N/A,#N/A,FALSE,"KA CH  (2)"}</definedName>
    <definedName name="tha.3" hidden="1">{#N/A,#N/A,FALSE,"KA CH  (2)"}</definedName>
    <definedName name="tha.4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localSheetId="3" hidden="1">{#N/A,#N/A,FALSE,"Umsatz 99";#N/A,#N/A,FALSE,"ER 99 "}</definedName>
    <definedName name="tha.4._99" hidden="1">{#N/A,#N/A,FALSE,"Umsatz 99";#N/A,#N/A,FALSE,"ER 99 "}</definedName>
    <definedName name="Thail.2" localSheetId="3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localSheetId="3" hidden="1">{"'Leading KPI'!$A$1:$P$33","'Leading KPI'!$A$1:$P$33"}</definedName>
    <definedName name="thi" hidden="1">{"'Leading KPI'!$A$1:$P$33","'Leading KPI'!$A$1:$P$33"}</definedName>
    <definedName name="thierry" localSheetId="4" hidden="1">{"Totax",#N/A,FALSE,"Sheet1";#N/A,#N/A,FALSE,"Law Output"}</definedName>
    <definedName name="thierry" localSheetId="3" hidden="1">{"Totax",#N/A,FALSE,"Sheet1";#N/A,#N/A,FALSE,"Law Output"}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localSheetId="3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yte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 localSheetId="4">'[202]Comparables Analysis'!$C$6</definedName>
    <definedName name="tick">#REF!</definedName>
    <definedName name="Ticker" localSheetId="4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localSheetId="4" hidden="1">'[122]WP_Hist ABC'!#REF!</definedName>
    <definedName name="tickname" hidden="1">#REF!</definedName>
    <definedName name="tim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'[186]ביצוע שנתי 97'!$S$9:$S$78,'[186]ביצוע שנתי 97'!$U$9:$U$78,'[186]ביצוע שנתי 97'!$X$9:$AC$78,'[186]ביצוע שנתי 97'!$AJ$9:$AM$78</definedName>
    <definedName name="tjummejir">'[186]ביצוע שנתי 97'!$U$9:$U$78,'[186]ביצוע שנתי 97'!$X$9:$AB$78,'[186]ביצוע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localSheetId="3" hidden="1">{"ICD Details",#N/A,FALSE,"Current Yr";"ICD Details",#N/A,FALSE,"Budget";"ICD Details",#N/A,FALSE,"Prior Year"}</definedName>
    <definedName name="tm" hidden="1">{"ICD Details",#N/A,FALSE,"Current Yr";"ICD Details",#N/A,FALSE,"Budget";"ICD Details",#N/A,FALSE,"Prior Year"}</definedName>
    <definedName name="TM1REBUILDOPTION">1</definedName>
    <definedName name="tmto" localSheetId="3" hidden="1">{"detail",#N/A,FALSE,"mfg";"summary",#N/A,FALSE,"mfg"}</definedName>
    <definedName name="tmto" hidden="1">{"detail",#N/A,FALSE,"mfg";"summary",#N/A,FALSE,"mfg"}</definedName>
    <definedName name="tn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localSheetId="4" hidden="1">{#N/A,#N/A,FALSE,"מאזן בוחן";"כל_מאזן_בוחן",#N/A,FALSE,"מאזן בוחן"}</definedName>
    <definedName name="tom" localSheetId="3" hidden="1">{#N/A,#N/A,FALSE,"מאזן בוחן";"כל_מאזן_בוחן",#N/A,FALSE,"מאזן בוחן"}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localSheetId="3" hidden="1">{#N/A,#N/A,FALSE,"PMTABB";#N/A,#N/A,FALSE,"PMTABB"}</definedName>
    <definedName name="TOPFBTDEC0506" hidden="1">{#N/A,#N/A,FALSE,"PMTABB";#N/A,#N/A,FALSE,"PMTABB"}</definedName>
    <definedName name="TopLevelRecruiting">#REF!</definedName>
    <definedName name="Topography">#REF!</definedName>
    <definedName name="TORRES" localSheetId="3" hidden="1">{#N/A,#N/A,FALSE,"Monthly"}</definedName>
    <definedName name="TORRES" hidden="1">{#N/A,#N/A,FALSE,"Monthly"}</definedName>
    <definedName name="torres2" localSheetId="3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 localSheetId="4">'[218]c.o.s'!#REF!</definedName>
    <definedName name="Total__US">#REF!</definedName>
    <definedName name="total_a">#REF!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3">IFERROR(-(Monthly_payment*Length_of_loan__in_months)+(Down_payment+Trade_in_value),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 localSheetId="4">'[80]Customer Support Group'!$A$195:$F$196</definedName>
    <definedName name="Total_M_S">#REF!</definedName>
    <definedName name="Total_Mobile" localSheetId="4">'[65]Budget New'!#REF!</definedName>
    <definedName name="Total_Mobile">#REF!</definedName>
    <definedName name="Total_no_risk_IPRD_TKH_sales">#REF!</definedName>
    <definedName name="Total_no_risk_TKH_sales">#REF!</definedName>
    <definedName name="Total_OP_MM" localSheetId="4">'[65]Budget New'!#REF!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 localSheetId="4">[18]Model!#REF!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localSheetId="3" hidden="1">{#N/A,#N/A,TRUE,"TransPrcd 1";#N/A,#N/A,TRUE,"TransPrcd 2";#N/A,#N/A,TRUE,"TransPrcd 3"}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dcomp" localSheetId="3" hidden="1">{#N/A,#N/A,FALSE,"Trading-Mult ";#N/A,#N/A,FALSE,"Trading-Cap";#N/A,#N/A,FALSE,"Trading-Inc";#N/A,#N/A,FALSE,"Cash Flow";#N/A,#N/A,FALSE,"M&amp;A info"}</definedName>
    <definedName name="tradcomp" hidden="1">{#N/A,#N/A,FALSE,"Trading-Mult ";#N/A,#N/A,FALSE,"Trading-Cap";#N/A,#N/A,FALSE,"Trading-Inc";#N/A,#N/A,FALSE,"Cash Flow";#N/A,#N/A,FALSE,"M&amp;A info"}</definedName>
    <definedName name="tradcompar" localSheetId="3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localSheetId="3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'[48]GL-PC'!#REF!</definedName>
    <definedName name="Training_G_A">'[48]GL-PC'!#REF!</definedName>
    <definedName name="Training_R_D">'[48]GL-PC'!#REF!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 localSheetId="3">'Company Name COGS+OPEX Build'!Transactions</definedName>
    <definedName name="Transactions">[0]!Transactions</definedName>
    <definedName name="Transcoder_server_no._of_instalations___CMG" localSheetId="4">'[103]Revenue detailed Projection'!#REF!</definedName>
    <definedName name="Transcoder_server_no._of_instalations___CMG">#REF!</definedName>
    <definedName name="Transcoder_server_no._of_instalations___Ericsson___global" localSheetId="4">'[103]Revenue detailed Projection'!#REF!</definedName>
    <definedName name="Transcoder_server_no._of_instalations___Ericsson___global">#REF!</definedName>
    <definedName name="Transcoder_server_no._of_instalations___Ericsson_Italy" localSheetId="4">'[103]Revenue detailed Projection'!#REF!</definedName>
    <definedName name="Transcoder_server_no._of_instalations___Ericsson_Italy">#REF!</definedName>
    <definedName name="Transcoder_server_no._of_instalations___Ericsson_Spain" localSheetId="4">'[103]Revenue detailed Projection'!#REF!</definedName>
    <definedName name="Transcoder_server_no._of_instalations___Ericsson_Spain">#REF!</definedName>
    <definedName name="Transcoder_server_no._of_instalations___Excem_France" localSheetId="4">'[103]Revenue detailed Projection'!#REF!</definedName>
    <definedName name="Transcoder_server_no._of_instalations___Excem_France">#REF!</definedName>
    <definedName name="Transcoder_server_no._of_instalations___Excem_Spain" localSheetId="4">'[103]Revenue detailed Projection'!#REF!</definedName>
    <definedName name="Transcoder_server_no._of_instalations___Excem_Spain">#REF!</definedName>
    <definedName name="Transcoder_server_no._of_instalations___Mitsui__BSI" localSheetId="4">'[103]Revenue detailed Projection'!#REF!</definedName>
    <definedName name="Transcoder_server_no._of_instalations___Mitsui__BSI">#REF!</definedName>
    <definedName name="Transcoder_server_no._of_instalations___Other_1" localSheetId="4">'[103]Revenue detailed Projection'!#REF!</definedName>
    <definedName name="Transcoder_server_no._of_instalations___Other_1">#REF!</definedName>
    <definedName name="Transcoder_server_no._of_instalations___Other_2" localSheetId="4">'[103]Revenue detailed Projection'!#REF!</definedName>
    <definedName name="Transcoder_server_no._of_instalations___Other_2">#REF!</definedName>
    <definedName name="Transcoder_server_no._of_instalations___Other_3" localSheetId="4">'[103]Revenue detailed Projection'!#REF!</definedName>
    <definedName name="Transcoder_server_no._of_instalations___Other_3">#REF!</definedName>
    <definedName name="Transcoder_server_no._of_instalations___SchlumbergerSema" localSheetId="4">'[103]Revenue detailed Projection'!#REF!</definedName>
    <definedName name="Transcoder_server_no._of_instalations___SchlumbergerSema">#REF!</definedName>
    <definedName name="Transcoder_server_no._of_instalations___Sony__NSBCE" localSheetId="4">'[103]Revenue detailed Projection'!#REF!</definedName>
    <definedName name="Transcoder_server_no._of_instalations___Sony__NSBCE">#REF!</definedName>
    <definedName name="Transcoder_server_no._of_instalations___Technomen" localSheetId="4">'[103]Revenue detailed Projection'!#REF!</definedName>
    <definedName name="Transcoder_server_no._of_instalations___Technomen">#REF!</definedName>
    <definedName name="Transcoder_server_no._of_instalations___Unisys" localSheetId="4">'[103]Revenue detailed Projection'!#REF!</definedName>
    <definedName name="Transcoder_server_no._of_instalations___Unisys">#REF!</definedName>
    <definedName name="Transcoder_server_no._of_units___CMG" localSheetId="4">'[103]Revenue detailed Projection'!#REF!</definedName>
    <definedName name="Transcoder_server_no._of_units___CMG">#REF!</definedName>
    <definedName name="Transcoder_server_no._of_units___Ericsson___global" localSheetId="4">'[103]Revenue detailed Projection'!#REF!</definedName>
    <definedName name="Transcoder_server_no._of_units___Ericsson___global">#REF!</definedName>
    <definedName name="Transcoder_server_no._of_units___Ericsson_Italy" localSheetId="4">'[103]Revenue detailed Projection'!#REF!</definedName>
    <definedName name="Transcoder_server_no._of_units___Ericsson_Italy">#REF!</definedName>
    <definedName name="Transcoder_server_no._of_units___Ericsson_Spain" localSheetId="4">'[103]Revenue detailed Projection'!#REF!</definedName>
    <definedName name="Transcoder_server_no._of_units___Ericsson_Spain">#REF!</definedName>
    <definedName name="Transcoder_server_no._of_units___Excem_France" localSheetId="4">'[103]Revenue detailed Projection'!#REF!</definedName>
    <definedName name="Transcoder_server_no._of_units___Excem_France">#REF!</definedName>
    <definedName name="Transcoder_server_no._of_units___Excem_Spain" localSheetId="4">'[103]Revenue detailed Projection'!#REF!</definedName>
    <definedName name="Transcoder_server_no._of_units___Excem_Spain">#REF!</definedName>
    <definedName name="Transcoder_server_no._of_units___Mitsui__BSI" localSheetId="4">'[103]Revenue detailed Projection'!#REF!</definedName>
    <definedName name="Transcoder_server_no._of_units___Mitsui__BSI">#REF!</definedName>
    <definedName name="Transcoder_server_no._of_units___Other_1" localSheetId="4">'[103]Revenue detailed Projection'!#REF!</definedName>
    <definedName name="Transcoder_server_no._of_units___Other_1">#REF!</definedName>
    <definedName name="Transcoder_server_no._of_units___Other_2" localSheetId="4">'[103]Revenue detailed Projection'!#REF!</definedName>
    <definedName name="Transcoder_server_no._of_units___Other_2">#REF!</definedName>
    <definedName name="Transcoder_server_no._of_units___Other_3" localSheetId="4">'[103]Revenue detailed Projection'!#REF!</definedName>
    <definedName name="Transcoder_server_no._of_units___Other_3">#REF!</definedName>
    <definedName name="Transcoder_server_no._of_units___SchlumbergerSema" localSheetId="4">'[103]Revenue detailed Projection'!#REF!</definedName>
    <definedName name="Transcoder_server_no._of_units___SchlumbergerSema">#REF!</definedName>
    <definedName name="Transcoder_server_no._of_units___Sony__NSBCE" localSheetId="4">'[103]Revenue detailed Projection'!#REF!</definedName>
    <definedName name="Transcoder_server_no._of_units___Sony__NSBCE">#REF!</definedName>
    <definedName name="Transcoder_server_no._of_units___Technomen" localSheetId="4">'[103]Revenue detailed Projection'!#REF!</definedName>
    <definedName name="Transcoder_server_no._of_units___Technomen">#REF!</definedName>
    <definedName name="Transcoder_server_no._of_units___Unisys" localSheetId="4">'[103]Revenue detailed Projection'!#REF!</definedName>
    <definedName name="Transcoder_server_no._of_units___Unisys">#REF!</definedName>
    <definedName name="Transportation_expense">'[48]GL-PC'!#REF!</definedName>
    <definedName name="travel">#REF!</definedName>
    <definedName name="Travel___Domestic_COGS">'[48]GL-PC'!#REF!</definedName>
    <definedName name="Travel___Domestic_G_A">'[48]GL-PC'!#REF!</definedName>
    <definedName name="Travel___Domestic_R_D">'[48]GL-PC'!#REF!</definedName>
    <definedName name="Travel___Domestic_S_M">'[48]GL-PC'!#REF!</definedName>
    <definedName name="Travel_abroad_COGS">'[48]GL-PC'!#REF!</definedName>
    <definedName name="Travel_abroad_G_A">'[48]GL-PC'!#REF!</definedName>
    <definedName name="Travel_abroad_R_D">#REF!</definedName>
    <definedName name="Travel_abroad_S_M">'[48]GL-PC'!#REF!</definedName>
    <definedName name="Travel_Cost">#REF!</definedName>
    <definedName name="Travel_G_A">'[48]GL-PC'!#REF!</definedName>
    <definedName name="TravelP2" localSheetId="3" hidden="1">{"yyyy",#N/A,FALSE,"A&amp;M (2)";"uuu",#N/A,FALSE,"A&amp;M (2)"}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 localSheetId="3">{0,0,0,0;0,0,0,0;0,0,0,0;0,0,0,0;0,0,0,0}</definedName>
    <definedName name="trejuy">{0,0,0,0;0,0,0,0;0,0,0,0;0,0,0,0;0,0,0,0}</definedName>
    <definedName name="Trend" localSheetId="3">{"'NPCGUIDELINES'!$A$1:$J$41"}</definedName>
    <definedName name="Trend">{"'NPCGUIDELINES'!$A$1:$J$41"}</definedName>
    <definedName name="tres" localSheetId="3" hidden="1">{#N/A,#N/A,FALSE,"Sitio A";#N/A,#N/A,FALSE,"Rack Acceso  102.05";#N/A,#N/A,FALSE,"Rack DSX 102.06";#N/A,#N/A,FALSE,"DSX";#N/A,#N/A,FALSE,"Fuse Panel 102.05";#N/A,#N/A,FALSE,"Fuse Panel 102.06"}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localSheetId="4" hidden="1">{#N/A,#N/A,TRUE,"רבעוני מעודכן";#N/A,#N/A,TRUE,"השוואת תקציבים";#N/A,#N/A,TRUE,"הכנסות";#N/A,#N/A,TRUE,"רגישות"}</definedName>
    <definedName name="TRHTK" localSheetId="3" hidden="1">{#N/A,#N/A,TRUE,"רבעוני מעודכן";#N/A,#N/A,TRUE,"השוואת תקציבים";#N/A,#N/A,TRUE,"הכנסות";#N/A,#N/A,TRUE,"רגישות"}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localSheetId="4" hidden="1">{"SCH44",#N/A,FALSE,"5b5f";"SCH45",#N/A,FALSE,"5b5f"}</definedName>
    <definedName name="TRIAL10" localSheetId="3" hidden="1">{"SCH44",#N/A,FALSE,"5b5f";"SCH45",#N/A,FALSE,"5b5f"}</definedName>
    <definedName name="TRIAL10" hidden="1">{"SCH44",#N/A,FALSE,"5b5f";"SCH45",#N/A,FALSE,"5b5f"}</definedName>
    <definedName name="TRIAL11" localSheetId="4" hidden="1">{"sch56",#N/A,FALSE,"savings";"sch64",#N/A,FALSE,"savings"}</definedName>
    <definedName name="TRIAL11" localSheetId="3" hidden="1">{"sch56",#N/A,FALSE,"savings";"sch64",#N/A,FALSE,"savings"}</definedName>
    <definedName name="TRIAL11" hidden="1">{"sch56",#N/A,FALSE,"savings";"sch64",#N/A,FALSE,"savings"}</definedName>
    <definedName name="TRIAL12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localSheetId="4" hidden="1">{"SCH73",#N/A,FALSE,"eva";"SCH74",#N/A,FALSE,"eva";"SCH75",#N/A,FALSE,"eva"}</definedName>
    <definedName name="TRIAL13" localSheetId="3" hidden="1">{"SCH73",#N/A,FALSE,"eva";"SCH74",#N/A,FALSE,"eva";"SCH75",#N/A,FALSE,"eva"}</definedName>
    <definedName name="TRIAL13" hidden="1">{"SCH73",#N/A,FALSE,"eva";"SCH74",#N/A,FALSE,"eva";"SCH75",#N/A,FALSE,"eva"}</definedName>
    <definedName name="TRIAL14" localSheetId="4" hidden="1">{"SCH49",#N/A,FALSE,"eva"}</definedName>
    <definedName name="TRIAL14" localSheetId="3" hidden="1">{"SCH49",#N/A,FALSE,"eva"}</definedName>
    <definedName name="TRIAL14" hidden="1">{"SCH49",#N/A,FALSE,"eva"}</definedName>
    <definedName name="TRIAL15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localSheetId="4" hidden="1">{"SCH15",#N/A,FALSE,"SCH15,16,85,86";"SCH16",#N/A,FALSE,"SCH15,16,85,86";"SCH85",#N/A,FALSE,"SCH15,16,85,86";"SCH86",#N/A,FALSE,"SCH15,16,85,86"}</definedName>
    <definedName name="TRIAL16" localSheetId="3" hidden="1">{"SCH15",#N/A,FALSE,"SCH15,16,85,86";"SCH16",#N/A,FALSE,"SCH15,16,85,86";"SCH85",#N/A,FALSE,"SCH15,16,85,86";"SCH86",#N/A,FALSE,"SCH15,16,85,86"}</definedName>
    <definedName name="TRIAL16" hidden="1">{"SCH15",#N/A,FALSE,"SCH15,16,85,86";"SCH16",#N/A,FALSE,"SCH15,16,85,86";"SCH85",#N/A,FALSE,"SCH15,16,85,86";"SCH86",#N/A,FALSE,"SCH15,16,85,86"}</definedName>
    <definedName name="TRIAL17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localSheetId="4" hidden="1">{"SCH46",#N/A,FALSE,"sch46"}</definedName>
    <definedName name="TRIAL18" localSheetId="3" hidden="1">{"SCH46",#N/A,FALSE,"sch46"}</definedName>
    <definedName name="TRIAL18" hidden="1">{"SCH46",#N/A,FALSE,"sch46"}</definedName>
    <definedName name="TRIAL19" localSheetId="4" hidden="1">{"SCH51",#N/A,FALSE,"monthly"}</definedName>
    <definedName name="TRIAL19" localSheetId="3" hidden="1">{"SCH51",#N/A,FALSE,"monthly"}</definedName>
    <definedName name="TRIAL19" hidden="1">{"SCH51",#N/A,FALSE,"monthly"}</definedName>
    <definedName name="TRIAL20" localSheetId="4" hidden="1">{"SCH52",#N/A,FALSE,"sch52"}</definedName>
    <definedName name="TRIAL20" localSheetId="3" hidden="1">{"SCH52",#N/A,FALSE,"sch52"}</definedName>
    <definedName name="TRIAL20" hidden="1">{"SCH52",#N/A,FALSE,"sch52"}</definedName>
    <definedName name="TRIAL21" localSheetId="4" hidden="1">{"SCH29",#N/A,FALSE,"segments";"SCH30",#N/A,FALSE,"segments"}</definedName>
    <definedName name="TRIAL21" localSheetId="3" hidden="1">{"SCH29",#N/A,FALSE,"segments";"SCH30",#N/A,FALSE,"segments"}</definedName>
    <definedName name="TRIAL21" hidden="1">{"SCH29",#N/A,FALSE,"segments";"SCH30",#N/A,FALSE,"segments"}</definedName>
    <definedName name="TRIAL22" localSheetId="4" hidden="1">{"SCH27",#N/A,FALSE,"summary";"SCH39",#N/A,FALSE,"summary";"SCH41",#N/A,FALSE,"summary"}</definedName>
    <definedName name="TRIAL22" localSheetId="3" hidden="1">{"SCH27",#N/A,FALSE,"summary";"SCH39",#N/A,FALSE,"summary";"SCH41",#N/A,FALSE,"summary"}</definedName>
    <definedName name="TRIAL22" hidden="1">{"SCH27",#N/A,FALSE,"summary";"SCH39",#N/A,FALSE,"summary";"SCH41",#N/A,FALSE,"summary"}</definedName>
    <definedName name="TRIAL23" localSheetId="4" hidden="1">{"SCH54",#N/A,FALSE,"upside";"SCH55",#N/A,FALSE,"upside"}</definedName>
    <definedName name="TRIAL23" localSheetId="3" hidden="1">{"SCH54",#N/A,FALSE,"upside";"SCH55",#N/A,FALSE,"upside"}</definedName>
    <definedName name="TRIAL23" hidden="1">{"SCH54",#N/A,FALSE,"upside";"SCH55",#N/A,FALSE,"upside"}</definedName>
    <definedName name="TRIAL24" localSheetId="4" hidden="1">{"SCH47",#N/A,FALSE,"value";"sch48",#N/A,FALSE,"value"}</definedName>
    <definedName name="TRIAL24" localSheetId="3" hidden="1">{"SCH47",#N/A,FALSE,"value";"sch48",#N/A,FALSE,"value"}</definedName>
    <definedName name="TRIAL24" hidden="1">{"SCH47",#N/A,FALSE,"value";"sch48",#N/A,FALSE,"value"}</definedName>
    <definedName name="TRIAL25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localSheetId="4" hidden="1">{"SCH73",#N/A,FALSE,"eva";"SCH74",#N/A,FALSE,"eva";"SCH75",#N/A,FALSE,"eva"}</definedName>
    <definedName name="trial30" localSheetId="3" hidden="1">{"SCH73",#N/A,FALSE,"eva";"SCH74",#N/A,FALSE,"eva";"SCH75",#N/A,FALSE,"eva"}</definedName>
    <definedName name="trial30" hidden="1">{"SCH73",#N/A,FALSE,"eva";"SCH74",#N/A,FALSE,"eva";"SCH75",#N/A,FALSE,"eva"}</definedName>
    <definedName name="trial31" localSheetId="4" hidden="1">{"SCH44",#N/A,FALSE,"5b5f";"SCH45",#N/A,FALSE,"5b5f"}</definedName>
    <definedName name="trial31" localSheetId="3" hidden="1">{"SCH44",#N/A,FALSE,"5b5f";"SCH45",#N/A,FALSE,"5b5f"}</definedName>
    <definedName name="trial31" hidden="1">{"SCH44",#N/A,FALSE,"5b5f";"SCH45",#N/A,FALSE,"5b5f"}</definedName>
    <definedName name="trial32" localSheetId="4" hidden="1">{"SCH44",#N/A,FALSE,"5b5f";"SCH45",#N/A,FALSE,"5b5f"}</definedName>
    <definedName name="trial32" localSheetId="3" hidden="1">{"SCH44",#N/A,FALSE,"5b5f";"SCH45",#N/A,FALSE,"5b5f"}</definedName>
    <definedName name="trial32" hidden="1">{"SCH44",#N/A,FALSE,"5b5f";"SCH45",#N/A,FALSE,"5b5f"}</definedName>
    <definedName name="trial34" localSheetId="4" hidden="1">{"sch56",#N/A,FALSE,"savings";"sch64",#N/A,FALSE,"savings"}</definedName>
    <definedName name="trial34" localSheetId="3" hidden="1">{"sch56",#N/A,FALSE,"savings";"sch64",#N/A,FALSE,"savings"}</definedName>
    <definedName name="trial34" hidden="1">{"sch56",#N/A,FALSE,"savings";"sch64",#N/A,FALSE,"savings"}</definedName>
    <definedName name="trial35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localSheetId="4" hidden="1">{"SCH73",#N/A,FALSE,"eva";"SCH74",#N/A,FALSE,"eva";"SCH75",#N/A,FALSE,"eva"}</definedName>
    <definedName name="trial36" localSheetId="3" hidden="1">{"SCH73",#N/A,FALSE,"eva";"SCH74",#N/A,FALSE,"eva";"SCH75",#N/A,FALSE,"eva"}</definedName>
    <definedName name="trial36" hidden="1">{"SCH73",#N/A,FALSE,"eva";"SCH74",#N/A,FALSE,"eva";"SCH75",#N/A,FALSE,"eva"}</definedName>
    <definedName name="trial37" localSheetId="4" hidden="1">{"SCH49",#N/A,FALSE,"eva"}</definedName>
    <definedName name="trial37" localSheetId="3" hidden="1">{"SCH49",#N/A,FALSE,"eva"}</definedName>
    <definedName name="trial37" hidden="1">{"SCH49",#N/A,FALSE,"eva"}</definedName>
    <definedName name="trial38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localSheetId="4" hidden="1">{"SCH15",#N/A,FALSE,"SCH15,16,85,86";"SCH16",#N/A,FALSE,"SCH15,16,85,86";"SCH85",#N/A,FALSE,"SCH15,16,85,86";"SCH86",#N/A,FALSE,"SCH15,16,85,86"}</definedName>
    <definedName name="trial39" localSheetId="3" hidden="1">{"SCH15",#N/A,FALSE,"SCH15,16,85,86";"SCH16",#N/A,FALSE,"SCH15,16,85,86";"SCH85",#N/A,FALSE,"SCH15,16,85,86";"SCH86",#N/A,FALSE,"SCH15,16,85,86"}</definedName>
    <definedName name="trial39" hidden="1">{"SCH15",#N/A,FALSE,"SCH15,16,85,86";"SCH16",#N/A,FALSE,"SCH15,16,85,86";"SCH85",#N/A,FALSE,"SCH15,16,85,86";"SCH86",#N/A,FALSE,"SCH15,16,85,86"}</definedName>
    <definedName name="trial40" localSheetId="4" hidden="1">{"SCH15",#N/A,FALSE,"SCH15,16,85,86";"SCH16",#N/A,FALSE,"SCH15,16,85,86";"SCH85",#N/A,FALSE,"SCH15,16,85,86";"SCH86",#N/A,FALSE,"SCH15,16,85,86"}</definedName>
    <definedName name="trial40" localSheetId="3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localSheetId="4" hidden="1">{"SCH46",#N/A,FALSE,"sch46"}</definedName>
    <definedName name="trial42" localSheetId="3" hidden="1">{"SCH46",#N/A,FALSE,"sch46"}</definedName>
    <definedName name="trial42" hidden="1">{"SCH46",#N/A,FALSE,"sch46"}</definedName>
    <definedName name="trial43" localSheetId="4" hidden="1">{"SCH51",#N/A,FALSE,"monthly"}</definedName>
    <definedName name="trial43" localSheetId="3" hidden="1">{"SCH51",#N/A,FALSE,"monthly"}</definedName>
    <definedName name="trial43" hidden="1">{"SCH51",#N/A,FALSE,"monthly"}</definedName>
    <definedName name="trial44" localSheetId="4" hidden="1">{"SCH52",#N/A,FALSE,"sch52"}</definedName>
    <definedName name="trial44" localSheetId="3" hidden="1">{"SCH52",#N/A,FALSE,"sch52"}</definedName>
    <definedName name="trial44" hidden="1">{"SCH52",#N/A,FALSE,"sch52"}</definedName>
    <definedName name="trial45" localSheetId="4" hidden="1">{"SCH29",#N/A,FALSE,"segments";"SCH30",#N/A,FALSE,"segments"}</definedName>
    <definedName name="trial45" localSheetId="3" hidden="1">{"SCH29",#N/A,FALSE,"segments";"SCH30",#N/A,FALSE,"segments"}</definedName>
    <definedName name="trial45" hidden="1">{"SCH29",#N/A,FALSE,"segments";"SCH30",#N/A,FALSE,"segments"}</definedName>
    <definedName name="trial46" localSheetId="4" hidden="1">{"SCH27",#N/A,FALSE,"summary";"SCH39",#N/A,FALSE,"summary";"SCH41",#N/A,FALSE,"summary"}</definedName>
    <definedName name="trial46" localSheetId="3" hidden="1">{"SCH27",#N/A,FALSE,"summary";"SCH39",#N/A,FALSE,"summary";"SCH41",#N/A,FALSE,"summary"}</definedName>
    <definedName name="trial46" hidden="1">{"SCH27",#N/A,FALSE,"summary";"SCH39",#N/A,FALSE,"summary";"SCH41",#N/A,FALSE,"summary"}</definedName>
    <definedName name="trial47" localSheetId="4" hidden="1">{"SCH54",#N/A,FALSE,"upside";"SCH55",#N/A,FALSE,"upside"}</definedName>
    <definedName name="trial47" localSheetId="3" hidden="1">{"SCH54",#N/A,FALSE,"upside";"SCH55",#N/A,FALSE,"upside"}</definedName>
    <definedName name="trial47" hidden="1">{"SCH54",#N/A,FALSE,"upside";"SCH55",#N/A,FALSE,"upside"}</definedName>
    <definedName name="trial48" localSheetId="4" hidden="1">{"SCH47",#N/A,FALSE,"value";"sch48",#N/A,FALSE,"value"}</definedName>
    <definedName name="trial48" localSheetId="3" hidden="1">{"SCH47",#N/A,FALSE,"value";"sch48",#N/A,FALSE,"value"}</definedName>
    <definedName name="trial48" hidden="1">{"SCH47",#N/A,FALSE,"value";"sch48",#N/A,FALSE,"value"}</definedName>
    <definedName name="trial49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[123]PL!$A$86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localSheetId="3" hidden="1">{#N/A,#N/A,FALSE,"Pharm";#N/A,#N/A,FALSE,"WWCM"}</definedName>
    <definedName name="tryeuyit" hidden="1">{#N/A,#N/A,FALSE,"Pharm";#N/A,#N/A,FALSE,"WWCM"}</definedName>
    <definedName name="tryeuyit_1" localSheetId="3" hidden="1">{#N/A,#N/A,FALSE,"Pharm";#N/A,#N/A,FALSE,"WWCM"}</definedName>
    <definedName name="tryeuyit_1" hidden="1">{#N/A,#N/A,FALSE,"Pharm";#N/A,#N/A,FALSE,"WWCM"}</definedName>
    <definedName name="tryeuyit_2" localSheetId="3" hidden="1">{#N/A,#N/A,FALSE,"Pharm";#N/A,#N/A,FALSE,"WWCM"}</definedName>
    <definedName name="tryeuyit_2" hidden="1">{#N/A,#N/A,FALSE,"Pharm";#N/A,#N/A,FALSE,"WWCM"}</definedName>
    <definedName name="tryeuyit_3" localSheetId="3" hidden="1">{#N/A,#N/A,FALSE,"Pharm";#N/A,#N/A,FALSE,"WWCM"}</definedName>
    <definedName name="tryeuyit_3" hidden="1">{#N/A,#N/A,FALSE,"Pharm";#N/A,#N/A,FALSE,"WWCM"}</definedName>
    <definedName name="tryeuyit_4" localSheetId="3" hidden="1">{#N/A,#N/A,FALSE,"Pharm";#N/A,#N/A,FALSE,"WWCM"}</definedName>
    <definedName name="tryeuyit_4" hidden="1">{#N/A,#N/A,FALSE,"Pharm";#N/A,#N/A,FALSE,"WWCM"}</definedName>
    <definedName name="tryiuyui" localSheetId="3">{"'1-TheatreBkgs'!$A$1:$L$102"}</definedName>
    <definedName name="tryiuyui">{"'1-TheatreBkgs'!$A$1:$L$102"}</definedName>
    <definedName name="ts" localSheetId="3" hidden="1">{"oct_res_comm",#N/A,FALSE,"VarToBud"}</definedName>
    <definedName name="ts" hidden="1">{"oct_res_comm",#N/A,FALSE,"VarToBud"}</definedName>
    <definedName name="TSM">#REF!</definedName>
    <definedName name="TSq">#REF!</definedName>
    <definedName name="tt" localSheetId="4" hidden="1">{#N/A,#N/A,FALSE,"contents";#N/A,#N/A,FALSE,"Balance sheet";#N/A,#N/A,FALSE,"Cash-flow";#N/A,#N/A,FALSE,"income";#N/A,#N/A,FALSE,"equity";#N/A,#N/A,FALSE,"notes";#N/A,#N/A,FALSE,"supplemental"}</definedName>
    <definedName name="tt" localSheetId="3" hidden="1">{"'ID(2)'!$E$1:$N$4"}</definedName>
    <definedName name="tt" hidden="1">{"'ID(2)'!$E$1:$N$4"}</definedName>
    <definedName name="tt.8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 localSheetId="4">'[183]Global Data'!$B$92:$B$95</definedName>
    <definedName name="TTDesiredLevelOfEvidenceItems">#REF!</definedName>
    <definedName name="tti" localSheetId="3" hidden="1">{"table",#N/A,FALSE,"COVER";"income_statement",#N/A,FALSE,"COVER"}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localSheetId="3" hidden="1">{#N/A,#N/A,FALSE,"TOWNSHIP"}</definedName>
    <definedName name="ttthtr" hidden="1">{#N/A,#N/A,FALSE,"TOWNSHIP"}</definedName>
    <definedName name="tttoo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4" hidden="1">{"PAGE 1",#N/A,FALSE,"WEST_OT"}</definedName>
    <definedName name="TTTT" localSheetId="3" hidden="1">{"PAGE 1",#N/A,FALSE,"WEST_OT"}</definedName>
    <definedName name="TTTT" hidden="1">{"PAGE 1",#N/A,FALSE,"WEST_OT"}</definedName>
    <definedName name="ttttt" localSheetId="3" hidden="1">{"Income",#N/A,FALSE,"income";"Sales",#N/A,FALSE,"income";"Critical",#N/A,FALSE,"income";"Market",#N/A,FALSE,"Market";"Returns",#N/A,FALSE,"returns";"Balance",#N/A,FALSE,"balance";"Cash Flow",#N/A,FALSE,"balance"}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localSheetId="3" hidden="1">{"Geographic P1",#N/A,FALSE,"Division &amp; Geog"}</definedName>
    <definedName name="ttttttttttttttttttttttttttttttt" hidden="1">{"Geographic P1",#N/A,FALSE,"Division &amp; Geog"}</definedName>
    <definedName name="ttttttttttttttttttttttttttttttttttttttttttttttttttttttttt" localSheetId="3" hidden="1">{#N/A,#N/A,FALSE,"P&amp;L";#N/A,#N/A,FALSE,"BalSheet";#N/A,#N/A,FALSE,"EBITDA";#N/A,#N/A,FALSE,"Assumptions";#N/A,#N/A,FALSE,"CashFlows"}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localSheetId="3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localSheetId="3" hidden="1">{"bs",#N/A,FALSE,"SCF"}</definedName>
    <definedName name="tu" hidden="1">{"bs",#N/A,FALSE,"SCF"}</definedName>
    <definedName name="TUILKY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 localSheetId="3">{"'1-TheatreBkgs'!$A$1:$L$102"}</definedName>
    <definedName name="tuio">{"'1-TheatreBkgs'!$A$1:$L$102"}</definedName>
    <definedName name="tuioiuo" localSheetId="3">{"'1-TheatreBkgs'!$A$1:$L$102"}</definedName>
    <definedName name="tuioiuo">{"'1-TheatreBkgs'!$A$1:$L$102"}</definedName>
    <definedName name="tuioo" localSheetId="3">{"'1-TheatreBkgs'!$A$1:$L$102"}</definedName>
    <definedName name="tuioo">{"'1-TheatreBkgs'!$A$1:$L$102"}</definedName>
    <definedName name="Tulsa" localSheetId="3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UR">#REF!</definedName>
    <definedName name="turd" localSheetId="3" hidden="1">{"detail",#N/A,FALSE,"mfg";"summary",#N/A,FALSE,"mfg"}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'[186]TAB-SALES-97'!$S$3:$S$98</definedName>
    <definedName name="tv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 localSheetId="4">'[184]Two Step Revenue Testing Master'!$C$85</definedName>
    <definedName name="TwoStepMisstatementIdentified">#REF!</definedName>
    <definedName name="TwoStepTolerableEstMisstmtCalc" localSheetId="4">'[184]Two Step Revenue Testing Master'!$T$45</definedName>
    <definedName name="TwoStepTolerableEstMisstmtCalc">#REF!</definedName>
    <definedName name="TWS">#REF!</definedName>
    <definedName name="ty" localSheetId="3" hidden="1">{"'Leading KPI'!$A$1:$P$33","'Leading KPI'!$A$1:$P$33"}</definedName>
    <definedName name="ty" hidden="1">{"'Leading KPI'!$A$1:$P$33","'Leading KPI'!$A$1:$P$33"}</definedName>
    <definedName name="TYERERAGR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localSheetId="3" hidden="1">{#N/A,#N/A,FALSE,"PGW"}</definedName>
    <definedName name="tyff" hidden="1">{#N/A,#N/A,FALSE,"PGW"}</definedName>
    <definedName name="TYHTR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 localSheetId="3">{"'1-TheatreBkgs'!$A$1:$L$102"}</definedName>
    <definedName name="tyiytiu">{"'1-TheatreBkgs'!$A$1:$L$102"}</definedName>
    <definedName name="tynm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localSheetId="4" hidden="1">'[148]Mult-3yr'!#REF!</definedName>
    <definedName name="tynonasset" hidden="1">#REF!</definedName>
    <definedName name="type">#REF!</definedName>
    <definedName name="Type_of_asset">#REF!</definedName>
    <definedName name="type_vesting" localSheetId="4">[219]index!$A$3:$A$12</definedName>
    <definedName name="type_vesting">#REF!</definedName>
    <definedName name="Type1" localSheetId="4">'[220]Asset requirment'!$H$51:$H$59</definedName>
    <definedName name="Type1">#REF!</definedName>
    <definedName name="typeq">#REF!</definedName>
    <definedName name="tyr" localSheetId="3" hidden="1">{#N/A,#N/A,FALSE,"AD_Purch";#N/A,#N/A,FALSE,"Projections";#N/A,#N/A,FALSE,"DCF";#N/A,#N/A,FALSE,"Mkt Val"}</definedName>
    <definedName name="tyr" hidden="1">{#N/A,#N/A,FALSE,"AD_Purch";#N/A,#N/A,FALSE,"Projections";#N/A,#N/A,FALSE,"DCF";#N/A,#N/A,FALSE,"Mkt Val"}</definedName>
    <definedName name="tyryrt" localSheetId="3" hidden="1">{#N/A,#N/A,FALSE,"REPORT"}</definedName>
    <definedName name="tyryrt" hidden="1">{#N/A,#N/A,FALSE,"REPORT"}</definedName>
    <definedName name="tyryu" localSheetId="3" hidden="1">{#N/A,#N/A,FALSE,"Sheet1";#N/A,#N/A,FALSE,"Summary";#N/A,#N/A,FALSE,"proj1";#N/A,#N/A,FALSE,"proj2"}</definedName>
    <definedName name="tyryu" hidden="1">{#N/A,#N/A,FALSE,"Sheet1";#N/A,#N/A,FALSE,"Summary";#N/A,#N/A,FALSE,"proj1";#N/A,#N/A,FALSE,"proj2"}</definedName>
    <definedName name="tyt" localSheetId="3" hidden="1">{#N/A,#N/A,FALSE,"Detailed";#N/A,#N/A,FALSE,"Total";#N/A,#N/A,FALSE,"Detailed (2)"}</definedName>
    <definedName name="tyt" hidden="1">{#N/A,#N/A,FALSE,"Detailed";#N/A,#N/A,FALSE,"Total";#N/A,#N/A,FALSE,"Detailed (2)"}</definedName>
    <definedName name="tyt_1" localSheetId="3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localSheetId="3" hidden="1">{"oct_res_comm",#N/A,FALSE,"VarToBud"}</definedName>
    <definedName name="tyu" hidden="1">{"oct_res_comm",#N/A,FALSE,"VarToBud"}</definedName>
    <definedName name="tyui" localSheetId="3" hidden="1">{"ICD Details",#N/A,FALSE,"Current Yr";"ICD Details",#N/A,FALSE,"Budget";"ICD Details",#N/A,FALSE,"Prior Year"}</definedName>
    <definedName name="tyui" hidden="1">{"ICD Details",#N/A,FALSE,"Current Yr";"ICD Details",#N/A,FALSE,"Budget";"ICD Details",#N/A,FALSE,"Prior Year"}</definedName>
    <definedName name="tyuit" localSheetId="3">{"'1-TheatreBkgs'!$A$1:$L$102"}</definedName>
    <definedName name="tyuit">{"'1-TheatreBkgs'!$A$1:$L$102"}</definedName>
    <definedName name="tyuityui" localSheetId="3">{"'1-TheatreBkgs'!$A$1:$L$102"}</definedName>
    <definedName name="tyuityui">{"'1-TheatreBkgs'!$A$1:$L$102"}</definedName>
    <definedName name="tyuiu" localSheetId="3">{"'1-TheatreBkgs'!$A$1:$L$102"}</definedName>
    <definedName name="tyuiu">{"'1-TheatreBkgs'!$A$1:$L$102"}</definedName>
    <definedName name="tyuiytuo" localSheetId="3">{"'1-TheatreBkgs'!$A$1:$L$102"}</definedName>
    <definedName name="tyuiytuo">{"'1-TheatreBkgs'!$A$1:$L$102"}</definedName>
    <definedName name="tyutytyi" localSheetId="3" hidden="1">{#N/A,#N/A,FALSE,"Pharm";#N/A,#N/A,FALSE,"WWCM"}</definedName>
    <definedName name="tyutytyi" hidden="1">{#N/A,#N/A,FALSE,"Pharm";#N/A,#N/A,FALSE,"WWCM"}</definedName>
    <definedName name="tyutytyi_1" localSheetId="3" hidden="1">{#N/A,#N/A,FALSE,"Pharm";#N/A,#N/A,FALSE,"WWCM"}</definedName>
    <definedName name="tyutytyi_1" hidden="1">{#N/A,#N/A,FALSE,"Pharm";#N/A,#N/A,FALSE,"WWCM"}</definedName>
    <definedName name="tyutytyi_2" localSheetId="3" hidden="1">{#N/A,#N/A,FALSE,"Pharm";#N/A,#N/A,FALSE,"WWCM"}</definedName>
    <definedName name="tyutytyi_2" hidden="1">{#N/A,#N/A,FALSE,"Pharm";#N/A,#N/A,FALSE,"WWCM"}</definedName>
    <definedName name="tyutytyi_3" localSheetId="3" hidden="1">{#N/A,#N/A,FALSE,"Pharm";#N/A,#N/A,FALSE,"WWCM"}</definedName>
    <definedName name="tyutytyi_3" hidden="1">{#N/A,#N/A,FALSE,"Pharm";#N/A,#N/A,FALSE,"WWCM"}</definedName>
    <definedName name="tyutytyi_4" localSheetId="3" hidden="1">{#N/A,#N/A,FALSE,"Pharm";#N/A,#N/A,FALSE,"WWCM"}</definedName>
    <definedName name="tyutytyi_4" hidden="1">{#N/A,#N/A,FALSE,"Pharm";#N/A,#N/A,FALSE,"WWCM"}</definedName>
    <definedName name="tyyufkjkhjd" localSheetId="3" hidden="1">{#N/A,#N/A,FALSE,"Pharm";#N/A,#N/A,FALSE,"WWCM"}</definedName>
    <definedName name="tyyufkjkhjd" hidden="1">{#N/A,#N/A,FALSE,"Pharm";#N/A,#N/A,FALSE,"WWCM"}</definedName>
    <definedName name="tyyufkjkhjd_1" localSheetId="3" hidden="1">{#N/A,#N/A,FALSE,"Pharm";#N/A,#N/A,FALSE,"WWCM"}</definedName>
    <definedName name="tyyufkjkhjd_1" hidden="1">{#N/A,#N/A,FALSE,"Pharm";#N/A,#N/A,FALSE,"WWCM"}</definedName>
    <definedName name="tyyufkjkhjd_2" localSheetId="3" hidden="1">{#N/A,#N/A,FALSE,"Pharm";#N/A,#N/A,FALSE,"WWCM"}</definedName>
    <definedName name="tyyufkjkhjd_2" hidden="1">{#N/A,#N/A,FALSE,"Pharm";#N/A,#N/A,FALSE,"WWCM"}</definedName>
    <definedName name="tyyufkjkhjd_3" localSheetId="3" hidden="1">{#N/A,#N/A,FALSE,"Pharm";#N/A,#N/A,FALSE,"WWCM"}</definedName>
    <definedName name="tyyufkjkhjd_3" hidden="1">{#N/A,#N/A,FALSE,"Pharm";#N/A,#N/A,FALSE,"WWCM"}</definedName>
    <definedName name="tyyufkjkhjd_4" localSheetId="3" hidden="1">{#N/A,#N/A,FALSE,"Pharm";#N/A,#N/A,FALSE,"WWCM"}</definedName>
    <definedName name="tyyufkjkhjd_4" hidden="1">{#N/A,#N/A,FALSE,"Pharm";#N/A,#N/A,FALSE,"WWCM"}</definedName>
    <definedName name="tzt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localSheetId="3" hidden="1">{#N/A,#N/A,FALSE,"output";#N/A,#N/A,FALSE,"contrib";#N/A,#N/A,FALSE,"profile";#N/A,#N/A,FALSE,"comps"}</definedName>
    <definedName name="ugyi" hidden="1">{#N/A,#N/A,FALSE,"output";#N/A,#N/A,FALSE,"contrib";#N/A,#N/A,FALSE,"profile";#N/A,#N/A,FALSE,"comps"}</definedName>
    <definedName name="uh" localSheetId="3" hidden="1">{"detail",#N/A,FALSE,"mfg";"summary",#N/A,FALSE,"mfg"}</definedName>
    <definedName name="uh" hidden="1">{"detail",#N/A,FALSE,"mfg";"summary",#N/A,FALSE,"mfg"}</definedName>
    <definedName name="uhgugugug" hidden="1">"c1342"</definedName>
    <definedName name="uiim" localSheetId="3" hidden="1">{"Pg1",#N/A,FALSE,"OpExYTDvsBud";"Pg2",#N/A,FALSE,"OpExYTDvsBud"}</definedName>
    <definedName name="uiim" hidden="1">{"Pg1",#N/A,FALSE,"OpExYTDvsBud";"Pg2",#N/A,FALSE,"OpExYTDvsBud"}</definedName>
    <definedName name="uiknu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 localSheetId="3">{"'1-TheatreBkgs'!$A$1:$L$102"}</definedName>
    <definedName name="uiooio">{"'1-TheatreBkgs'!$A$1:$L$102"}</definedName>
    <definedName name="uiui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localSheetId="3" hidden="1">{"comps",#N/A,FALSE,"comps";"notes",#N/A,FALSE,"comps"}</definedName>
    <definedName name="umy" hidden="1">{"comps",#N/A,FALSE,"comps";"notes",#N/A,FALSE,"comps"}</definedName>
    <definedName name="under" localSheetId="3" hidden="1">{#N/A,#N/A,FALSE,"Adj2BS";#N/A,#N/A,FALSE,"AdjBS";#N/A,#N/A,FALSE,"AdjBS_CS"}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localSheetId="3" hidden="1">{#N/A,#N/A,FALSE,"Pharm";#N/A,#N/A,FALSE,"WWCM"}</definedName>
    <definedName name="Unit" hidden="1">{#N/A,#N/A,FALSE,"Pharm";#N/A,#N/A,FALSE,"WWCM"}</definedName>
    <definedName name="Unit_1" localSheetId="3" hidden="1">{#N/A,#N/A,FALSE,"Pharm";#N/A,#N/A,FALSE,"WWCM"}</definedName>
    <definedName name="Unit_1" hidden="1">{#N/A,#N/A,FALSE,"Pharm";#N/A,#N/A,FALSE,"WWCM"}</definedName>
    <definedName name="Unit_2" localSheetId="3" hidden="1">{#N/A,#N/A,FALSE,"Pharm";#N/A,#N/A,FALSE,"WWCM"}</definedName>
    <definedName name="Unit_2" hidden="1">{#N/A,#N/A,FALSE,"Pharm";#N/A,#N/A,FALSE,"WWCM"}</definedName>
    <definedName name="Unit_3" localSheetId="3" hidden="1">{#N/A,#N/A,FALSE,"Pharm";#N/A,#N/A,FALSE,"WWCM"}</definedName>
    <definedName name="Unit_3" hidden="1">{#N/A,#N/A,FALSE,"Pharm";#N/A,#N/A,FALSE,"WWCM"}</definedName>
    <definedName name="Unit_4" localSheetId="3" hidden="1">{#N/A,#N/A,FALSE,"Pharm";#N/A,#N/A,FALSE,"WWCM"}</definedName>
    <definedName name="Unit_4" hidden="1">{#N/A,#N/A,FALSE,"Pharm";#N/A,#N/A,FALSE,"WWCM"}</definedName>
    <definedName name="Unit_Price" localSheetId="4">'[218]c.o.s'!#REF!</definedName>
    <definedName name="Unit_Price">#REF!</definedName>
    <definedName name="United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 localSheetId="4">[86]DBData!$A$1:$M$103</definedName>
    <definedName name="UnitsDB">#REF!</definedName>
    <definedName name="unkknown" hidden="1">#REF!</definedName>
    <definedName name="Unknown" localSheetId="3" hidden="1">{#N/A,#N/A,FALSE,"Aging Summary";#N/A,#N/A,FALSE,"Ratio Analysis";#N/A,#N/A,FALSE,"Test 120 Day Accts";#N/A,#N/A,FALSE,"Tickmarks"}</definedName>
    <definedName name="Unknown" hidden="1">{#N/A,#N/A,FALSE,"Aging Summary";#N/A,#N/A,FALSE,"Ratio Analysis";#N/A,#N/A,FALSE,"Test 120 Day Accts";#N/A,#N/A,FALSE,"Tickmarks"}</definedName>
    <definedName name="unknown2" localSheetId="3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localSheetId="3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localSheetId="3" hidden="1">{#N/A,#N/A,FALSE,"FACTSHEETS";#N/A,#N/A,FALSE,"pump";#N/A,#N/A,FALSE,"filter"}</definedName>
    <definedName name="UPDATESUMMARY" hidden="1">{#N/A,#N/A,FALSE,"FACTSHEETS";#N/A,#N/A,FALSE,"pump";#N/A,#N/A,FALSE,"filter"}</definedName>
    <definedName name="upuh">#REF!</definedName>
    <definedName name="uq" localSheetId="3" hidden="1">{"detail",#N/A,FALSE,"mfg";"summary",#N/A,FALSE,"mfg"}</definedName>
    <definedName name="uq" hidden="1">{"detail",#N/A,FALSE,"mfg";"summary",#N/A,FALSE,"mfg"}</definedName>
    <definedName name="UrbPriceFactor">#REF!</definedName>
    <definedName name="ure" localSheetId="3" hidden="1">{"assets",#N/A,FALSE,"historicBS";"liab",#N/A,FALSE,"historicBS";"is",#N/A,FALSE,"historicIS";"ratios",#N/A,FALSE,"ratios"}</definedName>
    <definedName name="ure" hidden="1">{"assets",#N/A,FALSE,"historicBS";"liab",#N/A,FALSE,"historicBS";"is",#N/A,FALSE,"historicIS";"ratios",#N/A,FALSE,"ratios"}</definedName>
    <definedName name="urur" localSheetId="3" hidden="1">{#N/A,#N/A,FALSE,"Detailed";#N/A,#N/A,FALSE,"Total";#N/A,#N/A,FALSE,"Detailed (2)"}</definedName>
    <definedName name="urur" hidden="1">{#N/A,#N/A,FALSE,"Detailed";#N/A,#N/A,FALSE,"Total";#N/A,#N/A,FALSE,"Detailed (2)"}</definedName>
    <definedName name="urur_1" localSheetId="3" hidden="1">{#N/A,#N/A,FALSE,"Detailed";#N/A,#N/A,FALSE,"Total";#N/A,#N/A,FALSE,"Detailed (2)"}</definedName>
    <definedName name="urur_1" hidden="1">{#N/A,#N/A,FALSE,"Detailed";#N/A,#N/A,FALSE,"Total";#N/A,#N/A,FALSE,"Detailed (2)"}</definedName>
    <definedName name="US" localSheetId="4">'[157]Financial Summary'!$B$37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 localSheetId="4">'[99]Overall market'!#REF!</definedName>
    <definedName name="US_Share">#REF!</definedName>
    <definedName name="US_TAB">#REF!</definedName>
    <definedName name="US_Tax">#REF!</definedName>
    <definedName name="USAlaska_Utilization">#REF!</definedName>
    <definedName name="usbank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 localSheetId="4">'[34]TECH BV'!$A$1:$D$97,'[34]TECH BV'!$A$98:$D$122,'[34]TECH BV'!$A$123:$D$197</definedName>
    <definedName name="usoft">#REF!,#REF!,#REF!</definedName>
    <definedName name="USSE" localSheetId="3" hidden="1">{#N/A,#N/A,FALSE,"Aging Summary";#N/A,#N/A,FALSE,"Ratio Analysis";#N/A,#N/A,FALSE,"Test 120 Day Accts";#N/A,#N/A,FALSE,"Tickmarks"}</definedName>
    <definedName name="USSE" hidden="1">{#N/A,#N/A,FALSE,"Aging Summary";#N/A,#N/A,FALSE,"Ratio Analysis";#N/A,#N/A,FALSE,"Test 120 Day Accts";#N/A,#N/A,FALSE,"Tickmarks"}</definedName>
    <definedName name="USSEUR" localSheetId="3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localSheetId="3" hidden="1">{#N/A,"PURCHM",FALSE,"Business Analysis";#N/A,"SPADD",FALSE,"Business Analysis"}</definedName>
    <definedName name="ut" hidden="1">{#N/A,"PURCHM",FALSE,"Business Analysis";#N/A,"SPADD",FALSE,"Business Analysis"}</definedName>
    <definedName name="uti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'[48]GL-PC'!#REF!</definedName>
    <definedName name="Utilities__Expense">'[48]GL-PC'!#REF!</definedName>
    <definedName name="Utilization">#REF!</definedName>
    <definedName name="Utilization_HP">#REF!</definedName>
    <definedName name="utilo.version" hidden="1">2.1</definedName>
    <definedName name="UTTFILENAME" localSheetId="3">'Company Name COGS+OPEX Build'!________________________wrn7</definedName>
    <definedName name="UTTFILENAME">________________________wrn7</definedName>
    <definedName name="uu" localSheetId="3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localSheetId="3" hidden="1">{#N/A,#N/A,FALSE,"KA CH  (2)"}</definedName>
    <definedName name="uu.kk" hidden="1">{#N/A,#N/A,FALSE,"KA CH  (2)"}</definedName>
    <definedName name="üü.l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localSheetId="3" hidden="1">{#N/A,#N/A,FALSE,"TSUM";#N/A,#N/A,FALSE,"shares";#N/A,#N/A,FALSE,"earnout";#N/A,#N/A,FALSE,"Heaty";#N/A,#N/A,FALSE,"self-tend";#N/A,#N/A,FALSE,"self-sum"}</definedName>
    <definedName name="uuu" hidden="1">{#N/A,#N/A,FALSE,"TSUM";#N/A,#N/A,FALSE,"shares";#N/A,#N/A,FALSE,"earnout";#N/A,#N/A,FALSE,"Heaty";#N/A,#N/A,FALSE,"self-tend";#N/A,#N/A,FALSE,"self-sum"}</definedName>
    <definedName name="üüü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localSheetId="3" hidden="1">{#N/A,#N/A,FALSE,"puboff";#N/A,#N/A,FALSE,"financials";#N/A,#N/A,FALSE,"valuation";#N/A,#N/A,FALSE,"split"}</definedName>
    <definedName name="uuuu" hidden="1">{#N/A,#N/A,FALSE,"puboff";#N/A,#N/A,FALSE,"financials";#N/A,#N/A,FALSE,"valuation";#N/A,#N/A,FALSE,"split"}</definedName>
    <definedName name="üüüü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localSheetId="3" hidden="1">{#N/A,"PURCHM",FALSE,"Business Analysis";#N/A,"SPADD",FALSE,"Business Analysis"}</definedName>
    <definedName name="uytr" hidden="1">{#N/A,"PURCHM",FALSE,"Business Analysis";#N/A,"SPADD",FALSE,"Business Analysis"}</definedName>
    <definedName name="uztuz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localSheetId="3" hidden="1">{"glc1",#N/A,FALSE,"GLC";"glc2",#N/A,FALSE,"GLC";"glc3",#N/A,FALSE,"GLC";"glc4",#N/A,FALSE,"GLC";"glc5",#N/A,FALSE,"GLC"}</definedName>
    <definedName name="uzuzuzu" hidden="1">{"glc1",#N/A,FALSE,"GLC";"glc2",#N/A,FALSE,"GLC";"glc3",#N/A,FALSE,"GLC";"glc4",#N/A,FALSE,"GLC";"glc5",#N/A,FALSE,"GLC"}</definedName>
    <definedName name="V">#REF!</definedName>
    <definedName name="v.1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localSheetId="3" hidden="1">{#N/A,#N/A,FALSE,"Produkte Erw.";#N/A,#N/A,FALSE,"Produkte Plan";#N/A,#N/A,FALSE,"Leistungen Erw.";#N/A,#N/A,FALSE,"Leistungen Plan";#N/A,#N/A,FALSE,"KA Allg.Kosten (2)";#N/A,#N/A,FALSE,"KA All.Kosten"}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localSheetId="3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localSheetId="3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localSheetId="3" hidden="1">{#N/A,#N/A,FALSE,"Produkte Erw.";#N/A,#N/A,FALSE,"Produkte Plan";#N/A,#N/A,FALSE,"Leistungen Erw.";#N/A,#N/A,FALSE,"Leistungen Plan";#N/A,#N/A,FALSE,"KA Allg.Kosten (2)";#N/A,#N/A,FALSE,"KA All.Kosten"}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localSheetId="4" hidden="1">{"rtn",#N/A,FALSE,"RTN";"tables",#N/A,FALSE,"RTN";"cf",#N/A,FALSE,"CF";"stats",#N/A,FALSE,"Stats";"prop",#N/A,FALSE,"Prop"}</definedName>
    <definedName name="v_1" localSheetId="3" hidden="1">{"rtn",#N/A,FALSE,"RTN";"tables",#N/A,FALSE,"RTN";"cf",#N/A,FALSE,"CF";"stats",#N/A,FALSE,"Stats";"prop",#N/A,FALSE,"Prop"}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 localSheetId="4">'[110]חופשה ופיצויים'!#REF!</definedName>
    <definedName name="VacationReport">#REF!</definedName>
    <definedName name="VacationTable">#REF!</definedName>
    <definedName name="vacpay">#REF!</definedName>
    <definedName name="val" localSheetId="4">{"חובה","SUM(חובה)","YNNNN",FALSE}</definedName>
    <definedName name="val" localSheetId="3" hidden="1">{"detail",#N/A,FALSE,"mfg";"summary",#N/A,FALSE,"mfg"}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localSheetId="3" hidden="1">{"Term Sheet",#N/A,FALSE,"Term Sheet";"Value Summary",#N/A,FALSE,"Value Sum";"Debt Coverage",#N/A,FALSE,"Debt Coverage"}</definedName>
    <definedName name="Valuation_1" hidden="1">{"Term Sheet",#N/A,FALSE,"Term Sheet";"Value Summary",#N/A,FALSE,"Value Sum";"Debt Coverage",#N/A,FALSE,"Debt Coverage"}</definedName>
    <definedName name="Valuation_1_1" localSheetId="3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localSheetId="3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localSheetId="3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localSheetId="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localSheetId="3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localSheetId="3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localSheetId="3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localSheetId="3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localSheetId="3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localSheetId="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localSheetId="3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localSheetId="3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localSheetId="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localSheetId="3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localSheetId="3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localSheetId="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localSheetId="3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localSheetId="3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localSheetId="3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localSheetId="3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localSheetId="3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localSheetId="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localSheetId="3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localSheetId="3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localSheetId="3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localSheetId="3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localSheetId="3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localSheetId="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localSheetId="3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 localSheetId="4">[221]Parameters!$D$6</definedName>
    <definedName name="Valuation_Date">#REF!</definedName>
    <definedName name="ValuationBAAMultiple" localSheetId="3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lue">3</definedName>
    <definedName name="Value_performance_option_Data_List">#REF!</definedName>
    <definedName name="VALUE1">#REF!</definedName>
    <definedName name="values_array" localSheetId="4">{"חובה","SUM(חובה)","YNNNN",FALSE}</definedName>
    <definedName name="values_array" localSheetId="3">{"חובה","SUM(חובה)","YNNNN",FALSE}</definedName>
    <definedName name="values_array">{"חובה","SUM(חובה)","YNNNN",FALSE}</definedName>
    <definedName name="values_array_1" localSheetId="3">{"חובה","SUM(חובה)","YNNNN",FALSE}</definedName>
    <definedName name="values_array_1">{"חובה","SUM(חובה)","YNNNN",FALSE}</definedName>
    <definedName name="values_array00" localSheetId="4">{"חובה","SUM(חובה)","YNNNN",FALSE}</definedName>
    <definedName name="values_array00" localSheetId="3">{"חובה","SUM(חובה)","YNNNN",FALSE}</definedName>
    <definedName name="values_array00">{"חובה","SUM(חובה)","YNNNN",FALSE}</definedName>
    <definedName name="values_array00_1" localSheetId="3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localSheetId="3" hidden="1">{#N/A,#N/A,FALSE,"FINAL"}</definedName>
    <definedName name="var" hidden="1">{#N/A,#N/A,FALSE,"FINAL"}</definedName>
    <definedName name="var_oh">#REF!</definedName>
    <definedName name="Varanalysis2001" localSheetId="3" hidden="1">{#N/A,#N/A,FALSE,"BalSheet 0899";#N/A,#N/A,FALSE,"ytdpl899";#N/A,#N/A,FALSE,"Aug PL";#N/A,#N/A,FALSE,"Minority Int";#N/A,#N/A,FALSE,"Equity Roll Forward";#N/A,#N/A,FALSE,"Book Equity Test"}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 localSheetId="4">'[222]מאזן בוחן'!$A$9:$C$216</definedName>
    <definedName name="vardit">#REF!</definedName>
    <definedName name="Variable_Cell">#REF!</definedName>
    <definedName name="Variable_data">#REF!</definedName>
    <definedName name="VARIANCE">#REF!</definedName>
    <definedName name="VAS_1">[12]מחירון!$A$3:$D$9</definedName>
    <definedName name="VAS_1_EXTRA">[12]מחירון!$D$10</definedName>
    <definedName name="VAS_2">[12]מחירון!$A$13:$D$19</definedName>
    <definedName name="VAS_2_EXTRA">[12]מחירון!$D$20</definedName>
    <definedName name="VAS_3">[12]מחירון!$A$23:$D$29</definedName>
    <definedName name="VAS_3_EXTRA">[12]מחירון!$D$30</definedName>
    <definedName name="VAS_CSR">[12]מחירון!#REF!</definedName>
    <definedName name="VAS_CSR_BUS">[12]מחירון!#REF!</definedName>
    <definedName name="VAS_CSR_BUS_EXTRA">[12]מחירון!#REF!</definedName>
    <definedName name="VAS_CSR_EXTRA">[12]מחירון!#REF!</definedName>
    <definedName name="VAS_TECH">[12]מחירון!#REF!</definedName>
    <definedName name="VAS_TECH_EXTRA">[12]מחירון!#REF!</definedName>
    <definedName name="VAT" localSheetId="4">[190]WP!#REF!</definedName>
    <definedName name="VAT">#REF!</definedName>
    <definedName name="VATINCLUSIVE">#REF!</definedName>
    <definedName name="vatofgross">#REF!</definedName>
    <definedName name="vb" localSheetId="3" hidden="1">{"table",#N/A,FALSE,"COVER";"income_statement",#N/A,FALSE,"COVER"}</definedName>
    <definedName name="vb" hidden="1">{"table",#N/A,FALSE,"COVER";"income_statement",#N/A,FALSE,"COVER"}</definedName>
    <definedName name="vbhj" localSheetId="3" hidden="1">{#N/A,"PURCHM",FALSE,"Business Analysis";#N/A,"SPADD",FALSE,"Business Analysis"}</definedName>
    <definedName name="vbhj" hidden="1">{#N/A,"PURCHM",FALSE,"Business Analysis";#N/A,"SPADD",FALSE,"Business Analysis"}</definedName>
    <definedName name="vbnm" localSheetId="3" hidden="1">{"net assets",#N/A,FALSE,"summary";"asset turnover",#N/A,FALSE,"summary";"orona",#N/A,FALSE,"summary"}</definedName>
    <definedName name="vbnm" hidden="1">{"net assets",#N/A,FALSE,"summary";"asset turnover",#N/A,FALSE,"summary";"orona",#N/A,FALSE,"summary"}</definedName>
    <definedName name="vbvbvbv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localSheetId="3" hidden="1">{#N/A,#N/A,FALSE,"Créances";#N/A,#N/A,FALSE,"Effectifs";#N/A,#N/A,FALSE,"SI"}</definedName>
    <definedName name="vcsds" hidden="1">{#N/A,#N/A,FALSE,"Créances";#N/A,#N/A,FALSE,"Effectifs";#N/A,#N/A,FALSE,"SI"}</definedName>
    <definedName name="vcvc" localSheetId="3" hidden="1">{"Polymers Details",#N/A,FALSE,"Current Yr";"Polymer Details",#N/A,FALSE,"Budget";"Polymer Details",#N/A,FALSE,"Prior Year"}</definedName>
    <definedName name="vcvc" hidden="1">{"Polymers Details",#N/A,FALSE,"Current Yr";"Polymer Details",#N/A,FALSE,"Budget";"Polymer Details",#N/A,FALSE,"Prior Year"}</definedName>
    <definedName name="vcvcv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localSheetId="3" hidden="1">{#N/A,#N/A,FALSE,"1263 Total"}</definedName>
    <definedName name="Veeco1" hidden="1">{#N/A,#N/A,FALSE,"1263 Total"}</definedName>
    <definedName name="Vehicle_Lease_Expense_G_A">'[48]GL-PC'!#REF!</definedName>
    <definedName name="Vehicle_Lease_Expense_R_D">'[48]GL-PC'!#REF!</definedName>
    <definedName name="Vehicle_Lease_Expense_S_M">'[48]GL-PC'!#REF!</definedName>
    <definedName name="Vehicles_SM">'[48]GL-PC'!#REF!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localSheetId="3" hidden="1">{"histincome",#N/A,FALSE,"hyfins";"closing balance",#N/A,FALSE,"hyfins"}</definedName>
    <definedName name="vex" hidden="1">{"histincome",#N/A,FALSE,"hyfins";"closing balance",#N/A,FALSE,"hyfins"}</definedName>
    <definedName name="vf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localSheetId="3" hidden="1">{"QTD",#N/A,FALSE,"SUM"}</definedName>
    <definedName name="vfcd" hidden="1">{"QTD",#N/A,FALSE,"SUM"}</definedName>
    <definedName name="vfhy" localSheetId="3" hidden="1">{"GENERALH2",#N/A,FALSE,"CM"}</definedName>
    <definedName name="vfhy" hidden="1">{"GENERALH2",#N/A,FALSE,"CM"}</definedName>
    <definedName name="vg" localSheetId="3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gf" localSheetId="3" hidden="1">{"GENERALH2",#N/A,FALSE,"CM"}</definedName>
    <definedName name="vgf" hidden="1">{"GENERALH2",#N/A,FALSE,"CM"}</definedName>
    <definedName name="vgfdhj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localSheetId="3" hidden="1">{#N/A,#N/A,FALSE,"Assumptions";#N/A,#N/A,FALSE,"N-IS-Sum";#N/A,#N/A,FALSE,"N-St-Sum";#N/A,#N/A,FALSE,"Inc Stmt";#N/A,#N/A,FALSE,"Stats"}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localSheetId="3" hidden="1">{#N/A,#N/A,TRUE,"MAIN FT TERM";#N/A,#N/A,TRUE,"MCI  FT TERM ";#N/A,#N/A,TRUE,"OC12 EQV"}</definedName>
    <definedName name="viisage" hidden="1">{#N/A,#N/A,TRUE,"MAIN FT TERM";#N/A,#N/A,TRUE,"MCI  FT TERM ";#N/A,#N/A,TRUE,"OC12 EQV"}</definedName>
    <definedName name="VIM_Authoring_tool___Set_up_fee__training_Course____CMG" localSheetId="4">'[103]Revenue detailed Projection'!#REF!</definedName>
    <definedName name="VIM_Authoring_tool___Set_up_fee__training_Course____CMG">#REF!</definedName>
    <definedName name="VIM_Authoring_tool___Set_up_fee__training_Course____Ericsson___global" localSheetId="4">'[103]Revenue detailed Projection'!#REF!</definedName>
    <definedName name="VIM_Authoring_tool___Set_up_fee__training_Course____Ericsson___global">#REF!</definedName>
    <definedName name="VIM_Authoring_tool___Set_up_fee__training_Course____Ericsson_Italy" localSheetId="4">'[103]Revenue detailed Projection'!#REF!</definedName>
    <definedName name="VIM_Authoring_tool___Set_up_fee__training_Course____Ericsson_Italy">#REF!</definedName>
    <definedName name="VIM_Authoring_tool___Set_up_fee__training_Course____Ericsson_Spain" localSheetId="4">'[103]Revenue detailed Projection'!#REF!</definedName>
    <definedName name="VIM_Authoring_tool___Set_up_fee__training_Course____Ericsson_Spain">#REF!</definedName>
    <definedName name="VIM_Authoring_tool___Set_up_fee__training_Course____Excem_France" localSheetId="4">'[103]Revenue detailed Projection'!#REF!</definedName>
    <definedName name="VIM_Authoring_tool___Set_up_fee__training_Course____Excem_France">#REF!</definedName>
    <definedName name="VIM_Authoring_tool___Set_up_fee__training_Course____Excem_Spain" localSheetId="4">'[103]Revenue detailed Projection'!#REF!</definedName>
    <definedName name="VIM_Authoring_tool___Set_up_fee__training_Course____Excem_Spain">#REF!</definedName>
    <definedName name="VIM_Authoring_tool___Set_up_fee__training_Course____Mitsui__BSI" localSheetId="4">'[103]Revenue detailed Projection'!#REF!</definedName>
    <definedName name="VIM_Authoring_tool___Set_up_fee__training_Course____Mitsui__BSI">#REF!</definedName>
    <definedName name="VIM_Authoring_tool___Set_up_fee__training_Course____Other_1" localSheetId="4">'[103]Revenue detailed Projection'!#REF!</definedName>
    <definedName name="VIM_Authoring_tool___Set_up_fee__training_Course____Other_1">#REF!</definedName>
    <definedName name="VIM_Authoring_tool___Set_up_fee__training_Course____Other_2" localSheetId="4">'[103]Revenue detailed Projection'!#REF!</definedName>
    <definedName name="VIM_Authoring_tool___Set_up_fee__training_Course____Other_2">#REF!</definedName>
    <definedName name="VIM_Authoring_tool___Set_up_fee__training_Course____Other_3" localSheetId="4">'[103]Revenue detailed Projection'!#REF!</definedName>
    <definedName name="VIM_Authoring_tool___Set_up_fee__training_Course____Other_3">#REF!</definedName>
    <definedName name="VIM_Authoring_tool___Set_up_fee__training_Course____SchlumbergerSema" localSheetId="4">'[103]Revenue detailed Projection'!#REF!</definedName>
    <definedName name="VIM_Authoring_tool___Set_up_fee__training_Course____SchlumbergerSema">#REF!</definedName>
    <definedName name="VIM_Authoring_tool___Set_up_fee__training_Course____Sony__NSBCE" localSheetId="4">'[103]Revenue detailed Projection'!#REF!</definedName>
    <definedName name="VIM_Authoring_tool___Set_up_fee__training_Course____Sony__NSBCE">#REF!</definedName>
    <definedName name="VIM_Authoring_tool___Set_up_fee__training_Course____Technomen" localSheetId="4">'[103]Revenue detailed Projection'!#REF!</definedName>
    <definedName name="VIM_Authoring_tool___Set_up_fee__training_Course____Technomen">#REF!</definedName>
    <definedName name="VIM_Authoring_tool___Set_up_fee__training_Course____Unisys" localSheetId="4">'[103]Revenue detailed Projection'!#REF!</definedName>
    <definedName name="VIM_Authoring_tool___Set_up_fee__training_Course____Unisys">#REF!</definedName>
    <definedName name="VIM_Authoring_tool__royalties____Units___CMG" localSheetId="4">'[103]Revenue detailed Projection'!#REF!</definedName>
    <definedName name="VIM_Authoring_tool__royalties____Units___CMG">#REF!</definedName>
    <definedName name="VIM_Authoring_tool__royalties____Units___Ericsson___global" localSheetId="4">'[103]Revenue detailed Projection'!#REF!</definedName>
    <definedName name="VIM_Authoring_tool__royalties____Units___Ericsson___global">#REF!</definedName>
    <definedName name="VIM_Authoring_tool__royalties____Units___Ericsson_Italy" localSheetId="4">'[103]Revenue detailed Projection'!#REF!</definedName>
    <definedName name="VIM_Authoring_tool__royalties____Units___Ericsson_Italy">#REF!</definedName>
    <definedName name="VIM_Authoring_tool__royalties____Units___Ericsson_Spain" localSheetId="4">'[103]Revenue detailed Projection'!#REF!</definedName>
    <definedName name="VIM_Authoring_tool__royalties____Units___Ericsson_Spain">#REF!</definedName>
    <definedName name="VIM_Authoring_tool__royalties____Units___Excem_France" localSheetId="4">'[103]Revenue detailed Projection'!#REF!</definedName>
    <definedName name="VIM_Authoring_tool__royalties____Units___Excem_France">#REF!</definedName>
    <definedName name="VIM_Authoring_tool__royalties____Units___Excem_Spain" localSheetId="4">'[103]Revenue detailed Projection'!#REF!</definedName>
    <definedName name="VIM_Authoring_tool__royalties____Units___Excem_Spain">#REF!</definedName>
    <definedName name="VIM_Authoring_tool__royalties____Units___Mitsui__BSI" localSheetId="4">'[103]Revenue detailed Projection'!#REF!</definedName>
    <definedName name="VIM_Authoring_tool__royalties____Units___Mitsui__BSI">#REF!</definedName>
    <definedName name="VIM_Authoring_tool__royalties____Units___Other_1" localSheetId="4">'[103]Revenue detailed Projection'!#REF!</definedName>
    <definedName name="VIM_Authoring_tool__royalties____Units___Other_1">#REF!</definedName>
    <definedName name="VIM_Authoring_tool__royalties____Units___Other_2" localSheetId="4">'[103]Revenue detailed Projection'!#REF!</definedName>
    <definedName name="VIM_Authoring_tool__royalties____Units___Other_2">#REF!</definedName>
    <definedName name="VIM_Authoring_tool__royalties____Units___Other_3" localSheetId="4">'[103]Revenue detailed Projection'!#REF!</definedName>
    <definedName name="VIM_Authoring_tool__royalties____Units___Other_3">#REF!</definedName>
    <definedName name="VIM_Authoring_tool__royalties____Units___SchlumbergerSema" localSheetId="4">'[103]Revenue detailed Projection'!#REF!</definedName>
    <definedName name="VIM_Authoring_tool__royalties____Units___SchlumbergerSema">#REF!</definedName>
    <definedName name="VIM_Authoring_tool__royalties____Units___Sony__NSBCE" localSheetId="4">'[103]Revenue detailed Projection'!#REF!</definedName>
    <definedName name="VIM_Authoring_tool__royalties____Units___Sony__NSBCE">#REF!</definedName>
    <definedName name="VIM_Authoring_tool__royalties____Units___Technomen" localSheetId="4">'[103]Revenue detailed Projection'!#REF!</definedName>
    <definedName name="VIM_Authoring_tool__royalties____Units___Technomen">#REF!</definedName>
    <definedName name="VIM_Authoring_tool__royalties____Units___Unisys" localSheetId="4">'[103]Revenue detailed Projection'!#REF!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 localSheetId="4">'[103]Revenue detailed Projection'!#REF!</definedName>
    <definedName name="VIMedia_Composer___Excem_France">#REF!</definedName>
    <definedName name="VIMedia_Composer___Excem_Spain" localSheetId="4">'[103]Revenue detailed Projection'!#REF!</definedName>
    <definedName name="VIMedia_Composer___Excem_Spain">#REF!</definedName>
    <definedName name="VIMedia_Composer___Mitsui__BSI" localSheetId="4">'[103]Revenue detailed Projection'!#REF!</definedName>
    <definedName name="VIMedia_Composer___Mitsui__BSI">#REF!</definedName>
    <definedName name="VIMedia_Composer___Other_1" localSheetId="4">'[103]Revenue detailed Projection'!#REF!</definedName>
    <definedName name="VIMedia_Composer___Other_1">#REF!</definedName>
    <definedName name="VIMedia_Composer___Other_2" localSheetId="4">'[103]Revenue detailed Projection'!#REF!</definedName>
    <definedName name="VIMedia_Composer___Other_2">#REF!</definedName>
    <definedName name="VIMedia_Composer___Other_3" localSheetId="4">'[103]Revenue detailed Projection'!#REF!</definedName>
    <definedName name="VIMedia_Composer___Other_3">#REF!</definedName>
    <definedName name="VIMedia_Composer___SchlumbergerSema">#REF!</definedName>
    <definedName name="VIMedia_Composer___Sony__NSBCE" localSheetId="4">'[103]Revenue detailed Projection'!#REF!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 localSheetId="4">'[103]Revenue detailed Projection'!#REF!</definedName>
    <definedName name="VIMedia_Composer___Units___CMG">#REF!</definedName>
    <definedName name="VIMedia_Composer___Units___Ericsson___global" localSheetId="4">'[103]Revenue detailed Projection'!#REF!</definedName>
    <definedName name="VIMedia_Composer___Units___Ericsson___global">#REF!</definedName>
    <definedName name="VIMedia_Composer___Units___Ericsson_Italy" localSheetId="4">'[103]Revenue detailed Projection'!#REF!</definedName>
    <definedName name="VIMedia_Composer___Units___Ericsson_Italy">#REF!</definedName>
    <definedName name="VIMedia_Composer___Units___Ericsson_Spain" localSheetId="4">'[103]Revenue detailed Projection'!#REF!</definedName>
    <definedName name="VIMedia_Composer___Units___Ericsson_Spain">#REF!</definedName>
    <definedName name="VIMedia_Composer___Units___Excem_France" localSheetId="4">'[103]Revenue detailed Projection'!#REF!</definedName>
    <definedName name="VIMedia_Composer___Units___Excem_France">#REF!</definedName>
    <definedName name="VIMedia_Composer___Units___Excem_Spain" localSheetId="4">'[103]Revenue detailed Projection'!#REF!</definedName>
    <definedName name="VIMedia_Composer___Units___Excem_Spain">#REF!</definedName>
    <definedName name="VIMedia_Composer___Units___Mitsui__BSI" localSheetId="4">'[103]Revenue detailed Projection'!#REF!</definedName>
    <definedName name="VIMedia_Composer___Units___Mitsui__BSI">#REF!</definedName>
    <definedName name="VIMedia_Composer___Units___Other_1" localSheetId="4">'[103]Revenue detailed Projection'!#REF!</definedName>
    <definedName name="VIMedia_Composer___Units___Other_1">#REF!</definedName>
    <definedName name="VIMedia_Composer___Units___Other_2" localSheetId="4">'[103]Revenue detailed Projection'!#REF!</definedName>
    <definedName name="VIMedia_Composer___Units___Other_2">#REF!</definedName>
    <definedName name="VIMedia_Composer___Units___Other_3" localSheetId="4">'[103]Revenue detailed Projection'!#REF!</definedName>
    <definedName name="VIMedia_Composer___Units___Other_3">#REF!</definedName>
    <definedName name="VIMedia_Composer___Units___SchlumbergerSema" localSheetId="4">'[103]Revenue detailed Projection'!#REF!</definedName>
    <definedName name="VIMedia_Composer___Units___SchlumbergerSema">#REF!</definedName>
    <definedName name="VIMedia_Composer___Units___Sony__NSBCE" localSheetId="4">'[103]Revenue detailed Projection'!#REF!</definedName>
    <definedName name="VIMedia_Composer___Units___Sony__NSBCE">#REF!</definedName>
    <definedName name="VIMedia_Composer___Units___Technomen" localSheetId="4">'[103]Revenue detailed Projection'!#REF!</definedName>
    <definedName name="VIMedia_Composer___Units___Technomen">#REF!</definedName>
    <definedName name="VIMedia_Composer___Units___Unisys" localSheetId="4">'[103]Revenue detailed Projection'!#REF!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 localSheetId="4">'[103]Revenue detailed Projection'!#REF!</definedName>
    <definedName name="VIMedia_Gateway___Excem_France">#REF!</definedName>
    <definedName name="VIMedia_Gateway___Excem_Spain" localSheetId="4">'[103]Revenue detailed Projection'!#REF!</definedName>
    <definedName name="VIMedia_Gateway___Excem_Spain">#REF!</definedName>
    <definedName name="VIMedia_Gateway___Mitsui__BSI" localSheetId="4">'[103]Revenue detailed Projection'!#REF!</definedName>
    <definedName name="VIMedia_Gateway___Mitsui__BSI">#REF!</definedName>
    <definedName name="VIMedia_Gateway___Other_1" localSheetId="4">'[103]Revenue detailed Projection'!#REF!</definedName>
    <definedName name="VIMedia_Gateway___Other_1">#REF!</definedName>
    <definedName name="VIMedia_Gateway___Other_2" localSheetId="4">'[103]Revenue detailed Projection'!#REF!</definedName>
    <definedName name="VIMedia_Gateway___Other_2">#REF!</definedName>
    <definedName name="VIMedia_Gateway___Other_3" localSheetId="4">'[103]Revenue detailed Projection'!#REF!</definedName>
    <definedName name="VIMedia_Gateway___Other_3">#REF!</definedName>
    <definedName name="VIMedia_Gateway___SchlumbergerSema">#REF!</definedName>
    <definedName name="VIMedia_Gateway___Sony__NSBCE" localSheetId="4">'[103]Revenue detailed Projection'!#REF!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localSheetId="3" hidden="1">{"'Customer Support Trends'!$A$1:$AB$13"}</definedName>
    <definedName name="visits" hidden="1">{"'Customer Support Trends'!$A$1:$AB$13"}</definedName>
    <definedName name="VISTA">#REF!</definedName>
    <definedName name="vistis2" localSheetId="3" hidden="1">{"'Customer Support Trends'!$A$1:$AB$13"}</definedName>
    <definedName name="vistis2" hidden="1">{"'Customer Support Trends'!$A$1:$AB$13"}</definedName>
    <definedName name="vk" localSheetId="3" hidden="1">{"bs",#N/A,FALSE,"SCF"}</definedName>
    <definedName name="vk" hidden="1">{"bs",#N/A,FALSE,"SCF"}</definedName>
    <definedName name="vl" localSheetId="3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localSheetId="3" hidden="1">{#N/A,#N/A,FALSE,"ALM-ASISC"}</definedName>
    <definedName name="VMS_Karachi" hidden="1">{#N/A,#N/A,FALSE,"ALM-ASISC"}</definedName>
    <definedName name="vn.2" localSheetId="3" hidden="1">{#N/A,#N/A,FALSE,"KA CH  (2)"}</definedName>
    <definedName name="vn.2" hidden="1">{#N/A,#N/A,FALSE,"KA CH  (2)"}</definedName>
    <definedName name="vn.9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localSheetId="3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ICE">[12]מחירון!#REF!</definedName>
    <definedName name="VOICE_CSR">[12]מחירון!#REF!</definedName>
    <definedName name="VOICE_CSR_BUS">[12]מחירון!#REF!</definedName>
    <definedName name="VOICE_CSR_BUS_EXTRA">[12]מחירון!#REF!</definedName>
    <definedName name="VOICE_CSR_EXTRA">[12]מחירון!#REF!</definedName>
    <definedName name="VOICE_EXTRA">[12]מחירון!#REF!</definedName>
    <definedName name="VOICE_עיסקי">[140]מחירון!$A$63:$D$69</definedName>
    <definedName name="VoiceCore_CircuitOption" localSheetId="3" hidden="1">{#N/A,#N/A,FALSE,"ALM-ASISC"}</definedName>
    <definedName name="VoiceCore_CircuitOption" hidden="1">{#N/A,#N/A,FALSE,"ALM-ASISC"}</definedName>
    <definedName name="VoiceCore_Option" localSheetId="3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localSheetId="3" hidden="1">{"bs",#N/A,FALSE,"SCF"}</definedName>
    <definedName name="vsdkfj" hidden="1">{"bs",#N/A,FALSE,"SCF"}</definedName>
    <definedName name="vslv" localSheetId="3" hidden="1">{"bs",#N/A,FALSE,"SCF"}</definedName>
    <definedName name="vslv" hidden="1">{"bs",#N/A,FALSE,"SCF"}</definedName>
    <definedName name="vty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localSheetId="4" hidden="1">{"cash_marc",#N/A,FALSE,"dec95cr.xls"}</definedName>
    <definedName name="vv" localSheetId="3" hidden="1">{"cash_marc",#N/A,FALSE,"dec95cr.xls"}</definedName>
    <definedName name="vv" hidden="1">{"cash_marc",#N/A,FALSE,"dec95cr.xls"}</definedName>
    <definedName name="vvbvvbvfgf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localSheetId="3" hidden="1">{#N/A,#N/A,FALSE,"Assump";#N/A,#N/A,FALSE,"Income";#N/A,#N/A,FALSE,"Balance";#N/A,#N/A,FALSE,"DCF Pump";#N/A,#N/A,FALSE,"Trans Assump";#N/A,#N/A,FALSE,"Combined Income";#N/A,#N/A,FALSE,"Combined Balance"}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localSheetId="3" hidden="1">{#N/A,#N/A,FALSE,"TOWNSHIP"}</definedName>
    <definedName name="vvv.ss" hidden="1">{#N/A,#N/A,FALSE,"TOWNSHIP"}</definedName>
    <definedName name="vvv.xxx" localSheetId="3" hidden="1">{#N/A,#N/A,FALSE,"SUMMARY";#N/A,#N/A,FALSE,"SUMMARY"}</definedName>
    <definedName name="vvv.xxx" hidden="1">{#N/A,#N/A,FALSE,"SUMMARY";#N/A,#N/A,FALSE,"SUMMARY"}</definedName>
    <definedName name="vvvv" localSheetId="4" hidden="1">{"DCF","UPSIDE CASE",FALSE,"Sheet1";"DCF","BASE CASE",FALSE,"Sheet1";"DCF","DOWNSIDE CASE",FALSE,"Sheet1"}</definedName>
    <definedName name="vvvv" localSheetId="3" hidden="1">{"DCF","UPSIDE CASE",FALSE,"Sheet1";"DCF","BASE CASE",FALSE,"Sheet1";"DCF","DOWNSIDE CASE",FALSE,"Sheet1"}</definedName>
    <definedName name="vvvv" hidden="1">{"DCF","UPSIDE CASE",FALSE,"Sheet1";"DCF","BASE CASE",FALSE,"Sheet1";"DCF","DOWNSIDE CASE",FALSE,"Sheet1"}</definedName>
    <definedName name="vvvvvvvvvv" localSheetId="3" hidden="1">{"net assets",#N/A,FALSE,"summary";"asset turnover",#N/A,FALSE,"summary";"orona",#N/A,FALSE,"summary"}</definedName>
    <definedName name="vvvvvvvvvv" hidden="1">{"net assets",#N/A,FALSE,"summary";"asset turnover",#N/A,FALSE,"summary";"orona",#N/A,FALSE,"summary"}</definedName>
    <definedName name="vvvvvvvvvvvvvvvvv" localSheetId="3" hidden="1">{"HW",#N/A,FALSE,"1998"}</definedName>
    <definedName name="vvvvvvvvvvvvvvvvv" hidden="1">{"HW",#N/A,FALSE,"1998"}</definedName>
    <definedName name="vvvvvvvvvvvvvvvvvvvvvvvvvvvv" localSheetId="3" hidden="1">{"Back Page",#N/A,FALSE,"Front and Back"}</definedName>
    <definedName name="vvvvvvvvvvvvvvvvvvvvvvvvvvvv" hidden="1">{"Back Page",#N/A,FALSE,"Front and Back"}</definedName>
    <definedName name="vwew32" localSheetId="3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xcvxc" hidden="1">#REF!</definedName>
    <definedName name="vxcz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localSheetId="3" hidden="1">{"detail",#N/A,FALSE,"mfg";"summary",#N/A,FALSE,"mfg"}</definedName>
    <definedName name="vz" hidden="1">{"detail",#N/A,FALSE,"mfg";"summary",#N/A,FALSE,"mfg"}</definedName>
    <definedName name="vzssw" localSheetId="3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4">'[99]Overall market'!#REF!</definedName>
    <definedName name="w" hidden="1">#REF!,#REF!,#REF!</definedName>
    <definedName name="w.capi" localSheetId="3" hidden="1">{"'Int.-Cem.unit -SUMMARY'!$A$1:$J$25"}</definedName>
    <definedName name="w.capi" hidden="1">{"'Int.-Cem.unit -SUMMARY'!$A$1:$J$25"}</definedName>
    <definedName name="w.l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localSheetId="3" hidden="1">{"QTD_OTHER",#N/A,FALSE,"QTD"}</definedName>
    <definedName name="w2r5" hidden="1">{"QTD_OTHER",#N/A,FALSE,"QTD"}</definedName>
    <definedName name="w5y2367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localSheetId="3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 localSheetId="4">'[223]CF and Equity calc'!$G$37</definedName>
    <definedName name="wacc1">#REF!</definedName>
    <definedName name="WACC2">"4474546C-95CC-4AC3-AA63-74663F8F2B42"</definedName>
    <definedName name="WACC3" localSheetId="3">{"adj95mult",#N/A,FALSE,"COMPCO";"adj95est",#N/A,FALSE,"COMPCO"}</definedName>
    <definedName name="WACC3">{"adj95mult",#N/A,FALSE,"COMPCO";"adj95est",#N/A,FALSE,"COMPCO"}</definedName>
    <definedName name="wacco" localSheetId="4">'[224]Proforma-O'!$B$55</definedName>
    <definedName name="wacco">#REF!</definedName>
    <definedName name="Wachstumsabschlag">#REF!</definedName>
    <definedName name="wae.2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'[48]GL-PC'!#REF!</definedName>
    <definedName name="WALKING">#REF!</definedName>
    <definedName name="Waltham_Sq_ft">#REF!</definedName>
    <definedName name="war">#REF!</definedName>
    <definedName name="wara">#REF!</definedName>
    <definedName name="waresd" localSheetId="3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localSheetId="3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s_1" localSheetId="3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localSheetId="3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localSheetId="3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localSheetId="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localSheetId="3" hidden="1">{#N/A,#N/A,FALSE,"Pharm";#N/A,#N/A,FALSE,"WWCM"}</definedName>
    <definedName name="wb" hidden="1">{#N/A,#N/A,FALSE,"Pharm";#N/A,#N/A,FALSE,"WWCM"}</definedName>
    <definedName name="wb_1" localSheetId="3" hidden="1">{#N/A,#N/A,FALSE,"Pharm";#N/A,#N/A,FALSE,"WWCM"}</definedName>
    <definedName name="wb_1" hidden="1">{#N/A,#N/A,FALSE,"Pharm";#N/A,#N/A,FALSE,"WWCM"}</definedName>
    <definedName name="wb_2" localSheetId="3" hidden="1">{#N/A,#N/A,FALSE,"Pharm";#N/A,#N/A,FALSE,"WWCM"}</definedName>
    <definedName name="wb_2" hidden="1">{#N/A,#N/A,FALSE,"Pharm";#N/A,#N/A,FALSE,"WWCM"}</definedName>
    <definedName name="wb_3" localSheetId="3" hidden="1">{#N/A,#N/A,FALSE,"Pharm";#N/A,#N/A,FALSE,"WWCM"}</definedName>
    <definedName name="wb_3" hidden="1">{#N/A,#N/A,FALSE,"Pharm";#N/A,#N/A,FALSE,"WWCM"}</definedName>
    <definedName name="wb_4" localSheetId="3" hidden="1">{#N/A,#N/A,FALSE,"Pharm";#N/A,#N/A,FALSE,"WWCM"}</definedName>
    <definedName name="wb_4" hidden="1">{#N/A,#N/A,FALSE,"Pharm";#N/A,#N/A,FALSE,"WWCM"}</definedName>
    <definedName name="wc">#REF!</definedName>
    <definedName name="wc_1" localSheetId="3" hidden="1">{#N/A,#N/A,FALSE,"Pharm";#N/A,#N/A,FALSE,"WWCM"}</definedName>
    <definedName name="wc_1" hidden="1">{#N/A,#N/A,FALSE,"Pharm";#N/A,#N/A,FALSE,"WWCM"}</definedName>
    <definedName name="wc_2" localSheetId="3" hidden="1">{#N/A,#N/A,FALSE,"Pharm";#N/A,#N/A,FALSE,"WWCM"}</definedName>
    <definedName name="wc_2" hidden="1">{#N/A,#N/A,FALSE,"Pharm";#N/A,#N/A,FALSE,"WWCM"}</definedName>
    <definedName name="wc_3" localSheetId="3" hidden="1">{#N/A,#N/A,FALSE,"Pharm";#N/A,#N/A,FALSE,"WWCM"}</definedName>
    <definedName name="wc_3" hidden="1">{#N/A,#N/A,FALSE,"Pharm";#N/A,#N/A,FALSE,"WWCM"}</definedName>
    <definedName name="wc_4" localSheetId="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localSheetId="3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com_1" localSheetId="3" hidden="1">{"orixcsc",#N/A,FALSE,"ORIX CSC";"orixcsc2",#N/A,FALSE,"ORIX CSC"}</definedName>
    <definedName name="wcom_1" hidden="1">{"orixcsc",#N/A,FALSE,"ORIX CSC";"orixcsc2",#N/A,FALSE,"ORIX CSC"}</definedName>
    <definedName name="wcom_1_1" localSheetId="3" hidden="1">{"orixcsc",#N/A,FALSE,"ORIX CSC";"orixcsc2",#N/A,FALSE,"ORIX CSC"}</definedName>
    <definedName name="wcom_1_1" hidden="1">{"orixcsc",#N/A,FALSE,"ORIX CSC";"orixcsc2",#N/A,FALSE,"ORIX CSC"}</definedName>
    <definedName name="wcom_1_2" localSheetId="3" hidden="1">{"orixcsc",#N/A,FALSE,"ORIX CSC";"orixcsc2",#N/A,FALSE,"ORIX CSC"}</definedName>
    <definedName name="wcom_1_2" hidden="1">{"orixcsc",#N/A,FALSE,"ORIX CSC";"orixcsc2",#N/A,FALSE,"ORIX CSC"}</definedName>
    <definedName name="wcom_1_3" localSheetId="3" hidden="1">{"orixcsc",#N/A,FALSE,"ORIX CSC";"orixcsc2",#N/A,FALSE,"ORIX CSC"}</definedName>
    <definedName name="wcom_1_3" hidden="1">{"orixcsc",#N/A,FALSE,"ORIX CSC";"orixcsc2",#N/A,FALSE,"ORIX CSC"}</definedName>
    <definedName name="wcom_1_4" localSheetId="3" hidden="1">{"orixcsc",#N/A,FALSE,"ORIX CSC";"orixcsc2",#N/A,FALSE,"ORIX CSC"}</definedName>
    <definedName name="wcom_1_4" hidden="1">{"orixcsc",#N/A,FALSE,"ORIX CSC";"orixcsc2",#N/A,FALSE,"ORIX CSC"}</definedName>
    <definedName name="wcom_1_5" localSheetId="3" hidden="1">{"orixcsc",#N/A,FALSE,"ORIX CSC";"orixcsc2",#N/A,FALSE,"ORIX CSC"}</definedName>
    <definedName name="wcom_1_5" hidden="1">{"orixcsc",#N/A,FALSE,"ORIX CSC";"orixcsc2",#N/A,FALSE,"ORIX CSC"}</definedName>
    <definedName name="wcom_2" localSheetId="3" hidden="1">{"orixcsc",#N/A,FALSE,"ORIX CSC";"orixcsc2",#N/A,FALSE,"ORIX CSC"}</definedName>
    <definedName name="wcom_2" hidden="1">{"orixcsc",#N/A,FALSE,"ORIX CSC";"orixcsc2",#N/A,FALSE,"ORIX CSC"}</definedName>
    <definedName name="wcom_2_1" localSheetId="3" hidden="1">{"orixcsc",#N/A,FALSE,"ORIX CSC";"orixcsc2",#N/A,FALSE,"ORIX CSC"}</definedName>
    <definedName name="wcom_2_1" hidden="1">{"orixcsc",#N/A,FALSE,"ORIX CSC";"orixcsc2",#N/A,FALSE,"ORIX CSC"}</definedName>
    <definedName name="wcom_2_2" localSheetId="3" hidden="1">{"orixcsc",#N/A,FALSE,"ORIX CSC";"orixcsc2",#N/A,FALSE,"ORIX CSC"}</definedName>
    <definedName name="wcom_2_2" hidden="1">{"orixcsc",#N/A,FALSE,"ORIX CSC";"orixcsc2",#N/A,FALSE,"ORIX CSC"}</definedName>
    <definedName name="wcom_2_3" localSheetId="3" hidden="1">{"orixcsc",#N/A,FALSE,"ORIX CSC";"orixcsc2",#N/A,FALSE,"ORIX CSC"}</definedName>
    <definedName name="wcom_2_3" hidden="1">{"orixcsc",#N/A,FALSE,"ORIX CSC";"orixcsc2",#N/A,FALSE,"ORIX CSC"}</definedName>
    <definedName name="wcom_2_4" localSheetId="3" hidden="1">{"orixcsc",#N/A,FALSE,"ORIX CSC";"orixcsc2",#N/A,FALSE,"ORIX CSC"}</definedName>
    <definedName name="wcom_2_4" hidden="1">{"orixcsc",#N/A,FALSE,"ORIX CSC";"orixcsc2",#N/A,FALSE,"ORIX CSC"}</definedName>
    <definedName name="wcom_2_5" localSheetId="3" hidden="1">{"orixcsc",#N/A,FALSE,"ORIX CSC";"orixcsc2",#N/A,FALSE,"ORIX CSC"}</definedName>
    <definedName name="wcom_2_5" hidden="1">{"orixcsc",#N/A,FALSE,"ORIX CSC";"orixcsc2",#N/A,FALSE,"ORIX CSC"}</definedName>
    <definedName name="wcom_3" localSheetId="3" hidden="1">{"orixcsc",#N/A,FALSE,"ORIX CSC";"orixcsc2",#N/A,FALSE,"ORIX CSC"}</definedName>
    <definedName name="wcom_3" hidden="1">{"orixcsc",#N/A,FALSE,"ORIX CSC";"orixcsc2",#N/A,FALSE,"ORIX CSC"}</definedName>
    <definedName name="wcom_3_1" localSheetId="3" hidden="1">{"orixcsc",#N/A,FALSE,"ORIX CSC";"orixcsc2",#N/A,FALSE,"ORIX CSC"}</definedName>
    <definedName name="wcom_3_1" hidden="1">{"orixcsc",#N/A,FALSE,"ORIX CSC";"orixcsc2",#N/A,FALSE,"ORIX CSC"}</definedName>
    <definedName name="wcom_3_2" localSheetId="3" hidden="1">{"orixcsc",#N/A,FALSE,"ORIX CSC";"orixcsc2",#N/A,FALSE,"ORIX CSC"}</definedName>
    <definedName name="wcom_3_2" hidden="1">{"orixcsc",#N/A,FALSE,"ORIX CSC";"orixcsc2",#N/A,FALSE,"ORIX CSC"}</definedName>
    <definedName name="wcom_3_3" localSheetId="3" hidden="1">{"orixcsc",#N/A,FALSE,"ORIX CSC";"orixcsc2",#N/A,FALSE,"ORIX CSC"}</definedName>
    <definedName name="wcom_3_3" hidden="1">{"orixcsc",#N/A,FALSE,"ORIX CSC";"orixcsc2",#N/A,FALSE,"ORIX CSC"}</definedName>
    <definedName name="wcom_3_4" localSheetId="3" hidden="1">{"orixcsc",#N/A,FALSE,"ORIX CSC";"orixcsc2",#N/A,FALSE,"ORIX CSC"}</definedName>
    <definedName name="wcom_3_4" hidden="1">{"orixcsc",#N/A,FALSE,"ORIX CSC";"orixcsc2",#N/A,FALSE,"ORIX CSC"}</definedName>
    <definedName name="wcom_3_5" localSheetId="3" hidden="1">{"orixcsc",#N/A,FALSE,"ORIX CSC";"orixcsc2",#N/A,FALSE,"ORIX CSC"}</definedName>
    <definedName name="wcom_3_5" hidden="1">{"orixcsc",#N/A,FALSE,"ORIX CSC";"orixcsc2",#N/A,FALSE,"ORIX CSC"}</definedName>
    <definedName name="wcom_4" localSheetId="3" hidden="1">{"orixcsc",#N/A,FALSE,"ORIX CSC";"orixcsc2",#N/A,FALSE,"ORIX CSC"}</definedName>
    <definedName name="wcom_4" hidden="1">{"orixcsc",#N/A,FALSE,"ORIX CSC";"orixcsc2",#N/A,FALSE,"ORIX CSC"}</definedName>
    <definedName name="wcom_4_1" localSheetId="3" hidden="1">{"orixcsc",#N/A,FALSE,"ORIX CSC";"orixcsc2",#N/A,FALSE,"ORIX CSC"}</definedName>
    <definedName name="wcom_4_1" hidden="1">{"orixcsc",#N/A,FALSE,"ORIX CSC";"orixcsc2",#N/A,FALSE,"ORIX CSC"}</definedName>
    <definedName name="wcom_4_2" localSheetId="3" hidden="1">{"orixcsc",#N/A,FALSE,"ORIX CSC";"orixcsc2",#N/A,FALSE,"ORIX CSC"}</definedName>
    <definedName name="wcom_4_2" hidden="1">{"orixcsc",#N/A,FALSE,"ORIX CSC";"orixcsc2",#N/A,FALSE,"ORIX CSC"}</definedName>
    <definedName name="wcom_4_3" localSheetId="3" hidden="1">{"orixcsc",#N/A,FALSE,"ORIX CSC";"orixcsc2",#N/A,FALSE,"ORIX CSC"}</definedName>
    <definedName name="wcom_4_3" hidden="1">{"orixcsc",#N/A,FALSE,"ORIX CSC";"orixcsc2",#N/A,FALSE,"ORIX CSC"}</definedName>
    <definedName name="wcom_4_4" localSheetId="3" hidden="1">{"orixcsc",#N/A,FALSE,"ORIX CSC";"orixcsc2",#N/A,FALSE,"ORIX CSC"}</definedName>
    <definedName name="wcom_4_4" hidden="1">{"orixcsc",#N/A,FALSE,"ORIX CSC";"orixcsc2",#N/A,FALSE,"ORIX CSC"}</definedName>
    <definedName name="wcom_4_5" localSheetId="3" hidden="1">{"orixcsc",#N/A,FALSE,"ORIX CSC";"orixcsc2",#N/A,FALSE,"ORIX CSC"}</definedName>
    <definedName name="wcom_4_5" hidden="1">{"orixcsc",#N/A,FALSE,"ORIX CSC";"orixcsc2",#N/A,FALSE,"ORIX CSC"}</definedName>
    <definedName name="wcom_5" localSheetId="3" hidden="1">{"orixcsc",#N/A,FALSE,"ORIX CSC";"orixcsc2",#N/A,FALSE,"ORIX CSC"}</definedName>
    <definedName name="wcom_5" hidden="1">{"orixcsc",#N/A,FALSE,"ORIX CSC";"orixcsc2",#N/A,FALSE,"ORIX CSC"}</definedName>
    <definedName name="wcom_5_1" localSheetId="3" hidden="1">{"orixcsc",#N/A,FALSE,"ORIX CSC";"orixcsc2",#N/A,FALSE,"ORIX CSC"}</definedName>
    <definedName name="wcom_5_1" hidden="1">{"orixcsc",#N/A,FALSE,"ORIX CSC";"orixcsc2",#N/A,FALSE,"ORIX CSC"}</definedName>
    <definedName name="wcom_5_2" localSheetId="3" hidden="1">{"orixcsc",#N/A,FALSE,"ORIX CSC";"orixcsc2",#N/A,FALSE,"ORIX CSC"}</definedName>
    <definedName name="wcom_5_2" hidden="1">{"orixcsc",#N/A,FALSE,"ORIX CSC";"orixcsc2",#N/A,FALSE,"ORIX CSC"}</definedName>
    <definedName name="wcom_5_3" localSheetId="3" hidden="1">{"orixcsc",#N/A,FALSE,"ORIX CSC";"orixcsc2",#N/A,FALSE,"ORIX CSC"}</definedName>
    <definedName name="wcom_5_3" hidden="1">{"orixcsc",#N/A,FALSE,"ORIX CSC";"orixcsc2",#N/A,FALSE,"ORIX CSC"}</definedName>
    <definedName name="wcom_5_4" localSheetId="3" hidden="1">{"orixcsc",#N/A,FALSE,"ORIX CSC";"orixcsc2",#N/A,FALSE,"ORIX CSC"}</definedName>
    <definedName name="wcom_5_4" hidden="1">{"orixcsc",#N/A,FALSE,"ORIX CSC";"orixcsc2",#N/A,FALSE,"ORIX CSC"}</definedName>
    <definedName name="wcom_5_5" localSheetId="3" hidden="1">{"orixcsc",#N/A,FALSE,"ORIX CSC";"orixcsc2",#N/A,FALSE,"ORIX CSC"}</definedName>
    <definedName name="wcom_5_5" hidden="1">{"orixcsc",#N/A,FALSE,"ORIX CSC";"orixcsc2",#N/A,FALSE,"ORIX CSC"}</definedName>
    <definedName name="wcy" localSheetId="3" hidden="1">{"YD PRS",#N/A,FALSE,"YTD"}</definedName>
    <definedName name="wcy" hidden="1">{"YD PRS",#N/A,FALSE,"YTD"}</definedName>
    <definedName name="wd" localSheetId="3" hidden="1">{#N/A,#N/A,FALSE,"ALM-ASISC"}</definedName>
    <definedName name="wd" hidden="1">{#N/A,#N/A,FALSE,"ALM-ASISC"}</definedName>
    <definedName name="WDESAX" localSheetId="3" hidden="1">{#N/A,#N/A,FALSE,"SUMMARY";#N/A,#N/A,FALSE,"SUMMARY"}</definedName>
    <definedName name="WDESAX" hidden="1">{#N/A,#N/A,FALSE,"SUMMARY";#N/A,#N/A,FALSE,"SUMMARY"}</definedName>
    <definedName name="WDSX" localSheetId="3" hidden="1">{#N/A,#N/A,FALSE,"PGW"}</definedName>
    <definedName name="WDSX" hidden="1">{#N/A,#N/A,FALSE,"PGW"}</definedName>
    <definedName name="wdw" localSheetId="3" hidden="1">{#N/A,#N/A,FALSE,"ALM-ASISC"}</definedName>
    <definedName name="wdw" hidden="1">{#N/A,#N/A,FALSE,"ALM-ASISC"}</definedName>
    <definedName name="WDWD" localSheetId="3" hidden="1">{#N/A,#N/A,FALSE,"PGW"}</definedName>
    <definedName name="WDWD" hidden="1">{#N/A,#N/A,FALSE,"PGW"}</definedName>
    <definedName name="wdwdwd" localSheetId="3">{"חובה","SUM(חובה)","YNNNN",FALSE}</definedName>
    <definedName name="wdwdwd">{"חובה","SUM(חובה)","YNNNN",FALSE}</definedName>
    <definedName name="wdwdwd_1" localSheetId="3">{"חובה","SUM(חובה)","YNNNN",FALSE}</definedName>
    <definedName name="wdwdwd_1">{"חובה","SUM(חובה)","YNNNN",FALSE}</definedName>
    <definedName name="we" localSheetId="3" hidden="1">{#N/A,#N/A,FALSE,"Pharm";#N/A,#N/A,FALSE,"WWCM"}</definedName>
    <definedName name="we" hidden="1">{#N/A,#N/A,FALSE,"Pharm";#N/A,#N/A,FALSE,"WWCM"}</definedName>
    <definedName name="we.3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localSheetId="3" hidden="1">{#N/A,#N/A,FALSE,"Pharm";#N/A,#N/A,FALSE,"WWCM"}</definedName>
    <definedName name="we_1" hidden="1">{#N/A,#N/A,FALSE,"Pharm";#N/A,#N/A,FALSE,"WWCM"}</definedName>
    <definedName name="we_2" localSheetId="3" hidden="1">{#N/A,#N/A,FALSE,"Pharm";#N/A,#N/A,FALSE,"WWCM"}</definedName>
    <definedName name="we_2" hidden="1">{#N/A,#N/A,FALSE,"Pharm";#N/A,#N/A,FALSE,"WWCM"}</definedName>
    <definedName name="we_3" localSheetId="3" hidden="1">{#N/A,#N/A,FALSE,"Pharm";#N/A,#N/A,FALSE,"WWCM"}</definedName>
    <definedName name="we_3" hidden="1">{#N/A,#N/A,FALSE,"Pharm";#N/A,#N/A,FALSE,"WWCM"}</definedName>
    <definedName name="we_4" localSheetId="3" hidden="1">{#N/A,#N/A,FALSE,"Pharm";#N/A,#N/A,FALSE,"WWCM"}</definedName>
    <definedName name="we_4" hidden="1">{#N/A,#N/A,FALSE,"Pharm";#N/A,#N/A,FALSE,"WWCM"}</definedName>
    <definedName name="we3x" localSheetId="3" hidden="1">{"QTD_LPO2N2",#N/A,FALSE,"QTD"}</definedName>
    <definedName name="we3x" hidden="1">{"QTD_LPO2N2",#N/A,FALSE,"QTD"}</definedName>
    <definedName name="weaw" localSheetId="3" hidden="1">{"YTD",#N/A,FALSE,"SUM"}</definedName>
    <definedName name="weaw" hidden="1">{"YTD",#N/A,FALSE,"SUM"}</definedName>
    <definedName name="weawe" localSheetId="3" hidden="1">{"QTD_HYCO",#N/A,FALSE,"QTD"}</definedName>
    <definedName name="weawe" hidden="1">{"QTD_HYCO",#N/A,FALSE,"QTD"}</definedName>
    <definedName name="web" localSheetId="4" hidden="1">{#N/A,#N/A,FALSE,"Taxblinc";#N/A,#N/A,FALSE,"Rsvsacls"}</definedName>
    <definedName name="web" localSheetId="3" hidden="1">{#N/A,#N/A,FALSE,"Taxblinc";#N/A,#N/A,FALSE,"Rsvsacls"}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localSheetId="3" hidden="1">{"QTD_PRS",#N/A,FALSE,"QTD"}</definedName>
    <definedName name="wecs" hidden="1">{"QTD_PRS",#N/A,FALSE,"QTD"}</definedName>
    <definedName name="wecsd" localSheetId="3" hidden="1">{"sales growth",#N/A,FALSE,"summary";"oper income",#N/A,FALSE,"summary";"oros rank",#N/A,FALSE,"summary";"net assets",#N/A,FALSE,"summary";"asset turnover",#N/A,FALSE,"summary";"orona",#N/A,FALSE,"summary"}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localSheetId="3" hidden="1">{"overview",#N/A,FALSE,"summary";"net assets",#N/A,FALSE,"summary";"asset turnover",#N/A,FALSE,"summary";"orona",#N/A,FALSE,"summary"}</definedName>
    <definedName name="weds" hidden="1">{"overview",#N/A,FALSE,"summary";"net assets",#N/A,FALSE,"summary";"asset turnover",#N/A,FALSE,"summary";"orona",#N/A,FALSE,"summary"}</definedName>
    <definedName name="wedtw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localSheetId="3" hidden="1">{#N/A,#N/A,FALSE,"OSBL"}</definedName>
    <definedName name="WEDWQDX" hidden="1">{#N/A,#N/A,FALSE,"OSBL"}</definedName>
    <definedName name="wee" localSheetId="3" hidden="1">{#N/A,#N/A,FALSE,"KA CH  (2)"}</definedName>
    <definedName name="wee" hidden="1">{#N/A,#N/A,FALSE,"KA CH  (2)"}</definedName>
    <definedName name="week">#REF!</definedName>
    <definedName name="week_ending">'[225]תקציב שעות'!#REF!</definedName>
    <definedName name="WeekdayOption" localSheetId="3">MATCH(WeekStart,'Company Name COGS+OPEX Build'!Weekdays,0)+10</definedName>
    <definedName name="WeekdayOption">MATCH(WeekStart,Weekdays,0)+10</definedName>
    <definedName name="Weekdays" localSheetId="3">{"Monday","Tuesday","Wednesday","Thursday","Friday","Saturday","Sunday"}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 localSheetId="3">IF(WeekStart="Monday",2,1)</definedName>
    <definedName name="WeekStartValue">IF(WeekStart="Monday",2,1)</definedName>
    <definedName name="wefaff" localSheetId="3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localSheetId="3" hidden="1">{"Comp_of_Price_Effect",#N/A,FALSE,"QTRDPVAR"}</definedName>
    <definedName name="weix" hidden="1">{"Comp_of_Price_Effect",#N/A,FALSE,"QTRDPVAR"}</definedName>
    <definedName name="Welfare">'[48]GL-PC'!#REF!</definedName>
    <definedName name="Welfare___COGS">'[48]GL-PC'!#REF!</definedName>
    <definedName name="Welfare_Expense_R_D">'[48]GL-PC'!#REF!</definedName>
    <definedName name="wen.gb._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localSheetId="3" hidden="1">{"oct_res_comm",#N/A,FALSE,"VarToBud"}</definedName>
    <definedName name="weop" hidden="1">{"oct_res_comm",#N/A,FALSE,"VarToBud"}</definedName>
    <definedName name="wer" hidden="1">#REF!</definedName>
    <definedName name="wer.g" localSheetId="3" hidden="1">{#N/A,#N/A,FALSE,"KA CH  (2)"}</definedName>
    <definedName name="wer.g" hidden="1">{#N/A,#N/A,FALSE,"KA CH  (2)"}</definedName>
    <definedName name="werk">#REF!</definedName>
    <definedName name="werrr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3" hidden="1">{#N/A,#N/A,FALSE,"Pharm";#N/A,#N/A,FALSE,"WWCM"}</definedName>
    <definedName name="werrr_1" hidden="1">{#N/A,#N/A,FALSE,"Pharm";#N/A,#N/A,FALSE,"WWCM"}</definedName>
    <definedName name="werrr_2" localSheetId="3" hidden="1">{#N/A,#N/A,FALSE,"Pharm";#N/A,#N/A,FALSE,"WWCM"}</definedName>
    <definedName name="werrr_2" hidden="1">{#N/A,#N/A,FALSE,"Pharm";#N/A,#N/A,FALSE,"WWCM"}</definedName>
    <definedName name="werrr_3" localSheetId="3" hidden="1">{#N/A,#N/A,FALSE,"Pharm";#N/A,#N/A,FALSE,"WWCM"}</definedName>
    <definedName name="werrr_3" hidden="1">{#N/A,#N/A,FALSE,"Pharm";#N/A,#N/A,FALSE,"WWCM"}</definedName>
    <definedName name="werrr_4" localSheetId="3" hidden="1">{#N/A,#N/A,FALSE,"Pharm";#N/A,#N/A,FALSE,"WWCM"}</definedName>
    <definedName name="werrr_4" hidden="1">{#N/A,#N/A,FALSE,"Pharm";#N/A,#N/A,FALSE,"WWCM"}</definedName>
    <definedName name="wert" localSheetId="3" hidden="1">{#N/A,#N/A,FALSE,"Detailed";#N/A,#N/A,FALSE,"Total";#N/A,#N/A,FALSE,"Detailed (2)"}</definedName>
    <definedName name="wert" hidden="1">{#N/A,#N/A,FALSE,"Detailed";#N/A,#N/A,FALSE,"Total";#N/A,#N/A,FALSE,"Detailed (2)"}</definedName>
    <definedName name="wert_1" localSheetId="3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localSheetId="3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et" localSheetId="3" hidden="1">{#N/A,#N/A,FALSE,"Detailed";#N/A,#N/A,FALSE,"Total";#N/A,#N/A,FALSE,"Detailed (2)"}</definedName>
    <definedName name="wet" hidden="1">{#N/A,#N/A,FALSE,"Detailed";#N/A,#N/A,FALSE,"Total";#N/A,#N/A,FALSE,"Detailed (2)"}</definedName>
    <definedName name="wet_1" localSheetId="3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localSheetId="3" hidden="1">{#N/A,#N/A,FALSE,"FINAL"}</definedName>
    <definedName name="WETFGW" hidden="1">{#N/A,#N/A,FALSE,"FINAL"}</definedName>
    <definedName name="wetwo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localSheetId="3" hidden="1">{#N/A,#N/A,FALSE,"P&amp;L";#N/A,#N/A,FALSE,"BalSheet";#N/A,#N/A,FALSE,"EBITDA";#N/A,#N/A,FALSE,"Assumptions";#N/A,#N/A,FALSE,"CashFlows"}</definedName>
    <definedName name="wew" hidden="1">{#N/A,#N/A,FALSE,"P&amp;L";#N/A,#N/A,FALSE,"BalSheet";#N/A,#N/A,FALSE,"EBITDA";#N/A,#N/A,FALSE,"Assumptions";#N/A,#N/A,FALSE,"CashFlows"}</definedName>
    <definedName name="wewe" localSheetId="3" hidden="1">{"LOUISIANA",#N/A,FALSE,"CM"}</definedName>
    <definedName name="wewe" hidden="1">{"LOUISIANA",#N/A,FALSE,"CM"}</definedName>
    <definedName name="wewee" localSheetId="3">{"'NPCGUIDELINES'!$A$1:$J$41"}</definedName>
    <definedName name="wewee">{"'NPCGUIDELINES'!$A$1:$J$41"}</definedName>
    <definedName name="wewewe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localSheetId="3" hidden="1">{"pro_view",#N/A,FALSE,"EEFSNAP2";"rep_view",#N/A,FALSE,"EEFSNAP2"}</definedName>
    <definedName name="wews" hidden="1">{"pro_view",#N/A,FALSE,"EEFSNAP2";"rep_view",#N/A,FALSE,"EEFSNAP2"}</definedName>
    <definedName name="weza" localSheetId="3" hidden="1">{"QTD_PACKAGE",#N/A,FALSE,"QTD"}</definedName>
    <definedName name="weza" hidden="1">{"QTD_PACKAGE",#N/A,FALSE,"QTD"}</definedName>
    <definedName name="wez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localSheetId="3" hidden="1">{"YD PACKAGE",#N/A,FALSE,"YTD"}</definedName>
    <definedName name="wezf" hidden="1">{"YD PACKAGE",#N/A,FALSE,"YTD"}</definedName>
    <definedName name="WF">#REF!</definedName>
    <definedName name="WFT_Vlookup">#REF!</definedName>
    <definedName name="wgbwt" localSheetId="3" hidden="1">{#N/A,#N/A,FALSE,"ISBL"}</definedName>
    <definedName name="wgbwt" hidden="1">{#N/A,#N/A,FALSE,"ISBL"}</definedName>
    <definedName name="what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localSheetId="3" hidden="1">{#N/A,#N/A,FALSE,"Sheet1"}</definedName>
    <definedName name="what_is_this?" hidden="1">{#N/A,#N/A,FALSE,"Sheet1"}</definedName>
    <definedName name="what2" localSheetId="3" hidden="1">{"Structure",#N/A,FALSE,"Structure";"Ownership",#N/A,FALSE,"Ownership";"IRR Calc",#N/A,FALSE,"Returns Summary";"IRR Table",#N/A,FALSE,"Returns Summary"}</definedName>
    <definedName name="what2" hidden="1">{"Structure",#N/A,FALSE,"Structure";"Ownership",#N/A,FALSE,"Ownership";"IRR Calc",#N/A,FALSE,"Returns Summary";"IRR Table",#N/A,FALSE,"Returns Summary"}</definedName>
    <definedName name="whatever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3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localSheetId="3" hidden="1">{"'Edit'!$A$1:$V$2277"}</definedName>
    <definedName name="WHATS" hidden="1">{"'Edit'!$A$1:$V$2277"}</definedName>
    <definedName name="whatthe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localSheetId="3" hidden="1">{"'Trend_Total'!$A$7:$V$10","'Trend_Total'!$A$1:$V$4"}</definedName>
    <definedName name="whatthehell" hidden="1">{"'Trend_Total'!$A$7:$V$10","'Trend_Total'!$A$1:$V$4"}</definedName>
    <definedName name="Wheatcroft">#REF!</definedName>
    <definedName name="whi" localSheetId="3" hidden="1">{"Drawing&amp;Homo.result",#N/A,FALSE,"Greco Hom. and BOM"}</definedName>
    <definedName name="whi" hidden="1">{"Drawing&amp;Homo.result",#N/A,FALSE,"Greco Hom. and BOM"}</definedName>
    <definedName name="WHO" localSheetId="3">{"'12690-8951'!$A$1:$L$58"}</definedName>
    <definedName name="WHO">{"'12690-8951'!$A$1:$L$58"}</definedName>
    <definedName name="whocares" localSheetId="3" hidden="1">{"All BS",#N/A,FALSE,"ConsolidatingBS"}</definedName>
    <definedName name="whocares" hidden="1">{"All BS",#N/A,FALSE,"ConsolidatingBS"}</definedName>
    <definedName name="wi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localSheetId="3" hidden="1">{"' calendrier 2000'!$A$1:$Q$38"}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 localSheetId="4">[113]Lookup!$D$22:$F$38</definedName>
    <definedName name="wireless_copy_data">#REF!</definedName>
    <definedName name="Wkg_Cptl_Pct_Sales">#REF!</definedName>
    <definedName name="wlkednjfc" localSheetId="3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lll" localSheetId="3" hidden="1">{"bs",#N/A,FALSE,"SCF"}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localSheetId="3" hidden="1">{"detail",#N/A,FALSE,"mfg";"summary",#N/A,FALSE,"mfg"}</definedName>
    <definedName name="woi" hidden="1">{"detail",#N/A,FALSE,"mfg";"summary",#N/A,FALSE,"mfg"}</definedName>
    <definedName name="womxien" localSheetId="3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 localSheetId="4">[226]Parameters!$C$28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localSheetId="3" hidden="1">{#N/A,#N/A,FALSE,"REPORT"}</definedName>
    <definedName name="working" hidden="1">{#N/A,#N/A,FALSE,"REPORT"}</definedName>
    <definedName name="working_1" localSheetId="3" hidden="1">{#N/A,#N/A,FALSE,"REPORT"}</definedName>
    <definedName name="working_1" hidden="1">{#N/A,#N/A,FALSE,"REPORT"}</definedName>
    <definedName name="working_2" localSheetId="3" hidden="1">{#N/A,#N/A,FALSE,"REPORT"}</definedName>
    <definedName name="working_2" hidden="1">{#N/A,#N/A,FALSE,"REPORT"}</definedName>
    <definedName name="working_3" localSheetId="3" hidden="1">{#N/A,#N/A,FALSE,"REPORT"}</definedName>
    <definedName name="working_3" hidden="1">{#N/A,#N/A,FALSE,"REPORT"}</definedName>
    <definedName name="working_4" localSheetId="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localSheetId="3" hidden="1">{"PRS",#N/A,FALSE,"CM"}</definedName>
    <definedName name="wq" hidden="1">{"PRS",#N/A,FALSE,"CM"}</definedName>
    <definedName name="wqa" localSheetId="3" hidden="1">{#N/A,"PURCHM",FALSE,"Business Analysis";#N/A,"SPADD",FALSE,"Business Analysis"}</definedName>
    <definedName name="wqa" hidden="1">{#N/A,"PURCHM",FALSE,"Business Analysis";#N/A,"SPADD",FALSE,"Business Analysis"}</definedName>
    <definedName name="wqc" localSheetId="3" hidden="1">{"ACT",#N/A,FALSE,"Q3Elec P&amp;L fy 99  ";"BUD",#N/A,FALSE,"Q3Elec P&amp;L fy 99  ";"PRIOR",#N/A,FALSE,"Q3Elec P&amp;L fy 99  "}</definedName>
    <definedName name="wqc" hidden="1">{"ACT",#N/A,FALSE,"Q3Elec P&amp;L fy 99  ";"BUD",#N/A,FALSE,"Q3Elec P&amp;L fy 99  ";"PRIOR",#N/A,FALSE,"Q3Elec P&amp;L fy 99  "}</definedName>
    <definedName name="wqd" localSheetId="3" hidden="1">{"OTHER",#N/A,FALSE,"CM"}</definedName>
    <definedName name="wqd" hidden="1">{"OTHER",#N/A,FALSE,"CM"}</definedName>
    <definedName name="WQDAW" localSheetId="3" hidden="1">{#N/A,#N/A,FALSE,"ISBL"}</definedName>
    <definedName name="WQDAW" hidden="1">{#N/A,#N/A,FALSE,"ISBL"}</definedName>
    <definedName name="WQDSA" localSheetId="3" hidden="1">{#N/A,#N/A,FALSE,"PGW"}</definedName>
    <definedName name="WQDSA" hidden="1">{#N/A,#N/A,FALSE,"PGW"}</definedName>
    <definedName name="WQDWAX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localSheetId="3" hidden="1">{#N/A,#N/A,FALSE,"FREE"}</definedName>
    <definedName name="WQEFAS" hidden="1">{#N/A,#N/A,FALSE,"FREE"}</definedName>
    <definedName name="wqeq" localSheetId="3" hidden="1">{"Commentary",#N/A,FALSE,"May"}</definedName>
    <definedName name="wqeq" hidden="1">{"Commentary",#N/A,FALSE,"May"}</definedName>
    <definedName name="wqer" localSheetId="3" hidden="1">{"TXO2N2_SLS",#N/A,FALSE,"MTHLYSLES";"TXH2_SLS",#N/A,FALSE,"MTHLYSLES";"LOUIS_SLS",#N/A,FALSE,"MTHLYSLES";"H2_SLS",#N/A,FALSE,"MTHLYSLES";"O2N2_SLS",#N/A,FALSE,"MTHLYSLES";"PACKAGE_SLS",#N/A,FALSE,"MTHLYSLES"}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localSheetId="3" hidden="1">{"BA detail",#N/A,FALSE,"Q3YTD "}</definedName>
    <definedName name="wqwq" hidden="1">{"BA detail",#N/A,FALSE,"Q3YTD "}</definedName>
    <definedName name="wqwt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localSheetId="3" hidden="1">{"Comp_of_Price_Effect",#N/A,FALSE,"QTRDPVAR"}</definedName>
    <definedName name="wqx" hidden="1">{"Comp_of_Price_Effect",#N/A,FALSE,"QTRDPVAR"}</definedName>
    <definedName name="wr" localSheetId="3" hidden="1">{#N/A,#N/A,FALSE,"COMP"}</definedName>
    <definedName name="wr" hidden="1">{#N/A,#N/A,FALSE,"COMP"}</definedName>
    <definedName name="wr34ar" localSheetId="3" hidden="1">{"QTD_LOUISIANA",#N/A,FALSE,"QTD"}</definedName>
    <definedName name="wr34ar" hidden="1">{"QTD_LOUISIANA",#N/A,FALSE,"QTD"}</definedName>
    <definedName name="wradw" localSheetId="3" hidden="1">{"YD LAPO2",#N/A,FALSE,"YTD";"YD LPH2",#N/A,FALSE,"YTD";"YD LOUISIANA",#N/A,FALSE,"YTD";"YD GENERALH2",#N/A,FALSE,"YTD";"YD PRS",#N/A,FALSE,"YTD";"YD PACKAGE",#N/A,FALSE,"YTD";"YD OTHER",#N/A,FALSE,"YTD"}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localSheetId="3" hidden="1">{#N/A,#N/A,FALSE,"TECH CENTRE RXDU66";#N/A,#N/A,FALSE,"ASU VAAX66";#N/A,#N/A,FALSE,"TCM VAKX66"}</definedName>
    <definedName name="wrc" hidden="1">{#N/A,#N/A,FALSE,"TECH CENTRE RXDU66";#N/A,#N/A,FALSE,"ASU VAAX66";#N/A,#N/A,FALSE,"TCM VAKX66"}</definedName>
    <definedName name="wrd" localSheetId="3" hidden="1">{#N/A,#N/A,FALSE,"INPUTS";#N/A,#N/A,FALSE,"PROFORMA BSHEET";#N/A,#N/A,FALSE,"COMBINED";#N/A,#N/A,FALSE,"HIGH YIELD";#N/A,#N/A,FALSE,"COMB_GRAPHS"}</definedName>
    <definedName name="wrd" hidden="1">{#N/A,#N/A,FALSE,"INPUTS";#N/A,#N/A,FALSE,"PROFORMA BSHEET";#N/A,#N/A,FALSE,"COMBINED";#N/A,#N/A,FALSE,"HIGH YIELD";#N/A,#N/A,FALSE,"COMB_GRAPHS"}</definedName>
    <definedName name="wrd.2._.pagers.3" localSheetId="3" hidden="1">{"Cover",#N/A,FALSE,"Cover";"Summary",#N/A,FALSE,"Summarpage"}</definedName>
    <definedName name="wrd.2._.pagers.3" hidden="1">{"Cover",#N/A,FALSE,"Cover";"Summary",#N/A,FALSE,"Summarpage"}</definedName>
    <definedName name="wrd.2._.pagers.3_1" localSheetId="3" hidden="1">{"Cover",#N/A,FALSE,"Cover";"Summary",#N/A,FALSE,"Summarpage"}</definedName>
    <definedName name="wrd.2._.pagers.3_1" hidden="1">{"Cover",#N/A,FALSE,"Cover";"Summary",#N/A,FALSE,"Summarpage"}</definedName>
    <definedName name="wrd.2._.pagers.3_1_1" localSheetId="3" hidden="1">{"Cover",#N/A,FALSE,"Cover";"Summary",#N/A,FALSE,"Summarpage"}</definedName>
    <definedName name="wrd.2._.pagers.3_1_1" hidden="1">{"Cover",#N/A,FALSE,"Cover";"Summary",#N/A,FALSE,"Summarpage"}</definedName>
    <definedName name="wrd.2._.pagers.3_1_2" localSheetId="3" hidden="1">{"Cover",#N/A,FALSE,"Cover";"Summary",#N/A,FALSE,"Summarpage"}</definedName>
    <definedName name="wrd.2._.pagers.3_1_2" hidden="1">{"Cover",#N/A,FALSE,"Cover";"Summary",#N/A,FALSE,"Summarpage"}</definedName>
    <definedName name="wrd.2._.pagers.3_1_3" localSheetId="3" hidden="1">{"Cover",#N/A,FALSE,"Cover";"Summary",#N/A,FALSE,"Summarpage"}</definedName>
    <definedName name="wrd.2._.pagers.3_1_3" hidden="1">{"Cover",#N/A,FALSE,"Cover";"Summary",#N/A,FALSE,"Summarpage"}</definedName>
    <definedName name="wrd.2._.pagers.3_1_4" localSheetId="3" hidden="1">{"Cover",#N/A,FALSE,"Cover";"Summary",#N/A,FALSE,"Summarpage"}</definedName>
    <definedName name="wrd.2._.pagers.3_1_4" hidden="1">{"Cover",#N/A,FALSE,"Cover";"Summary",#N/A,FALSE,"Summarpage"}</definedName>
    <definedName name="wrd.2._.pagers.3_1_5" localSheetId="3" hidden="1">{"Cover",#N/A,FALSE,"Cover";"Summary",#N/A,FALSE,"Summarpage"}</definedName>
    <definedName name="wrd.2._.pagers.3_1_5" hidden="1">{"Cover",#N/A,FALSE,"Cover";"Summary",#N/A,FALSE,"Summarpage"}</definedName>
    <definedName name="wrd.2._.pagers.3_2" localSheetId="3" hidden="1">{"Cover",#N/A,FALSE,"Cover";"Summary",#N/A,FALSE,"Summarpage"}</definedName>
    <definedName name="wrd.2._.pagers.3_2" hidden="1">{"Cover",#N/A,FALSE,"Cover";"Summary",#N/A,FALSE,"Summarpage"}</definedName>
    <definedName name="wrd.2._.pagers.3_2_1" localSheetId="3" hidden="1">{"Cover",#N/A,FALSE,"Cover";"Summary",#N/A,FALSE,"Summarpage"}</definedName>
    <definedName name="wrd.2._.pagers.3_2_1" hidden="1">{"Cover",#N/A,FALSE,"Cover";"Summary",#N/A,FALSE,"Summarpage"}</definedName>
    <definedName name="wrd.2._.pagers.3_2_2" localSheetId="3" hidden="1">{"Cover",#N/A,FALSE,"Cover";"Summary",#N/A,FALSE,"Summarpage"}</definedName>
    <definedName name="wrd.2._.pagers.3_2_2" hidden="1">{"Cover",#N/A,FALSE,"Cover";"Summary",#N/A,FALSE,"Summarpage"}</definedName>
    <definedName name="wrd.2._.pagers.3_2_3" localSheetId="3" hidden="1">{"Cover",#N/A,FALSE,"Cover";"Summary",#N/A,FALSE,"Summarpage"}</definedName>
    <definedName name="wrd.2._.pagers.3_2_3" hidden="1">{"Cover",#N/A,FALSE,"Cover";"Summary",#N/A,FALSE,"Summarpage"}</definedName>
    <definedName name="wrd.2._.pagers.3_2_4" localSheetId="3" hidden="1">{"Cover",#N/A,FALSE,"Cover";"Summary",#N/A,FALSE,"Summarpage"}</definedName>
    <definedName name="wrd.2._.pagers.3_2_4" hidden="1">{"Cover",#N/A,FALSE,"Cover";"Summary",#N/A,FALSE,"Summarpage"}</definedName>
    <definedName name="wrd.2._.pagers.3_2_5" localSheetId="3" hidden="1">{"Cover",#N/A,FALSE,"Cover";"Summary",#N/A,FALSE,"Summarpage"}</definedName>
    <definedName name="wrd.2._.pagers.3_2_5" hidden="1">{"Cover",#N/A,FALSE,"Cover";"Summary",#N/A,FALSE,"Summarpage"}</definedName>
    <definedName name="wrd.2._.pagers.3_3" localSheetId="3" hidden="1">{"Cover",#N/A,FALSE,"Cover";"Summary",#N/A,FALSE,"Summarpage"}</definedName>
    <definedName name="wrd.2._.pagers.3_3" hidden="1">{"Cover",#N/A,FALSE,"Cover";"Summary",#N/A,FALSE,"Summarpage"}</definedName>
    <definedName name="wrd.2._.pagers.3_3_1" localSheetId="3" hidden="1">{"Cover",#N/A,FALSE,"Cover";"Summary",#N/A,FALSE,"Summarpage"}</definedName>
    <definedName name="wrd.2._.pagers.3_3_1" hidden="1">{"Cover",#N/A,FALSE,"Cover";"Summary",#N/A,FALSE,"Summarpage"}</definedName>
    <definedName name="wrd.2._.pagers.3_3_2" localSheetId="3" hidden="1">{"Cover",#N/A,FALSE,"Cover";"Summary",#N/A,FALSE,"Summarpage"}</definedName>
    <definedName name="wrd.2._.pagers.3_3_2" hidden="1">{"Cover",#N/A,FALSE,"Cover";"Summary",#N/A,FALSE,"Summarpage"}</definedName>
    <definedName name="wrd.2._.pagers.3_3_3" localSheetId="3" hidden="1">{"Cover",#N/A,FALSE,"Cover";"Summary",#N/A,FALSE,"Summarpage"}</definedName>
    <definedName name="wrd.2._.pagers.3_3_3" hidden="1">{"Cover",#N/A,FALSE,"Cover";"Summary",#N/A,FALSE,"Summarpage"}</definedName>
    <definedName name="wrd.2._.pagers.3_3_4" localSheetId="3" hidden="1">{"Cover",#N/A,FALSE,"Cover";"Summary",#N/A,FALSE,"Summarpage"}</definedName>
    <definedName name="wrd.2._.pagers.3_3_4" hidden="1">{"Cover",#N/A,FALSE,"Cover";"Summary",#N/A,FALSE,"Summarpage"}</definedName>
    <definedName name="wrd.2._.pagers.3_3_5" localSheetId="3" hidden="1">{"Cover",#N/A,FALSE,"Cover";"Summary",#N/A,FALSE,"Summarpage"}</definedName>
    <definedName name="wrd.2._.pagers.3_3_5" hidden="1">{"Cover",#N/A,FALSE,"Cover";"Summary",#N/A,FALSE,"Summarpage"}</definedName>
    <definedName name="wrd.2._.pagers.3_4" localSheetId="3" hidden="1">{"Cover",#N/A,FALSE,"Cover";"Summary",#N/A,FALSE,"Summarpage"}</definedName>
    <definedName name="wrd.2._.pagers.3_4" hidden="1">{"Cover",#N/A,FALSE,"Cover";"Summary",#N/A,FALSE,"Summarpage"}</definedName>
    <definedName name="wrd.2._.pagers.3_4_1" localSheetId="3" hidden="1">{"Cover",#N/A,FALSE,"Cover";"Summary",#N/A,FALSE,"Summarpage"}</definedName>
    <definedName name="wrd.2._.pagers.3_4_1" hidden="1">{"Cover",#N/A,FALSE,"Cover";"Summary",#N/A,FALSE,"Summarpage"}</definedName>
    <definedName name="wrd.2._.pagers.3_4_2" localSheetId="3" hidden="1">{"Cover",#N/A,FALSE,"Cover";"Summary",#N/A,FALSE,"Summarpage"}</definedName>
    <definedName name="wrd.2._.pagers.3_4_2" hidden="1">{"Cover",#N/A,FALSE,"Cover";"Summary",#N/A,FALSE,"Summarpage"}</definedName>
    <definedName name="wrd.2._.pagers.3_4_3" localSheetId="3" hidden="1">{"Cover",#N/A,FALSE,"Cover";"Summary",#N/A,FALSE,"Summarpage"}</definedName>
    <definedName name="wrd.2._.pagers.3_4_3" hidden="1">{"Cover",#N/A,FALSE,"Cover";"Summary",#N/A,FALSE,"Summarpage"}</definedName>
    <definedName name="wrd.2._.pagers.3_4_4" localSheetId="3" hidden="1">{"Cover",#N/A,FALSE,"Cover";"Summary",#N/A,FALSE,"Summarpage"}</definedName>
    <definedName name="wrd.2._.pagers.3_4_4" hidden="1">{"Cover",#N/A,FALSE,"Cover";"Summary",#N/A,FALSE,"Summarpage"}</definedName>
    <definedName name="wrd.2._.pagers.3_4_5" localSheetId="3" hidden="1">{"Cover",#N/A,FALSE,"Cover";"Summary",#N/A,FALSE,"Summarpage"}</definedName>
    <definedName name="wrd.2._.pagers.3_4_5" hidden="1">{"Cover",#N/A,FALSE,"Cover";"Summary",#N/A,FALSE,"Summarpage"}</definedName>
    <definedName name="wrd.2._.pagers.3_5" localSheetId="3" hidden="1">{"Cover",#N/A,FALSE,"Cover";"Summary",#N/A,FALSE,"Summarpage"}</definedName>
    <definedName name="wrd.2._.pagers.3_5" hidden="1">{"Cover",#N/A,FALSE,"Cover";"Summary",#N/A,FALSE,"Summarpage"}</definedName>
    <definedName name="wrd.2._.pagers.3_5_1" localSheetId="3" hidden="1">{"Cover",#N/A,FALSE,"Cover";"Summary",#N/A,FALSE,"Summarpage"}</definedName>
    <definedName name="wrd.2._.pagers.3_5_1" hidden="1">{"Cover",#N/A,FALSE,"Cover";"Summary",#N/A,FALSE,"Summarpage"}</definedName>
    <definedName name="wrd.2._.pagers.3_5_2" localSheetId="3" hidden="1">{"Cover",#N/A,FALSE,"Cover";"Summary",#N/A,FALSE,"Summarpage"}</definedName>
    <definedName name="wrd.2._.pagers.3_5_2" hidden="1">{"Cover",#N/A,FALSE,"Cover";"Summary",#N/A,FALSE,"Summarpage"}</definedName>
    <definedName name="wrd.2._.pagers.3_5_3" localSheetId="3" hidden="1">{"Cover",#N/A,FALSE,"Cover";"Summary",#N/A,FALSE,"Summarpage"}</definedName>
    <definedName name="wrd.2._.pagers.3_5_3" hidden="1">{"Cover",#N/A,FALSE,"Cover";"Summary",#N/A,FALSE,"Summarpage"}</definedName>
    <definedName name="wrd.2._.pagers.3_5_4" localSheetId="3" hidden="1">{"Cover",#N/A,FALSE,"Cover";"Summary",#N/A,FALSE,"Summarpage"}</definedName>
    <definedName name="wrd.2._.pagers.3_5_4" hidden="1">{"Cover",#N/A,FALSE,"Cover";"Summary",#N/A,FALSE,"Summarpage"}</definedName>
    <definedName name="wrd.2._.pagers.3_5_5" localSheetId="3" hidden="1">{"Cover",#N/A,FALSE,"Cover";"Summary",#N/A,FALSE,"Summarpage"}</definedName>
    <definedName name="wrd.2._.pagers.3_5_5" hidden="1">{"Cover",#N/A,FALSE,"Cover";"Summary",#N/A,FALSE,"Summarpage"}</definedName>
    <definedName name="wrewrw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localSheetId="3" hidden="1">{#N/A,"PURCHM",FALSE,"Business Analysis";#N/A,"SPADD",FALSE,"Business Analysis"}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localSheetId="3" hidden="1">{#N/A,#N/A,FALSE,"COMP"}</definedName>
    <definedName name="WRI" hidden="1">{#N/A,#N/A,FALSE,"COMP"}</definedName>
    <definedName name="Writedown" localSheetId="4">[227]deal!#REF!</definedName>
    <definedName name="Writedown">#REF!</definedName>
    <definedName name="Wrkg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localSheetId="3" hidden="1">{#N/A,"PURCHM",FALSE,"Business Analysis";#N/A,"SPADD",FALSE,"Business Analysis"}</definedName>
    <definedName name="wrm.pucspaddq2" hidden="1">{#N/A,"PURCHM",FALSE,"Business Analysis";#N/A,"SPADD",FALSE,"Business Analysis"}</definedName>
    <definedName name="wrn" localSheetId="4" hidden="1">{#N/A,#N/A,FALSE,"Sales"}</definedName>
    <definedName name="wrn" localSheetId="3" hidden="1">{#N/A,#N/A,FALSE,"Sales"}</definedName>
    <definedName name="wrn" hidden="1">{#N/A,#N/A,FALSE,"Sales"}</definedName>
    <definedName name="wrn.1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localSheetId="4" hidden="1">{#N/A,#N/A,FALSE,"Calc";#N/A,#N/A,FALSE,"Sensitivity";#N/A,#N/A,FALSE,"LT Earn.Dil.";#N/A,#N/A,FALSE,"Dil. AVP"}</definedName>
    <definedName name="wrn.1." localSheetId="3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._.5._.Year._.Model." localSheetId="4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3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4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3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localSheetId="3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localSheetId="3" hidden="1">{"10yp balance sheet",#N/A,FALSE,"Celtel alternative 6"}</definedName>
    <definedName name="wrn.10yp._.balance._.sheet." hidden="1">{"10yp balance sheet",#N/A,FALSE,"Celtel alternative 6"}</definedName>
    <definedName name="wrn.10yp._.capex." localSheetId="3" hidden="1">{"10yp capex",#N/A,FALSE,"Celtel alternative 6"}</definedName>
    <definedName name="wrn.10yp._.capex." hidden="1">{"10yp capex",#N/A,FALSE,"Celtel alternative 6"}</definedName>
    <definedName name="wrn.10yp._.customers." localSheetId="3" hidden="1">{"10yp customers",#N/A,FALSE,"Celtel alternative 6"}</definedName>
    <definedName name="wrn.10yp._.customers." hidden="1">{"10yp customers",#N/A,FALSE,"Celtel alternative 6"}</definedName>
    <definedName name="wrn.10yp._.graphs." localSheetId="3" hidden="1">{"10yp graphs",#N/A,FALSE,"Market Data"}</definedName>
    <definedName name="wrn.10yp._.graphs." hidden="1">{"10yp graphs",#N/A,FALSE,"Market Data"}</definedName>
    <definedName name="wrn.10yp._.key._.data." localSheetId="3" hidden="1">{"10yp key data",#N/A,FALSE,"Market Data"}</definedName>
    <definedName name="wrn.10yp._.key._.data." hidden="1">{"10yp key data",#N/A,FALSE,"Market Data"}</definedName>
    <definedName name="wrn.10yp._.profit._.and._.loss." localSheetId="3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3" hidden="1">{"10yp tariffs",#N/A,FALSE,"Celtel alternative 6"}</definedName>
    <definedName name="wrn.10yp._.tariffs." hidden="1">{"10yp tariffs",#N/A,FALSE,"Celtel alternative 6"}</definedName>
    <definedName name="wrn.111111" localSheetId="3" hidden="1">{#N/A,#N/A,FALSE,"Pharm";#N/A,#N/A,FALSE,"WWCM"}</definedName>
    <definedName name="wrn.111111" hidden="1">{#N/A,#N/A,FALSE,"Pharm";#N/A,#N/A,FALSE,"WWCM"}</definedName>
    <definedName name="wrn.111111_1" localSheetId="3" hidden="1">{#N/A,#N/A,FALSE,"Pharm";#N/A,#N/A,FALSE,"WWCM"}</definedName>
    <definedName name="wrn.111111_1" hidden="1">{#N/A,#N/A,FALSE,"Pharm";#N/A,#N/A,FALSE,"WWCM"}</definedName>
    <definedName name="wrn.111111_2" localSheetId="3" hidden="1">{#N/A,#N/A,FALSE,"Pharm";#N/A,#N/A,FALSE,"WWCM"}</definedName>
    <definedName name="wrn.111111_2" hidden="1">{#N/A,#N/A,FALSE,"Pharm";#N/A,#N/A,FALSE,"WWCM"}</definedName>
    <definedName name="wrn.111111_3" localSheetId="3" hidden="1">{#N/A,#N/A,FALSE,"Pharm";#N/A,#N/A,FALSE,"WWCM"}</definedName>
    <definedName name="wrn.111111_3" hidden="1">{#N/A,#N/A,FALSE,"Pharm";#N/A,#N/A,FALSE,"WWCM"}</definedName>
    <definedName name="wrn.111111_4" localSheetId="3" hidden="1">{#N/A,#N/A,FALSE,"Pharm";#N/A,#N/A,FALSE,"WWCM"}</definedName>
    <definedName name="wrn.111111_4" hidden="1">{#N/A,#N/A,FALSE,"Pharm";#N/A,#N/A,FALSE,"WWCM"}</definedName>
    <definedName name="wrn.12_30._.Adv._.Book." localSheetId="3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localSheetId="3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IRR";#N/A,#N/A,TRUE,"Western";#N/A,#N/A,TRUE,"Kranson";#N/A,#N/A,TRUE,"Product";#N/A,#N/A,TRUE,"Precise";#N/A,#N/A,TRUE,"WNA"}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IRR";#N/A,#N/A,TRUE,"Western";#N/A,#N/A,TRUE,"Kranson";#N/A,#N/A,TRUE,"Product";#N/A,#N/A,TRUE,"Precise";#N/A,#N/A,TRUE,"WNA"}</definedName>
    <definedName name="wrn.1294BS." localSheetId="3" hidden="1">{#N/A,#N/A,FALSE,"PRO FORMA FINANCIALS"}</definedName>
    <definedName name="wrn.1294BS." hidden="1">{#N/A,#N/A,FALSE,"PRO FORMA FINANCIALS"}</definedName>
    <definedName name="wrn.1294BSADJUST." localSheetId="3" hidden="1">{#N/A,#N/A,FALSE,"PRO FORMA FINANCIALS"}</definedName>
    <definedName name="wrn.1294BSADJUST." hidden="1">{#N/A,#N/A,FALSE,"PRO FORMA FINANCIALS"}</definedName>
    <definedName name="wrn.1294IS." localSheetId="3" hidden="1">{#N/A,#N/A,FALSE,"PRO FORMA FINANCIALS"}</definedName>
    <definedName name="wrn.1294IS." hidden="1">{#N/A,#N/A,FALSE,"PRO FORMA FINANCIALS"}</definedName>
    <definedName name="wrn.1294ISADJUST." localSheetId="3" hidden="1">{#N/A,#N/A,FALSE,"PRO FORMA FINANCIALS"}</definedName>
    <definedName name="wrn.1294ISADJUST." hidden="1">{#N/A,#N/A,FALSE,"PRO FORMA FINANCIALS"}</definedName>
    <definedName name="wrn.1996._.BUDGET." localSheetId="3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3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localSheetId="3" hidden="1">{#N/A,#N/A,TRUE,"96PROP"}</definedName>
    <definedName name="wrn.1996._.PROPERTY._.AND._.BUSINESS._.INTERRUPTION._.VALUES." hidden="1">{#N/A,#N/A,TRUE,"96PROP"}</definedName>
    <definedName name="wrn.1996._.TO._.2004.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localSheetId="3" hidden="1">{"INTRON97",#N/A,FALSE,"REVCDLR";"MERCK1997",#N/A,FALSE,"REVCDLR";"SKB1997",#N/A,FALSE,"REVCDLR"}</definedName>
    <definedName name="wrn.1997." hidden="1">{"INTRON97",#N/A,FALSE,"REVCDLR";"MERCK1997",#N/A,FALSE,"REVCDLR";"SKB1997",#N/A,FALSE,"REVCDLR"}</definedName>
    <definedName name="wrn.1998" localSheetId="3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localSheetId="3" hidden="1">{"INTRON98",#N/A,FALSE,"REVCDLR";"MERCK98",#N/A,FALSE,"REVCDLR";"SKB98",#N/A,FALSE,"REVCDLR"}</definedName>
    <definedName name="wrn.1998." hidden="1">{"INTRON98",#N/A,FALSE,"REVCDLR";"MERCK98",#N/A,FALSE,"REVCDLR";"SKB98",#N/A,FALSE,"REVCDLR"}</definedName>
    <definedName name="wrn.1998._.Budget." localSheetId="3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localSheetId="3" hidden="1">{"MERCK",#N/A,FALSE,"SKB&amp;MERCK (HepB vaccine)";"SKB",#N/A,FALSE,"SKB&amp;MERCK (HepB vaccine)"}</definedName>
    <definedName name="wrn.1998._.Detail." hidden="1">{"MERCK",#N/A,FALSE,"SKB&amp;MERCK (HepB vaccine)";"SKB",#N/A,FALSE,"SKB&amp;MERCK (HepB vaccine)"}</definedName>
    <definedName name="wrn.1999._.Budget." localSheetId="3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localSheetId="3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._.PPM." localSheetId="4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3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4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3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localSheetId="3" hidden="1">{"Cover",#N/A,FALSE,"Cover";"Summary",#N/A,FALSE,"Summarpage"}</definedName>
    <definedName name="wrn.2._.pagers." hidden="1">{"Cover",#N/A,FALSE,"Cover";"Summary",#N/A,FALSE,"Summarpage"}</definedName>
    <definedName name="wrn.2._.pagers._1" localSheetId="3" hidden="1">{"Cover",#N/A,FALSE,"Cover";"Summary",#N/A,FALSE,"Summarpage"}</definedName>
    <definedName name="wrn.2._.pagers._1" hidden="1">{"Cover",#N/A,FALSE,"Cover";"Summary",#N/A,FALSE,"Summarpage"}</definedName>
    <definedName name="wrn.2._.pagers._1_1" localSheetId="3" hidden="1">{"Cover",#N/A,FALSE,"Cover";"Summary",#N/A,FALSE,"Summarpage"}</definedName>
    <definedName name="wrn.2._.pagers._1_1" hidden="1">{"Cover",#N/A,FALSE,"Cover";"Summary",#N/A,FALSE,"Summarpage"}</definedName>
    <definedName name="wrn.2._.pagers._1_2" localSheetId="3" hidden="1">{"Cover",#N/A,FALSE,"Cover";"Summary",#N/A,FALSE,"Summarpage"}</definedName>
    <definedName name="wrn.2._.pagers._1_2" hidden="1">{"Cover",#N/A,FALSE,"Cover";"Summary",#N/A,FALSE,"Summarpage"}</definedName>
    <definedName name="wrn.2._.pagers._1_3" localSheetId="3" hidden="1">{"Cover",#N/A,FALSE,"Cover";"Summary",#N/A,FALSE,"Summarpage"}</definedName>
    <definedName name="wrn.2._.pagers._1_3" hidden="1">{"Cover",#N/A,FALSE,"Cover";"Summary",#N/A,FALSE,"Summarpage"}</definedName>
    <definedName name="wrn.2._.pagers._1_4" localSheetId="3" hidden="1">{"Cover",#N/A,FALSE,"Cover";"Summary",#N/A,FALSE,"Summarpage"}</definedName>
    <definedName name="wrn.2._.pagers._1_4" hidden="1">{"Cover",#N/A,FALSE,"Cover";"Summary",#N/A,FALSE,"Summarpage"}</definedName>
    <definedName name="wrn.2._.pagers._1_5" localSheetId="3" hidden="1">{"Cover",#N/A,FALSE,"Cover";"Summary",#N/A,FALSE,"Summarpage"}</definedName>
    <definedName name="wrn.2._.pagers._1_5" hidden="1">{"Cover",#N/A,FALSE,"Cover";"Summary",#N/A,FALSE,"Summarpage"}</definedName>
    <definedName name="wrn.2._.pagers._2" localSheetId="3" hidden="1">{"Cover",#N/A,FALSE,"Cover";"Summary",#N/A,FALSE,"Summarpage"}</definedName>
    <definedName name="wrn.2._.pagers._2" hidden="1">{"Cover",#N/A,FALSE,"Cover";"Summary",#N/A,FALSE,"Summarpage"}</definedName>
    <definedName name="wrn.2._.pagers._2_1" localSheetId="3" hidden="1">{"Cover",#N/A,FALSE,"Cover";"Summary",#N/A,FALSE,"Summarpage"}</definedName>
    <definedName name="wrn.2._.pagers._2_1" hidden="1">{"Cover",#N/A,FALSE,"Cover";"Summary",#N/A,FALSE,"Summarpage"}</definedName>
    <definedName name="wrn.2._.pagers._2_2" localSheetId="3" hidden="1">{"Cover",#N/A,FALSE,"Cover";"Summary",#N/A,FALSE,"Summarpage"}</definedName>
    <definedName name="wrn.2._.pagers._2_2" hidden="1">{"Cover",#N/A,FALSE,"Cover";"Summary",#N/A,FALSE,"Summarpage"}</definedName>
    <definedName name="wrn.2._.pagers._2_3" localSheetId="3" hidden="1">{"Cover",#N/A,FALSE,"Cover";"Summary",#N/A,FALSE,"Summarpage"}</definedName>
    <definedName name="wrn.2._.pagers._2_3" hidden="1">{"Cover",#N/A,FALSE,"Cover";"Summary",#N/A,FALSE,"Summarpage"}</definedName>
    <definedName name="wrn.2._.pagers._2_4" localSheetId="3" hidden="1">{"Cover",#N/A,FALSE,"Cover";"Summary",#N/A,FALSE,"Summarpage"}</definedName>
    <definedName name="wrn.2._.pagers._2_4" hidden="1">{"Cover",#N/A,FALSE,"Cover";"Summary",#N/A,FALSE,"Summarpage"}</definedName>
    <definedName name="wrn.2._.pagers._2_5" localSheetId="3" hidden="1">{"Cover",#N/A,FALSE,"Cover";"Summary",#N/A,FALSE,"Summarpage"}</definedName>
    <definedName name="wrn.2._.pagers._2_5" hidden="1">{"Cover",#N/A,FALSE,"Cover";"Summary",#N/A,FALSE,"Summarpage"}</definedName>
    <definedName name="wrn.2._.pagers._3" localSheetId="3" hidden="1">{"Cover",#N/A,FALSE,"Cover";"Summary",#N/A,FALSE,"Summarpage"}</definedName>
    <definedName name="wrn.2._.pagers._3" hidden="1">{"Cover",#N/A,FALSE,"Cover";"Summary",#N/A,FALSE,"Summarpage"}</definedName>
    <definedName name="wrn.2._.pagers._3_1" localSheetId="3" hidden="1">{"Cover",#N/A,FALSE,"Cover";"Summary",#N/A,FALSE,"Summarpage"}</definedName>
    <definedName name="wrn.2._.pagers._3_1" hidden="1">{"Cover",#N/A,FALSE,"Cover";"Summary",#N/A,FALSE,"Summarpage"}</definedName>
    <definedName name="wrn.2._.pagers._3_2" localSheetId="3" hidden="1">{"Cover",#N/A,FALSE,"Cover";"Summary",#N/A,FALSE,"Summarpage"}</definedName>
    <definedName name="wrn.2._.pagers._3_2" hidden="1">{"Cover",#N/A,FALSE,"Cover";"Summary",#N/A,FALSE,"Summarpage"}</definedName>
    <definedName name="wrn.2._.pagers._3_3" localSheetId="3" hidden="1">{"Cover",#N/A,FALSE,"Cover";"Summary",#N/A,FALSE,"Summarpage"}</definedName>
    <definedName name="wrn.2._.pagers._3_3" hidden="1">{"Cover",#N/A,FALSE,"Cover";"Summary",#N/A,FALSE,"Summarpage"}</definedName>
    <definedName name="wrn.2._.pagers._3_4" localSheetId="3" hidden="1">{"Cover",#N/A,FALSE,"Cover";"Summary",#N/A,FALSE,"Summarpage"}</definedName>
    <definedName name="wrn.2._.pagers._3_4" hidden="1">{"Cover",#N/A,FALSE,"Cover";"Summary",#N/A,FALSE,"Summarpage"}</definedName>
    <definedName name="wrn.2._.pagers._3_5" localSheetId="3" hidden="1">{"Cover",#N/A,FALSE,"Cover";"Summary",#N/A,FALSE,"Summarpage"}</definedName>
    <definedName name="wrn.2._.pagers._3_5" hidden="1">{"Cover",#N/A,FALSE,"Cover";"Summary",#N/A,FALSE,"Summarpage"}</definedName>
    <definedName name="wrn.2._.pagers._4" localSheetId="3" hidden="1">{"Cover",#N/A,FALSE,"Cover";"Summary",#N/A,FALSE,"Summarpage"}</definedName>
    <definedName name="wrn.2._.pagers._4" hidden="1">{"Cover",#N/A,FALSE,"Cover";"Summary",#N/A,FALSE,"Summarpage"}</definedName>
    <definedName name="wrn.2._.pagers._4_1" localSheetId="3" hidden="1">{"Cover",#N/A,FALSE,"Cover";"Summary",#N/A,FALSE,"Summarpage"}</definedName>
    <definedName name="wrn.2._.pagers._4_1" hidden="1">{"Cover",#N/A,FALSE,"Cover";"Summary",#N/A,FALSE,"Summarpage"}</definedName>
    <definedName name="wrn.2._.pagers._4_2" localSheetId="3" hidden="1">{"Cover",#N/A,FALSE,"Cover";"Summary",#N/A,FALSE,"Summarpage"}</definedName>
    <definedName name="wrn.2._.pagers._4_2" hidden="1">{"Cover",#N/A,FALSE,"Cover";"Summary",#N/A,FALSE,"Summarpage"}</definedName>
    <definedName name="wrn.2._.pagers._4_3" localSheetId="3" hidden="1">{"Cover",#N/A,FALSE,"Cover";"Summary",#N/A,FALSE,"Summarpage"}</definedName>
    <definedName name="wrn.2._.pagers._4_3" hidden="1">{"Cover",#N/A,FALSE,"Cover";"Summary",#N/A,FALSE,"Summarpage"}</definedName>
    <definedName name="wrn.2._.pagers._4_4" localSheetId="3" hidden="1">{"Cover",#N/A,FALSE,"Cover";"Summary",#N/A,FALSE,"Summarpage"}</definedName>
    <definedName name="wrn.2._.pagers._4_4" hidden="1">{"Cover",#N/A,FALSE,"Cover";"Summary",#N/A,FALSE,"Summarpage"}</definedName>
    <definedName name="wrn.2._.pagers._4_5" localSheetId="3" hidden="1">{"Cover",#N/A,FALSE,"Cover";"Summary",#N/A,FALSE,"Summarpage"}</definedName>
    <definedName name="wrn.2._.pagers._4_5" hidden="1">{"Cover",#N/A,FALSE,"Cover";"Summary",#N/A,FALSE,"Summarpage"}</definedName>
    <definedName name="wrn.2._.pagers._5" localSheetId="3" hidden="1">{"Cover",#N/A,FALSE,"Cover";"Summary",#N/A,FALSE,"Summarpage"}</definedName>
    <definedName name="wrn.2._.pagers._5" hidden="1">{"Cover",#N/A,FALSE,"Cover";"Summary",#N/A,FALSE,"Summarpage"}</definedName>
    <definedName name="wrn.2._.pagers._5_1" localSheetId="3" hidden="1">{"Cover",#N/A,FALSE,"Cover";"Summary",#N/A,FALSE,"Summarpage"}</definedName>
    <definedName name="wrn.2._.pagers._5_1" hidden="1">{"Cover",#N/A,FALSE,"Cover";"Summary",#N/A,FALSE,"Summarpage"}</definedName>
    <definedName name="wrn.2._.pagers._5_2" localSheetId="3" hidden="1">{"Cover",#N/A,FALSE,"Cover";"Summary",#N/A,FALSE,"Summarpage"}</definedName>
    <definedName name="wrn.2._.pagers._5_2" hidden="1">{"Cover",#N/A,FALSE,"Cover";"Summary",#N/A,FALSE,"Summarpage"}</definedName>
    <definedName name="wrn.2._.pagers._5_3" localSheetId="3" hidden="1">{"Cover",#N/A,FALSE,"Cover";"Summary",#N/A,FALSE,"Summarpage"}</definedName>
    <definedName name="wrn.2._.pagers._5_3" hidden="1">{"Cover",#N/A,FALSE,"Cover";"Summary",#N/A,FALSE,"Summarpage"}</definedName>
    <definedName name="wrn.2._.pagers._5_4" localSheetId="3" hidden="1">{"Cover",#N/A,FALSE,"Cover";"Summary",#N/A,FALSE,"Summarpage"}</definedName>
    <definedName name="wrn.2._.pagers._5_4" hidden="1">{"Cover",#N/A,FALSE,"Cover";"Summary",#N/A,FALSE,"Summarpage"}</definedName>
    <definedName name="wrn.2._.pagers._5_5" localSheetId="3" hidden="1">{"Cover",#N/A,FALSE,"Cover";"Summary",#N/A,FALSE,"Summarpage"}</definedName>
    <definedName name="wrn.2._.pagers._5_5" hidden="1">{"Cover",#N/A,FALSE,"Cover";"Summary",#N/A,FALSE,"Summarpage"}</definedName>
    <definedName name="wrn.2._.pagers.2" localSheetId="3" hidden="1">{"Cover",#N/A,FALSE,"Cover";"Summary",#N/A,FALSE,"Summarpage"}</definedName>
    <definedName name="wrn.2._.pagers.2" hidden="1">{"Cover",#N/A,FALSE,"Cover";"Summary",#N/A,FALSE,"Summarpage"}</definedName>
    <definedName name="wrn.2._.pagers.2_1" localSheetId="3" hidden="1">{"Cover",#N/A,FALSE,"Cover";"Summary",#N/A,FALSE,"Summarpage"}</definedName>
    <definedName name="wrn.2._.pagers.2_1" hidden="1">{"Cover",#N/A,FALSE,"Cover";"Summary",#N/A,FALSE,"Summarpage"}</definedName>
    <definedName name="wrn.2._.pagers.2_1_1" localSheetId="3" hidden="1">{"Cover",#N/A,FALSE,"Cover";"Summary",#N/A,FALSE,"Summarpage"}</definedName>
    <definedName name="wrn.2._.pagers.2_1_1" hidden="1">{"Cover",#N/A,FALSE,"Cover";"Summary",#N/A,FALSE,"Summarpage"}</definedName>
    <definedName name="wrn.2._.pagers.2_1_2" localSheetId="3" hidden="1">{"Cover",#N/A,FALSE,"Cover";"Summary",#N/A,FALSE,"Summarpage"}</definedName>
    <definedName name="wrn.2._.pagers.2_1_2" hidden="1">{"Cover",#N/A,FALSE,"Cover";"Summary",#N/A,FALSE,"Summarpage"}</definedName>
    <definedName name="wrn.2._.pagers.2_1_3" localSheetId="3" hidden="1">{"Cover",#N/A,FALSE,"Cover";"Summary",#N/A,FALSE,"Summarpage"}</definedName>
    <definedName name="wrn.2._.pagers.2_1_3" hidden="1">{"Cover",#N/A,FALSE,"Cover";"Summary",#N/A,FALSE,"Summarpage"}</definedName>
    <definedName name="wrn.2._.pagers.2_1_4" localSheetId="3" hidden="1">{"Cover",#N/A,FALSE,"Cover";"Summary",#N/A,FALSE,"Summarpage"}</definedName>
    <definedName name="wrn.2._.pagers.2_1_4" hidden="1">{"Cover",#N/A,FALSE,"Cover";"Summary",#N/A,FALSE,"Summarpage"}</definedName>
    <definedName name="wrn.2._.pagers.2_1_5" localSheetId="3" hidden="1">{"Cover",#N/A,FALSE,"Cover";"Summary",#N/A,FALSE,"Summarpage"}</definedName>
    <definedName name="wrn.2._.pagers.2_1_5" hidden="1">{"Cover",#N/A,FALSE,"Cover";"Summary",#N/A,FALSE,"Summarpage"}</definedName>
    <definedName name="wrn.2._.pagers.2_2" localSheetId="3" hidden="1">{"Cover",#N/A,FALSE,"Cover";"Summary",#N/A,FALSE,"Summarpage"}</definedName>
    <definedName name="wrn.2._.pagers.2_2" hidden="1">{"Cover",#N/A,FALSE,"Cover";"Summary",#N/A,FALSE,"Summarpage"}</definedName>
    <definedName name="wrn.2._.pagers.2_2_1" localSheetId="3" hidden="1">{"Cover",#N/A,FALSE,"Cover";"Summary",#N/A,FALSE,"Summarpage"}</definedName>
    <definedName name="wrn.2._.pagers.2_2_1" hidden="1">{"Cover",#N/A,FALSE,"Cover";"Summary",#N/A,FALSE,"Summarpage"}</definedName>
    <definedName name="wrn.2._.pagers.2_2_2" localSheetId="3" hidden="1">{"Cover",#N/A,FALSE,"Cover";"Summary",#N/A,FALSE,"Summarpage"}</definedName>
    <definedName name="wrn.2._.pagers.2_2_2" hidden="1">{"Cover",#N/A,FALSE,"Cover";"Summary",#N/A,FALSE,"Summarpage"}</definedName>
    <definedName name="wrn.2._.pagers.2_2_3" localSheetId="3" hidden="1">{"Cover",#N/A,FALSE,"Cover";"Summary",#N/A,FALSE,"Summarpage"}</definedName>
    <definedName name="wrn.2._.pagers.2_2_3" hidden="1">{"Cover",#N/A,FALSE,"Cover";"Summary",#N/A,FALSE,"Summarpage"}</definedName>
    <definedName name="wrn.2._.pagers.2_2_4" localSheetId="3" hidden="1">{"Cover",#N/A,FALSE,"Cover";"Summary",#N/A,FALSE,"Summarpage"}</definedName>
    <definedName name="wrn.2._.pagers.2_2_4" hidden="1">{"Cover",#N/A,FALSE,"Cover";"Summary",#N/A,FALSE,"Summarpage"}</definedName>
    <definedName name="wrn.2._.pagers.2_2_5" localSheetId="3" hidden="1">{"Cover",#N/A,FALSE,"Cover";"Summary",#N/A,FALSE,"Summarpage"}</definedName>
    <definedName name="wrn.2._.pagers.2_2_5" hidden="1">{"Cover",#N/A,FALSE,"Cover";"Summary",#N/A,FALSE,"Summarpage"}</definedName>
    <definedName name="wrn.2._.pagers.2_3" localSheetId="3" hidden="1">{"Cover",#N/A,FALSE,"Cover";"Summary",#N/A,FALSE,"Summarpage"}</definedName>
    <definedName name="wrn.2._.pagers.2_3" hidden="1">{"Cover",#N/A,FALSE,"Cover";"Summary",#N/A,FALSE,"Summarpage"}</definedName>
    <definedName name="wrn.2._.pagers.2_3_1" localSheetId="3" hidden="1">{"Cover",#N/A,FALSE,"Cover";"Summary",#N/A,FALSE,"Summarpage"}</definedName>
    <definedName name="wrn.2._.pagers.2_3_1" hidden="1">{"Cover",#N/A,FALSE,"Cover";"Summary",#N/A,FALSE,"Summarpage"}</definedName>
    <definedName name="wrn.2._.pagers.2_3_2" localSheetId="3" hidden="1">{"Cover",#N/A,FALSE,"Cover";"Summary",#N/A,FALSE,"Summarpage"}</definedName>
    <definedName name="wrn.2._.pagers.2_3_2" hidden="1">{"Cover",#N/A,FALSE,"Cover";"Summary",#N/A,FALSE,"Summarpage"}</definedName>
    <definedName name="wrn.2._.pagers.2_3_3" localSheetId="3" hidden="1">{"Cover",#N/A,FALSE,"Cover";"Summary",#N/A,FALSE,"Summarpage"}</definedName>
    <definedName name="wrn.2._.pagers.2_3_3" hidden="1">{"Cover",#N/A,FALSE,"Cover";"Summary",#N/A,FALSE,"Summarpage"}</definedName>
    <definedName name="wrn.2._.pagers.2_3_4" localSheetId="3" hidden="1">{"Cover",#N/A,FALSE,"Cover";"Summary",#N/A,FALSE,"Summarpage"}</definedName>
    <definedName name="wrn.2._.pagers.2_3_4" hidden="1">{"Cover",#N/A,FALSE,"Cover";"Summary",#N/A,FALSE,"Summarpage"}</definedName>
    <definedName name="wrn.2._.pagers.2_3_5" localSheetId="3" hidden="1">{"Cover",#N/A,FALSE,"Cover";"Summary",#N/A,FALSE,"Summarpage"}</definedName>
    <definedName name="wrn.2._.pagers.2_3_5" hidden="1">{"Cover",#N/A,FALSE,"Cover";"Summary",#N/A,FALSE,"Summarpage"}</definedName>
    <definedName name="wrn.2._.pagers.2_4" localSheetId="3" hidden="1">{"Cover",#N/A,FALSE,"Cover";"Summary",#N/A,FALSE,"Summarpage"}</definedName>
    <definedName name="wrn.2._.pagers.2_4" hidden="1">{"Cover",#N/A,FALSE,"Cover";"Summary",#N/A,FALSE,"Summarpage"}</definedName>
    <definedName name="wrn.2._.pagers.2_4_1" localSheetId="3" hidden="1">{"Cover",#N/A,FALSE,"Cover";"Summary",#N/A,FALSE,"Summarpage"}</definedName>
    <definedName name="wrn.2._.pagers.2_4_1" hidden="1">{"Cover",#N/A,FALSE,"Cover";"Summary",#N/A,FALSE,"Summarpage"}</definedName>
    <definedName name="wrn.2._.pagers.2_4_2" localSheetId="3" hidden="1">{"Cover",#N/A,FALSE,"Cover";"Summary",#N/A,FALSE,"Summarpage"}</definedName>
    <definedName name="wrn.2._.pagers.2_4_2" hidden="1">{"Cover",#N/A,FALSE,"Cover";"Summary",#N/A,FALSE,"Summarpage"}</definedName>
    <definedName name="wrn.2._.pagers.2_4_3" localSheetId="3" hidden="1">{"Cover",#N/A,FALSE,"Cover";"Summary",#N/A,FALSE,"Summarpage"}</definedName>
    <definedName name="wrn.2._.pagers.2_4_3" hidden="1">{"Cover",#N/A,FALSE,"Cover";"Summary",#N/A,FALSE,"Summarpage"}</definedName>
    <definedName name="wrn.2._.pagers.2_4_4" localSheetId="3" hidden="1">{"Cover",#N/A,FALSE,"Cover";"Summary",#N/A,FALSE,"Summarpage"}</definedName>
    <definedName name="wrn.2._.pagers.2_4_4" hidden="1">{"Cover",#N/A,FALSE,"Cover";"Summary",#N/A,FALSE,"Summarpage"}</definedName>
    <definedName name="wrn.2._.pagers.2_4_5" localSheetId="3" hidden="1">{"Cover",#N/A,FALSE,"Cover";"Summary",#N/A,FALSE,"Summarpage"}</definedName>
    <definedName name="wrn.2._.pagers.2_4_5" hidden="1">{"Cover",#N/A,FALSE,"Cover";"Summary",#N/A,FALSE,"Summarpage"}</definedName>
    <definedName name="wrn.2._.pagers.2_5" localSheetId="3" hidden="1">{"Cover",#N/A,FALSE,"Cover";"Summary",#N/A,FALSE,"Summarpage"}</definedName>
    <definedName name="wrn.2._.pagers.2_5" hidden="1">{"Cover",#N/A,FALSE,"Cover";"Summary",#N/A,FALSE,"Summarpage"}</definedName>
    <definedName name="wrn.2._.pagers.2_5_1" localSheetId="3" hidden="1">{"Cover",#N/A,FALSE,"Cover";"Summary",#N/A,FALSE,"Summarpage"}</definedName>
    <definedName name="wrn.2._.pagers.2_5_1" hidden="1">{"Cover",#N/A,FALSE,"Cover";"Summary",#N/A,FALSE,"Summarpage"}</definedName>
    <definedName name="wrn.2._.pagers.2_5_2" localSheetId="3" hidden="1">{"Cover",#N/A,FALSE,"Cover";"Summary",#N/A,FALSE,"Summarpage"}</definedName>
    <definedName name="wrn.2._.pagers.2_5_2" hidden="1">{"Cover",#N/A,FALSE,"Cover";"Summary",#N/A,FALSE,"Summarpage"}</definedName>
    <definedName name="wrn.2._.pagers.2_5_3" localSheetId="3" hidden="1">{"Cover",#N/A,FALSE,"Cover";"Summary",#N/A,FALSE,"Summarpage"}</definedName>
    <definedName name="wrn.2._.pagers.2_5_3" hidden="1">{"Cover",#N/A,FALSE,"Cover";"Summary",#N/A,FALSE,"Summarpage"}</definedName>
    <definedName name="wrn.2._.pagers.2_5_4" localSheetId="3" hidden="1">{"Cover",#N/A,FALSE,"Cover";"Summary",#N/A,FALSE,"Summarpage"}</definedName>
    <definedName name="wrn.2._.pagers.2_5_4" hidden="1">{"Cover",#N/A,FALSE,"Cover";"Summary",#N/A,FALSE,"Summarpage"}</definedName>
    <definedName name="wrn.2._.pagers.2_5_5" localSheetId="3" hidden="1">{"Cover",#N/A,FALSE,"Cover";"Summary",#N/A,FALSE,"Summarpage"}</definedName>
    <definedName name="wrn.2._.pagers.2_5_5" hidden="1">{"Cover",#N/A,FALSE,"Cover";"Summary",#N/A,FALSE,"Summarpage"}</definedName>
    <definedName name="wrn.2_5_99._.Scenarios." localSheetId="3" hidden="1">{#N/A,"Scenario 4; Book Value",FALSE,"Stream INPUTS";#N/A,"Scenario 4; Market Value",FALSE,"Stream INPUTS";#N/A,"Scenario 5; Book Value",FALSE,"Stream INPUTS";#N/A,"Scenario 5; Market Value",FALSE,"Stream INPUTS"}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localSheetId="3" hidden="1">{"2004 Net Change",#N/A,TRUE,"04 Contract Forecast";"2004 Budget",#N/A,TRUE,"04 Contract Budget";"2004 Forecast",#N/A,TRUE,"04 Net Change"}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localSheetId="3" hidden="1">{#N/A,#N/A,TRUE,"Project Summary";#N/A,#N/A,TRUE,"Financial Data Input";#N/A,#N/A,TRUE,"P&amp;L";#N/A,#N/A,TRUE,"Instructions"}</definedName>
    <definedName name="wrn.2004._.PBP._.Template." hidden="1">{#N/A,#N/A,TRUE,"Project Summary";#N/A,#N/A,TRUE,"Financial Data Input";#N/A,#N/A,TRUE,"P&amp;L";#N/A,#N/A,TRUE,"Instructions"}</definedName>
    <definedName name="wrn.2005." localSheetId="3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localSheetId="3" hidden="1">{"2005 Finmodel Quarterly Financials",#N/A,TRUE,"Finmodel";"2005 Finmodel Quarterly Covenants",#N/A,TRUE,"Finmodel"}</definedName>
    <definedName name="wrn.2005._.Quarterly." hidden="1">{"2005 Finmodel Quarterly Financials",#N/A,TRUE,"Finmodel";"2005 Finmodel Quarterly Covenants",#N/A,TRUE,"Finmodel"}</definedName>
    <definedName name="wrn.3.._.Pre._.Opening." localSheetId="4" hidden="1">{"Pre Opening BS",#N/A,FALSE,"Pre-Opening";"Pre Opening Worksheet",#N/A,FALSE,"Pre-Opening"}</definedName>
    <definedName name="wrn.3.._.Pre._.Opening." localSheetId="3" hidden="1">{"Pre Opening BS",#N/A,FALSE,"Pre-Opening";"Pre Opening Worksheet",#N/A,FALSE,"Pre-Opening"}</definedName>
    <definedName name="wrn.3.._.Pre._.Opening." hidden="1">{"Pre Opening BS",#N/A,FALSE,"Pre-Opening";"Pre Opening Worksheet",#N/A,FALSE,"Pre-Opening"}</definedName>
    <definedName name="wrn.3.._.Pre._.Opening._1" localSheetId="4" hidden="1">{"Pre Opening BS",#N/A,FALSE,"Pre-Opening";"Pre Opening Worksheet",#N/A,FALSE,"Pre-Opening"}</definedName>
    <definedName name="wrn.3.._.Pre._.Opening._1" localSheetId="3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localSheetId="3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localSheetId="3" hidden="1">{#N/A,#N/A,FALSE,"BAL 3-96";#N/A,#N/A,FALSE,"OPR 3-96";#N/A,#N/A,FALSE,"CF 3-96";#N/A,#N/A,FALSE,"ERN3-96"}</definedName>
    <definedName name="wrn.396." hidden="1">{#N/A,#N/A,FALSE,"BAL 3-96";#N/A,#N/A,FALSE,"OPR 3-96";#N/A,#N/A,FALSE,"CF 3-96";#N/A,#N/A,FALSE,"ERN3-96"}</definedName>
    <definedName name="wrn.3cases." localSheetId="3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4.._.Detail._.Financial._.Statements." localSheetId="4" hidden="1">{"IS All",#N/A,FALSE,"Summary P&amp;L";"IS CS All",#N/A,FALSE,"CS Inc. Stmt.";"BS All",#N/A,FALSE,"Balance Sheet";"CF All",#N/A,FALSE,"CashFlow"}</definedName>
    <definedName name="wrn.4.._.Detail._.Financial._.Statements." localSheetId="3" hidden="1">{"IS All",#N/A,FALSE,"Summary P&amp;L";"IS CS All",#N/A,FALSE,"CS Inc. Stmt.";"BS All",#N/A,FALSE,"Balance Sheet";"CF All",#N/A,FALSE,"CashFlow"}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localSheetId="4" hidden="1">{"IS All",#N/A,FALSE,"Summary P&amp;L";"IS CS All",#N/A,FALSE,"CS Inc. Stmt.";"BS All",#N/A,FALSE,"Balance Sheet";"CF All",#N/A,FALSE,"CashFlow"}</definedName>
    <definedName name="wrn.4.._.Detail._.Financial._.Statements._1" localSheetId="3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localSheetId="3" hidden="1">{#N/A,#N/A,FALSE,"PRO FORMA FINANCIALS"}</definedName>
    <definedName name="wrn.495BS." hidden="1">{#N/A,#N/A,FALSE,"PRO FORMA FINANCIALS"}</definedName>
    <definedName name="wrn.495BSADJUST." localSheetId="3" hidden="1">{#N/A,#N/A,FALSE,"PRO FORMA FINANCIALS"}</definedName>
    <definedName name="wrn.495BSADJUST." hidden="1">{#N/A,#N/A,FALSE,"PRO FORMA FINANCIALS"}</definedName>
    <definedName name="wrn.495IS." localSheetId="3" hidden="1">{#N/A,#N/A,FALSE,"PRO FORMA FINANCIALS"}</definedName>
    <definedName name="wrn.495IS." hidden="1">{#N/A,#N/A,FALSE,"PRO FORMA FINANCIALS"}</definedName>
    <definedName name="wrn.495ISADJUST." localSheetId="3" hidden="1">{#N/A,#N/A,FALSE,"PRO FORMA FINANCIALS"}</definedName>
    <definedName name="wrn.495ISADJUST." hidden="1">{#N/A,#N/A,FALSE,"PRO FORMA FINANCIALS"}</definedName>
    <definedName name="wrn.5.._.ALL._.Detail._.Support." localSheetId="4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3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4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3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localSheetId="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localSheetId="4" hidden="1">{"SCH44",#N/A,FALSE,"5b5f";"SCH45",#N/A,FALSE,"5b5f"}</definedName>
    <definedName name="wrn.5BY5." localSheetId="3" hidden="1">{"SCH44",#N/A,FALSE,"5b5f";"SCH45",#N/A,FALSE,"5b5f"}</definedName>
    <definedName name="wrn.5BY5." hidden="1">{"SCH44",#N/A,FALSE,"5b5f";"SCH45",#N/A,FALSE,"5b5f"}</definedName>
    <definedName name="wrn.6.._.Two._.Year._.Reports." localSheetId="4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3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4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3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localSheetId="3" hidden="1">{#N/A,#N/A,FALSE,"REPORT"}</definedName>
    <definedName name="wrn.730." hidden="1">{#N/A,#N/A,FALSE,"REPORT"}</definedName>
    <definedName name="wrn.730._1" localSheetId="3" hidden="1">{#N/A,#N/A,FALSE,"REPORT"}</definedName>
    <definedName name="wrn.730._1" hidden="1">{#N/A,#N/A,FALSE,"REPORT"}</definedName>
    <definedName name="wrn.730._2" localSheetId="3" hidden="1">{#N/A,#N/A,FALSE,"REPORT"}</definedName>
    <definedName name="wrn.730._2" hidden="1">{#N/A,#N/A,FALSE,"REPORT"}</definedName>
    <definedName name="wrn.730._3" localSheetId="3" hidden="1">{#N/A,#N/A,FALSE,"REPORT"}</definedName>
    <definedName name="wrn.730._3" hidden="1">{#N/A,#N/A,FALSE,"REPORT"}</definedName>
    <definedName name="wrn.730._4" localSheetId="3" hidden="1">{#N/A,#N/A,FALSE,"REPORT"}</definedName>
    <definedName name="wrn.730._4" hidden="1">{#N/A,#N/A,FALSE,"REPORT"}</definedName>
    <definedName name="wrn.731" localSheetId="3" hidden="1">{#N/A,#N/A,FALSE,"REPORT"}</definedName>
    <definedName name="wrn.731" hidden="1">{#N/A,#N/A,FALSE,"REPORT"}</definedName>
    <definedName name="wrn.731_1" localSheetId="3" hidden="1">{#N/A,#N/A,FALSE,"REPORT"}</definedName>
    <definedName name="wrn.731_1" hidden="1">{#N/A,#N/A,FALSE,"REPORT"}</definedName>
    <definedName name="wrn.731_2" localSheetId="3" hidden="1">{#N/A,#N/A,FALSE,"REPORT"}</definedName>
    <definedName name="wrn.731_2" hidden="1">{#N/A,#N/A,FALSE,"REPORT"}</definedName>
    <definedName name="wrn.731_3" localSheetId="3" hidden="1">{#N/A,#N/A,FALSE,"REPORT"}</definedName>
    <definedName name="wrn.731_3" hidden="1">{#N/A,#N/A,FALSE,"REPORT"}</definedName>
    <definedName name="wrn.731_4" localSheetId="3" hidden="1">{#N/A,#N/A,FALSE,"REPORT"}</definedName>
    <definedName name="wrn.731_4" hidden="1">{#N/A,#N/A,FALSE,"REPORT"}</definedName>
    <definedName name="wrn.750." localSheetId="3" hidden="1">{#N/A,#N/A,FALSE,"REPORT"}</definedName>
    <definedName name="wrn.750." hidden="1">{#N/A,#N/A,FALSE,"REPORT"}</definedName>
    <definedName name="wrn.750._1" localSheetId="3" hidden="1">{#N/A,#N/A,FALSE,"REPORT"}</definedName>
    <definedName name="wrn.750._1" hidden="1">{#N/A,#N/A,FALSE,"REPORT"}</definedName>
    <definedName name="wrn.750._2" localSheetId="3" hidden="1">{#N/A,#N/A,FALSE,"REPORT"}</definedName>
    <definedName name="wrn.750._2" hidden="1">{#N/A,#N/A,FALSE,"REPORT"}</definedName>
    <definedName name="wrn.750._3" localSheetId="3" hidden="1">{#N/A,#N/A,FALSE,"REPORT"}</definedName>
    <definedName name="wrn.750._3" hidden="1">{#N/A,#N/A,FALSE,"REPORT"}</definedName>
    <definedName name="wrn.750._4" localSheetId="3" hidden="1">{#N/A,#N/A,FALSE,"REPORT"}</definedName>
    <definedName name="wrn.750._4" hidden="1">{#N/A,#N/A,FALSE,"REPORT"}</definedName>
    <definedName name="wrn.7501" localSheetId="3" hidden="1">{#N/A,#N/A,FALSE,"REPORT"}</definedName>
    <definedName name="wrn.7501" hidden="1">{#N/A,#N/A,FALSE,"REPORT"}</definedName>
    <definedName name="wrn.7501_1" localSheetId="3" hidden="1">{#N/A,#N/A,FALSE,"REPORT"}</definedName>
    <definedName name="wrn.7501_1" hidden="1">{#N/A,#N/A,FALSE,"REPORT"}</definedName>
    <definedName name="wrn.7501_2" localSheetId="3" hidden="1">{#N/A,#N/A,FALSE,"REPORT"}</definedName>
    <definedName name="wrn.7501_2" hidden="1">{#N/A,#N/A,FALSE,"REPORT"}</definedName>
    <definedName name="wrn.7501_3" localSheetId="3" hidden="1">{#N/A,#N/A,FALSE,"REPORT"}</definedName>
    <definedName name="wrn.7501_3" hidden="1">{#N/A,#N/A,FALSE,"REPORT"}</definedName>
    <definedName name="wrn.7501_4" localSheetId="3" hidden="1">{#N/A,#N/A,FALSE,"REPORT"}</definedName>
    <definedName name="wrn.7501_4" hidden="1">{#N/A,#N/A,FALSE,"REPORT"}</definedName>
    <definedName name="wrn.760.16." localSheetId="3" hidden="1">{#N/A,#N/A,FALSE,"REPORT"}</definedName>
    <definedName name="wrn.760.16." hidden="1">{#N/A,#N/A,FALSE,"REPORT"}</definedName>
    <definedName name="wrn.760.16._1" localSheetId="3" hidden="1">{#N/A,#N/A,FALSE,"REPORT"}</definedName>
    <definedName name="wrn.760.16._1" hidden="1">{#N/A,#N/A,FALSE,"REPORT"}</definedName>
    <definedName name="wrn.760.16._2" localSheetId="3" hidden="1">{#N/A,#N/A,FALSE,"REPORT"}</definedName>
    <definedName name="wrn.760.16._2" hidden="1">{#N/A,#N/A,FALSE,"REPORT"}</definedName>
    <definedName name="wrn.760.16._3" localSheetId="3" hidden="1">{#N/A,#N/A,FALSE,"REPORT"}</definedName>
    <definedName name="wrn.760.16._3" hidden="1">{#N/A,#N/A,FALSE,"REPORT"}</definedName>
    <definedName name="wrn.760.16._4" localSheetId="3" hidden="1">{#N/A,#N/A,FALSE,"REPORT"}</definedName>
    <definedName name="wrn.760.16._4" hidden="1">{#N/A,#N/A,FALSE,"REPORT"}</definedName>
    <definedName name="wrn.7900" localSheetId="3" hidden="1">{#N/A,#N/A,FALSE,"REPORT"}</definedName>
    <definedName name="wrn.7900" hidden="1">{#N/A,#N/A,FALSE,"REPORT"}</definedName>
    <definedName name="wrn.7900_1" localSheetId="3" hidden="1">{#N/A,#N/A,FALSE,"REPORT"}</definedName>
    <definedName name="wrn.7900_1" hidden="1">{#N/A,#N/A,FALSE,"REPORT"}</definedName>
    <definedName name="wrn.7900_2" localSheetId="3" hidden="1">{#N/A,#N/A,FALSE,"REPORT"}</definedName>
    <definedName name="wrn.7900_2" hidden="1">{#N/A,#N/A,FALSE,"REPORT"}</definedName>
    <definedName name="wrn.7900_3" localSheetId="3" hidden="1">{#N/A,#N/A,FALSE,"REPORT"}</definedName>
    <definedName name="wrn.7900_3" hidden="1">{#N/A,#N/A,FALSE,"REPORT"}</definedName>
    <definedName name="wrn.7900_4" localSheetId="3" hidden="1">{#N/A,#N/A,FALSE,"REPORT"}</definedName>
    <definedName name="wrn.7900_4" hidden="1">{#N/A,#N/A,FALSE,"REPORT"}</definedName>
    <definedName name="wrn.9_30._.Adv._.Board." localSheetId="3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localSheetId="3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Per.";#N/A,#N/A,TRUE,"Western";#N/A,#N/A,TRUE,"Kranson";#N/A,#N/A,TRUE,"Product";#N/A,#N/A,TRUE,"Precise";#N/A,#N/A,TRUE,"WNA"}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Per.";#N/A,#N/A,TRUE,"Western";#N/A,#N/A,TRUE,"Kranson";#N/A,#N/A,TRUE,"Product";#N/A,#N/A,TRUE,"Precise";#N/A,#N/A,TRUE,"WNA"}</definedName>
    <definedName name="wrn.905" localSheetId="3" hidden="1">{#N/A,#N/A,FALSE,"REPORT"}</definedName>
    <definedName name="wrn.905" hidden="1">{#N/A,#N/A,FALSE,"REPORT"}</definedName>
    <definedName name="wrn.905_1" localSheetId="3" hidden="1">{#N/A,#N/A,FALSE,"REPORT"}</definedName>
    <definedName name="wrn.905_1" hidden="1">{#N/A,#N/A,FALSE,"REPORT"}</definedName>
    <definedName name="wrn.905_2" localSheetId="3" hidden="1">{#N/A,#N/A,FALSE,"REPORT"}</definedName>
    <definedName name="wrn.905_2" hidden="1">{#N/A,#N/A,FALSE,"REPORT"}</definedName>
    <definedName name="wrn.905_3" localSheetId="3" hidden="1">{#N/A,#N/A,FALSE,"REPORT"}</definedName>
    <definedName name="wrn.905_3" hidden="1">{#N/A,#N/A,FALSE,"REPORT"}</definedName>
    <definedName name="wrn.905_4" localSheetId="3" hidden="1">{#N/A,#N/A,FALSE,"REPORT"}</definedName>
    <definedName name="wrn.905_4" hidden="1">{#N/A,#N/A,FALSE,"REPORT"}</definedName>
    <definedName name="wrn.95PROV." localSheetId="4" hidden="1">{#N/A,#N/A,FALSE,"Taxblinc";#N/A,#N/A,FALSE,"Rsvsacls"}</definedName>
    <definedName name="wrn.95PROV." localSheetId="3" hidden="1">{#N/A,#N/A,FALSE,"Taxblinc";#N/A,#N/A,FALSE,"Rsvsacls"}</definedName>
    <definedName name="wrn.95PROV." hidden="1">{#N/A,#N/A,FALSE,"Taxblinc";#N/A,#N/A,FALSE,"Rsvsacls"}</definedName>
    <definedName name="wrn.99999" localSheetId="3" hidden="1">{#N/A,#N/A,FALSE,"REPORT"}</definedName>
    <definedName name="wrn.99999" hidden="1">{#N/A,#N/A,FALSE,"REPORT"}</definedName>
    <definedName name="wrn.99999_1" localSheetId="3" hidden="1">{#N/A,#N/A,FALSE,"REPORT"}</definedName>
    <definedName name="wrn.99999_1" hidden="1">{#N/A,#N/A,FALSE,"REPORT"}</definedName>
    <definedName name="wrn.99999_2" localSheetId="3" hidden="1">{#N/A,#N/A,FALSE,"REPORT"}</definedName>
    <definedName name="wrn.99999_2" hidden="1">{#N/A,#N/A,FALSE,"REPORT"}</definedName>
    <definedName name="wrn.99999_3" localSheetId="3" hidden="1">{#N/A,#N/A,FALSE,"REPORT"}</definedName>
    <definedName name="wrn.99999_3" hidden="1">{#N/A,#N/A,FALSE,"REPORT"}</definedName>
    <definedName name="wrn.99999_4" localSheetId="3" hidden="1">{#N/A,#N/A,FALSE,"REPORT"}</definedName>
    <definedName name="wrn.99999_4" hidden="1">{#N/A,#N/A,FALSE,"REPORT"}</definedName>
    <definedName name="wrn.A.._.1263._.yr._.1." localSheetId="3" hidden="1">{#N/A,#N/A,FALSE,"1263 yr1"}</definedName>
    <definedName name="wrn.A.._.1263._.yr._.1." hidden="1">{#N/A,#N/A,FALSE,"1263 yr1"}</definedName>
    <definedName name="wrn.A_VALUATION." localSheetId="4" hidden="1">{#N/A,#N/A,FALSE,"A_D";#N/A,#N/A,FALSE,"WACC";#N/A,#N/A,FALSE,"DCF";#N/A,#N/A,FALSE,"A";#N/A,#N/A,FALSE,"LBO";#N/A,#N/A,FALSE,"C";#N/A,#N/A,FALSE,"impd";#N/A,#N/A,FALSE,"comps"}</definedName>
    <definedName name="wrn.A_VALUATION." localSheetId="3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localSheetId="3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localSheetId="3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localSheetId="3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localSheetId="3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localSheetId="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localSheetId="3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localSheetId="3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localSheetId="3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localSheetId="3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localSheetId="3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localSheetId="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localSheetId="3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localSheetId="3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localSheetId="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localSheetId="3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localSheetId="3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localSheetId="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localSheetId="3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localSheetId="3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localSheetId="3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localSheetId="3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localSheetId="3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localSheetId="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localSheetId="3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localSheetId="3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localSheetId="3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localSheetId="3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localSheetId="3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localSheetId="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localSheetId="3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localSheetId="3" hidden="1">{#N/A,#N/A,FALSE,"PMTABB";#N/A,#N/A,FALSE,"PMTABB"}</definedName>
    <definedName name="wrn.AA." hidden="1">{#N/A,#N/A,FALSE,"PMTABB";#N/A,#N/A,FALSE,"PMTABB"}</definedName>
    <definedName name="wrn.aaa" localSheetId="3" hidden="1">{#N/A,#N/A,FALSE,"Pharm";#N/A,#N/A,FALSE,"WWCM"}</definedName>
    <definedName name="wrn.aaa" hidden="1">{#N/A,#N/A,FALSE,"Pharm";#N/A,#N/A,FALSE,"WWCM"}</definedName>
    <definedName name="wrn.aaa." localSheetId="3" hidden="1">{#N/A,#N/A,FALSE,"ALM-ASISC"}</definedName>
    <definedName name="wrn.aaa." hidden="1">{#N/A,#N/A,FALSE,"ALM-ASISC"}</definedName>
    <definedName name="wrn.aaa_1" localSheetId="3" hidden="1">{#N/A,#N/A,FALSE,"Pharm";#N/A,#N/A,FALSE,"WWCM"}</definedName>
    <definedName name="wrn.aaa_1" hidden="1">{#N/A,#N/A,FALSE,"Pharm";#N/A,#N/A,FALSE,"WWCM"}</definedName>
    <definedName name="wrn.aaa_2" localSheetId="3" hidden="1">{#N/A,#N/A,FALSE,"Pharm";#N/A,#N/A,FALSE,"WWCM"}</definedName>
    <definedName name="wrn.aaa_2" hidden="1">{#N/A,#N/A,FALSE,"Pharm";#N/A,#N/A,FALSE,"WWCM"}</definedName>
    <definedName name="wrn.aaa_3" localSheetId="3" hidden="1">{#N/A,#N/A,FALSE,"Pharm";#N/A,#N/A,FALSE,"WWCM"}</definedName>
    <definedName name="wrn.aaa_3" hidden="1">{#N/A,#N/A,FALSE,"Pharm";#N/A,#N/A,FALSE,"WWCM"}</definedName>
    <definedName name="wrn.aaa_4" localSheetId="3" hidden="1">{#N/A,#N/A,FALSE,"Pharm";#N/A,#N/A,FALSE,"WWCM"}</definedName>
    <definedName name="wrn.aaa_4" hidden="1">{#N/A,#N/A,FALSE,"Pharm";#N/A,#N/A,FALSE,"WWCM"}</definedName>
    <definedName name="wrn.aaaaaaa" localSheetId="3" hidden="1">{#N/A,#N/A,FALSE,"Pharm";#N/A,#N/A,FALSE,"WWCM"}</definedName>
    <definedName name="wrn.aaaaaaa" hidden="1">{#N/A,#N/A,FALSE,"Pharm";#N/A,#N/A,FALSE,"WWCM"}</definedName>
    <definedName name="wrn.aaaaaaa_1" localSheetId="3" hidden="1">{#N/A,#N/A,FALSE,"Pharm";#N/A,#N/A,FALSE,"WWCM"}</definedName>
    <definedName name="wrn.aaaaaaa_1" hidden="1">{#N/A,#N/A,FALSE,"Pharm";#N/A,#N/A,FALSE,"WWCM"}</definedName>
    <definedName name="wrn.aaaaaaa_2" localSheetId="3" hidden="1">{#N/A,#N/A,FALSE,"Pharm";#N/A,#N/A,FALSE,"WWCM"}</definedName>
    <definedName name="wrn.aaaaaaa_2" hidden="1">{#N/A,#N/A,FALSE,"Pharm";#N/A,#N/A,FALSE,"WWCM"}</definedName>
    <definedName name="wrn.aaaaaaa_3" localSheetId="3" hidden="1">{#N/A,#N/A,FALSE,"Pharm";#N/A,#N/A,FALSE,"WWCM"}</definedName>
    <definedName name="wrn.aaaaaaa_3" hidden="1">{#N/A,#N/A,FALSE,"Pharm";#N/A,#N/A,FALSE,"WWCM"}</definedName>
    <definedName name="wrn.aaaaaaa_4" localSheetId="3" hidden="1">{#N/A,#N/A,FALSE,"Pharm";#N/A,#N/A,FALSE,"WWCM"}</definedName>
    <definedName name="wrn.aaaaaaa_4" hidden="1">{#N/A,#N/A,FALSE,"Pharm";#N/A,#N/A,FALSE,"WWCM"}</definedName>
    <definedName name="wrn.aba." localSheetId="4" hidden="1">{"ww",#N/A,FALSE,"Hospital Products";"us",#N/A,FALSE,"Hospital Products";"in",#N/A,FALSE,"Hospital Products"}</definedName>
    <definedName name="wrn.aba." localSheetId="3" hidden="1">{"ww",#N/A,FALSE,"Hospital Products";"us",#N/A,FALSE,"Hospital Products";"in",#N/A,FALSE,"Hospital Products"}</definedName>
    <definedName name="wrn.aba." hidden="1">{"ww",#N/A,FALSE,"Hospital Products";"us",#N/A,FALSE,"Hospital Products";"in",#N/A,FALSE,"Hospital Products"}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localSheetId="4" hidden="1">{"ww",#N/A,FALSE,"Hospital Products";"us",#N/A,FALSE,"Hospital Products";"in",#N/A,FALSE,"Hospital Products"}</definedName>
    <definedName name="wrn.abl." localSheetId="3" hidden="1">{"ww",#N/A,FALSE,"Hospital Products";"us",#N/A,FALSE,"Hospital Products";"in",#N/A,FALSE,"Hospital Products"}</definedName>
    <definedName name="wrn.abl." hidden="1">{"ww",#N/A,FALSE,"Hospital Products";"us",#N/A,FALSE,"Hospital Products";"in",#N/A,FALSE,"Hospital Products"}</definedName>
    <definedName name="wrn.abt." localSheetId="4" hidden="1">{"ww",#N/A,FALSE,"Hospital Products";"us",#N/A,FALSE,"Hospital Products";"in",#N/A,FALSE,"Hospital Products"}</definedName>
    <definedName name="wrn.abt." localSheetId="3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localSheetId="3" hidden="1">{"turnover",#N/A,FALSE;"profits",#N/A,FALSE;"cash",#N/A,FALSE}</definedName>
    <definedName name="wrn.Accounts." hidden="1">{"turnover",#N/A,FALSE;"profits",#N/A,FALSE;"cash",#N/A,FALSE}</definedName>
    <definedName name="wrn.Accr_Dil." localSheetId="4" hidden="1">{#N/A,#N/A,FALSE,"Debt Accr";#N/A,#N/A,FALSE,"Stock Accr";#N/A,#N/A,FALSE,"Debt Stock Accr"}</definedName>
    <definedName name="wrn.Accr_Dil." localSheetId="3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cr_Dil._1" localSheetId="3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localSheetId="3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localSheetId="3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localSheetId="3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localSheetId="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localSheetId="3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localSheetId="3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localSheetId="3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localSheetId="3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localSheetId="3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localSheetId="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localSheetId="3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localSheetId="3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localSheetId="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localSheetId="3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localSheetId="3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localSheetId="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localSheetId="3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localSheetId="3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localSheetId="3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localSheetId="3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localSheetId="3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localSheetId="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localSheetId="3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localSheetId="3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localSheetId="3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localSheetId="3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localSheetId="3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localSheetId="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localSheetId="3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localSheetId="3" hidden="1">{"Accretion",#N/A,FALSE,"Assum"}</definedName>
    <definedName name="wrn.Accretion." hidden="1">{"Accretion",#N/A,FALSE,"Assum"}</definedName>
    <definedName name="wrn.ACK." localSheetId="3" hidden="1">{"Annual",#N/A,FALSE,"ACK";"Margins",#N/A,FALSE,"ACK";"Q",#N/A,FALSE,"QTRS."}</definedName>
    <definedName name="wrn.ACK." hidden="1">{"Annual",#N/A,FALSE,"ACK";"Margins",#N/A,FALSE,"ACK";"Q",#N/A,FALSE,"QTRS."}</definedName>
    <definedName name="wrn.AcqState." localSheetId="3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1" localSheetId="3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localSheetId="4" hidden="1">{"a_Acquiror Assumptions",#N/A,FALSE,"Financials";"b_Acquiror Income Statement",#N/A,FALSE,"Financials";"c_Acquiror Balance Sheet",#N/A,FALSE,"Financials";"d_Acquiror Cashflow Statement",#N/A,FALSE,"Financials"}</definedName>
    <definedName name="wrn.Acquiror.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localSheetId="4" hidden="1">{"a_Acquiror Assumptions",#N/A,FALSE,"Financials";"b_Acquiror Income Statement",#N/A,FALSE,"Financials";"c_Acquiror Balance Sheet",#N/A,FALSE,"Financials";"d_Acquiror Cashflow Statement",#N/A,FALSE,"Financials"}</definedName>
    <definedName name="wrn.Acquiror._1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 localSheetId="4" hidden="1">{"Acq_matrix",#N/A,FALSE,"Acquisition Matrix"}</definedName>
    <definedName name="wrn.Acquisition_matrix." localSheetId="3">{"Acq_matrix",#N/A,FALSE,"Acquisition Matrix"}</definedName>
    <definedName name="wrn.Acquisition_matrix.">{"Acq_matrix",#N/A,FALSE,"Acquisition Matrix"}</definedName>
    <definedName name="wrn.Acquisition_matrix._1" localSheetId="3" hidden="1">{"Acq_matrix",#N/A,FALSE,"Acquisition Matrix"}</definedName>
    <definedName name="wrn.Acquisition_matrix._1" hidden="1">{"Acq_matrix",#N/A,FALSE,"Acquisition Matrix"}</definedName>
    <definedName name="wrn.Acquisition_matrix._2" localSheetId="3" hidden="1">{"Acq_matrix",#N/A,FALSE,"Acquisition Matrix"}</definedName>
    <definedName name="wrn.Acquisition_matrix._2" hidden="1">{"Acq_matrix",#N/A,FALSE,"Acquisition Matrix"}</definedName>
    <definedName name="wrn.Acquisition_matrix._3" localSheetId="3" hidden="1">{"Acq_matrix",#N/A,FALSE,"Acquisition Matrix"}</definedName>
    <definedName name="wrn.Acquisition_matrix._3" hidden="1">{"Acq_matrix",#N/A,FALSE,"Acquisition Matrix"}</definedName>
    <definedName name="wrn.Acquisition_matrix._4" localSheetId="3" hidden="1">{"Acq_matrix",#N/A,FALSE,"Acquisition Matrix"}</definedName>
    <definedName name="wrn.Acquisition_matrix._4" hidden="1">{"Acq_matrix",#N/A,FALSE,"Acquisition Matrix"}</definedName>
    <definedName name="wrn.Acquisition_matrix._5" localSheetId="3" hidden="1">{"Acq_matrix",#N/A,FALSE,"Acquisition Matrix"}</definedName>
    <definedName name="wrn.Acquisition_matrix._5" hidden="1">{"Acq_matrix",#N/A,FALSE,"Acquisition Matrix"}</definedName>
    <definedName name="wrn.Acquisition_matrix_from_DBAB" localSheetId="3" hidden="1">{"Acq_matrix",#N/A,FALSE,"Acquisition Matrix"}</definedName>
    <definedName name="wrn.Acquisition_matrix_from_DBAB" hidden="1">{"Acq_matrix",#N/A,FALSE,"Acquisition Matrix"}</definedName>
    <definedName name="wrn.AcqVal." localSheetId="3" hidden="1">{#N/A,#N/A,FALSE,"Acq-Val";#N/A,#N/A,FALSE,"Acq-Mult Val"}</definedName>
    <definedName name="wrn.AcqVal." hidden="1">{#N/A,#N/A,FALSE,"Acq-Val";#N/A,#N/A,FALSE,"Acq-Mult Val"}</definedName>
    <definedName name="wrn.Actives." localSheetId="4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ives." localSheetId="3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localSheetId="3" hidden="1">{"Actual",#N/A,FALSE,"Actual"}</definedName>
    <definedName name="wrn.Actual." hidden="1">{"Actual",#N/A,FALSE,"Actual"}</definedName>
    <definedName name="wrn.Actual._.Data._.Entry." localSheetId="4" hidden="1">{#N/A,#N/A,FALSE,"Sales"}</definedName>
    <definedName name="wrn.Actual._.Data._.Entry." localSheetId="3" hidden="1">{#N/A,#N/A,FALSE,"Sales"}</definedName>
    <definedName name="wrn.Actual._.Data._.Entry." hidden="1">{#N/A,#N/A,FALSE,"Sales"}</definedName>
    <definedName name="wrn.Actual._.Data._.Entry._1" localSheetId="3" hidden="1">{#N/A,#N/A,FALSE,"Sales"}</definedName>
    <definedName name="wrn.Actual._.Data._.Entry._1" hidden="1">{#N/A,#N/A,FALSE,"Sales"}</definedName>
    <definedName name="wrn.Actual._.Data._.Entry._1_1" localSheetId="3" hidden="1">{#N/A,#N/A,FALSE,"Sales"}</definedName>
    <definedName name="wrn.Actual._.Data._.Entry._1_1" hidden="1">{#N/A,#N/A,FALSE,"Sales"}</definedName>
    <definedName name="wrn.Actual._.Data._.Entry._1_2" localSheetId="3" hidden="1">{#N/A,#N/A,FALSE,"Sales"}</definedName>
    <definedName name="wrn.Actual._.Data._.Entry._1_2" hidden="1">{#N/A,#N/A,FALSE,"Sales"}</definedName>
    <definedName name="wrn.Actual._.Data._.Entry._1_3" localSheetId="3" hidden="1">{#N/A,#N/A,FALSE,"Sales"}</definedName>
    <definedName name="wrn.Actual._.Data._.Entry._1_3" hidden="1">{#N/A,#N/A,FALSE,"Sales"}</definedName>
    <definedName name="wrn.Actual._.Data._.Entry._1_4" localSheetId="3" hidden="1">{#N/A,#N/A,FALSE,"Sales"}</definedName>
    <definedName name="wrn.Actual._.Data._.Entry._1_4" hidden="1">{#N/A,#N/A,FALSE,"Sales"}</definedName>
    <definedName name="wrn.Actual._.Data._.Entry._1_5" localSheetId="3" hidden="1">{#N/A,#N/A,FALSE,"Sales"}</definedName>
    <definedName name="wrn.Actual._.Data._.Entry._1_5" hidden="1">{#N/A,#N/A,FALSE,"Sales"}</definedName>
    <definedName name="wrn.Actual._.Data._.Entry._2" localSheetId="3" hidden="1">{#N/A,#N/A,FALSE,"Sales"}</definedName>
    <definedName name="wrn.Actual._.Data._.Entry._2" hidden="1">{#N/A,#N/A,FALSE,"Sales"}</definedName>
    <definedName name="wrn.Actual._.Data._.Entry._2_1" localSheetId="3" hidden="1">{#N/A,#N/A,FALSE,"Sales"}</definedName>
    <definedName name="wrn.Actual._.Data._.Entry._2_1" hidden="1">{#N/A,#N/A,FALSE,"Sales"}</definedName>
    <definedName name="wrn.Actual._.Data._.Entry._2_2" localSheetId="3" hidden="1">{#N/A,#N/A,FALSE,"Sales"}</definedName>
    <definedName name="wrn.Actual._.Data._.Entry._2_2" hidden="1">{#N/A,#N/A,FALSE,"Sales"}</definedName>
    <definedName name="wrn.Actual._.Data._.Entry._2_3" localSheetId="3" hidden="1">{#N/A,#N/A,FALSE,"Sales"}</definedName>
    <definedName name="wrn.Actual._.Data._.Entry._2_3" hidden="1">{#N/A,#N/A,FALSE,"Sales"}</definedName>
    <definedName name="wrn.Actual._.Data._.Entry._2_4" localSheetId="3" hidden="1">{#N/A,#N/A,FALSE,"Sales"}</definedName>
    <definedName name="wrn.Actual._.Data._.Entry._2_4" hidden="1">{#N/A,#N/A,FALSE,"Sales"}</definedName>
    <definedName name="wrn.Actual._.Data._.Entry._2_5" localSheetId="3" hidden="1">{#N/A,#N/A,FALSE,"Sales"}</definedName>
    <definedName name="wrn.Actual._.Data._.Entry._2_5" hidden="1">{#N/A,#N/A,FALSE,"Sales"}</definedName>
    <definedName name="wrn.Actual._.Data._.Entry._3" localSheetId="3" hidden="1">{#N/A,#N/A,FALSE,"Sales"}</definedName>
    <definedName name="wrn.Actual._.Data._.Entry._3" hidden="1">{#N/A,#N/A,FALSE,"Sales"}</definedName>
    <definedName name="wrn.Actual._.Data._.Entry._3_1" localSheetId="3" hidden="1">{#N/A,#N/A,FALSE,"Sales"}</definedName>
    <definedName name="wrn.Actual._.Data._.Entry._3_1" hidden="1">{#N/A,#N/A,FALSE,"Sales"}</definedName>
    <definedName name="wrn.Actual._.Data._.Entry._3_2" localSheetId="3" hidden="1">{#N/A,#N/A,FALSE,"Sales"}</definedName>
    <definedName name="wrn.Actual._.Data._.Entry._3_2" hidden="1">{#N/A,#N/A,FALSE,"Sales"}</definedName>
    <definedName name="wrn.Actual._.Data._.Entry._3_3" localSheetId="3" hidden="1">{#N/A,#N/A,FALSE,"Sales"}</definedName>
    <definedName name="wrn.Actual._.Data._.Entry._3_3" hidden="1">{#N/A,#N/A,FALSE,"Sales"}</definedName>
    <definedName name="wrn.Actual._.Data._.Entry._3_4" localSheetId="3" hidden="1">{#N/A,#N/A,FALSE,"Sales"}</definedName>
    <definedName name="wrn.Actual._.Data._.Entry._3_4" hidden="1">{#N/A,#N/A,FALSE,"Sales"}</definedName>
    <definedName name="wrn.Actual._.Data._.Entry._3_5" localSheetId="3" hidden="1">{#N/A,#N/A,FALSE,"Sales"}</definedName>
    <definedName name="wrn.Actual._.Data._.Entry._3_5" hidden="1">{#N/A,#N/A,FALSE,"Sales"}</definedName>
    <definedName name="wrn.Actual._.Data._.Entry._4" localSheetId="3" hidden="1">{#N/A,#N/A,FALSE,"Sales"}</definedName>
    <definedName name="wrn.Actual._.Data._.Entry._4" hidden="1">{#N/A,#N/A,FALSE,"Sales"}</definedName>
    <definedName name="wrn.Actual._.Data._.Entry._4_1" localSheetId="3" hidden="1">{#N/A,#N/A,FALSE,"Sales"}</definedName>
    <definedName name="wrn.Actual._.Data._.Entry._4_1" hidden="1">{#N/A,#N/A,FALSE,"Sales"}</definedName>
    <definedName name="wrn.Actual._.Data._.Entry._4_2" localSheetId="3" hidden="1">{#N/A,#N/A,FALSE,"Sales"}</definedName>
    <definedName name="wrn.Actual._.Data._.Entry._4_2" hidden="1">{#N/A,#N/A,FALSE,"Sales"}</definedName>
    <definedName name="wrn.Actual._.Data._.Entry._4_3" localSheetId="3" hidden="1">{#N/A,#N/A,FALSE,"Sales"}</definedName>
    <definedName name="wrn.Actual._.Data._.Entry._4_3" hidden="1">{#N/A,#N/A,FALSE,"Sales"}</definedName>
    <definedName name="wrn.Actual._.Data._.Entry._4_4" localSheetId="3" hidden="1">{#N/A,#N/A,FALSE,"Sales"}</definedName>
    <definedName name="wrn.Actual._.Data._.Entry._4_4" hidden="1">{#N/A,#N/A,FALSE,"Sales"}</definedName>
    <definedName name="wrn.Actual._.Data._.Entry._4_5" localSheetId="3" hidden="1">{#N/A,#N/A,FALSE,"Sales"}</definedName>
    <definedName name="wrn.Actual._.Data._.Entry._4_5" hidden="1">{#N/A,#N/A,FALSE,"Sales"}</definedName>
    <definedName name="wrn.Actual._.Data._.Entry._5" localSheetId="3" hidden="1">{#N/A,#N/A,FALSE,"Sales"}</definedName>
    <definedName name="wrn.Actual._.Data._.Entry._5" hidden="1">{#N/A,#N/A,FALSE,"Sales"}</definedName>
    <definedName name="wrn.Actual._.Data._.Entry._5_1" localSheetId="3" hidden="1">{#N/A,#N/A,FALSE,"Sales"}</definedName>
    <definedName name="wrn.Actual._.Data._.Entry._5_1" hidden="1">{#N/A,#N/A,FALSE,"Sales"}</definedName>
    <definedName name="wrn.Actual._.Data._.Entry._5_2" localSheetId="3" hidden="1">{#N/A,#N/A,FALSE,"Sales"}</definedName>
    <definedName name="wrn.Actual._.Data._.Entry._5_2" hidden="1">{#N/A,#N/A,FALSE,"Sales"}</definedName>
    <definedName name="wrn.Actual._.Data._.Entry._5_3" localSheetId="3" hidden="1">{#N/A,#N/A,FALSE,"Sales"}</definedName>
    <definedName name="wrn.Actual._.Data._.Entry._5_3" hidden="1">{#N/A,#N/A,FALSE,"Sales"}</definedName>
    <definedName name="wrn.Actual._.Data._.Entry._5_4" localSheetId="3" hidden="1">{#N/A,#N/A,FALSE,"Sales"}</definedName>
    <definedName name="wrn.Actual._.Data._.Entry._5_4" hidden="1">{#N/A,#N/A,FALSE,"Sales"}</definedName>
    <definedName name="wrn.Actual._.Data._.Entry._5_5" localSheetId="3" hidden="1">{#N/A,#N/A,FALSE,"Sales"}</definedName>
    <definedName name="wrn.Actual._.Data._.Entry._5_5" hidden="1">{#N/A,#N/A,FALSE,"Sales"}</definedName>
    <definedName name="wrn.adj95." localSheetId="4" hidden="1">{"adj95mult",#N/A,FALSE,"COMPCO";"adj95est",#N/A,FALSE,"COMPCO"}</definedName>
    <definedName name="wrn.adj95." localSheetId="3">{"adj95mult",#N/A,FALSE,"COMPCO";"adj95est",#N/A,FALSE,"COMPCO"}</definedName>
    <definedName name="wrn.adj95.">{"adj95mult",#N/A,FALSE,"COMPCO";"adj95est",#N/A,FALSE,"COMPCO"}</definedName>
    <definedName name="wrn.adj95._from_DBAB" localSheetId="3" hidden="1">{"adj95mult",#N/A,FALSE,"COMPCO";"adj95est",#N/A,FALSE,"COMPCO"}</definedName>
    <definedName name="wrn.adj95._from_DBAB" hidden="1">{"adj95mult",#N/A,FALSE,"COMPCO";"adj95est",#N/A,FALSE,"COMPCO"}</definedName>
    <definedName name="wrn.adj95a" localSheetId="4" hidden="1">{"adj95mult",#N/A,FALSE,"COMPCO";"adj95est",#N/A,FALSE,"COMPCO"}</definedName>
    <definedName name="wrn.adj95a" localSheetId="3" hidden="1">{"adj95mult",#N/A,FALSE,"COMPCO";"adj95est",#N/A,FALSE,"COMPCO"}</definedName>
    <definedName name="wrn.adj95a" hidden="1">{"adj95mult",#N/A,FALSE,"COMPCO";"adj95est",#N/A,FALSE,"COMPCO"}</definedName>
    <definedName name="wrn.Adjusted._.Mod._.Managed." localSheetId="4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Mod._.Managed." localSheetId="3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localSheetId="4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Optimal." localSheetId="3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localSheetId="4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djusted._.Unmanaged." localSheetId="3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localSheetId="3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localSheetId="4" hidden="1">{"P&amp;L",#N/A,TRUE,"Summary";"Bal",#N/A,TRUE,"Summary";"Cash",#N/A,TRUE,"Summary"}</definedName>
    <definedName name="wrn.Afimilk." localSheetId="3" hidden="1">{"P&amp;L",#N/A,TRUE,"Summary";"Bal",#N/A,TRUE,"Summary";"Cash",#N/A,TRUE,"Summary"}</definedName>
    <definedName name="wrn.Afimilk." hidden="1">{"P&amp;L",#N/A,TRUE,"Summary";"Bal",#N/A,TRUE,"Summary";"Cash",#N/A,TRUE,"Summary"}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3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3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3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localSheetId="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localSheetId="3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localSheetId="3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localSheetId="3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localSheetId="3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localSheetId="3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localSheetId="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localSheetId="3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localSheetId="3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localSheetId="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localSheetId="3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localSheetId="3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localSheetId="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localSheetId="3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localSheetId="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localSheetId="3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localSheetId="3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localSheetId="3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localSheetId="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localSheetId="3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localSheetId="3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localSheetId="3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localSheetId="3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localSheetId="3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localSheetId="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localSheetId="3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localSheetId="3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localSheetId="3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localSheetId="3" hidden="1">{"QTRINC",#N/A,FALSE,"QTRINC";"MARGIN",#N/A,FALSE,"MARGIN";"CASHFLOW",#N/A,FALSE,"CASHFLOW"}</definedName>
    <definedName name="wrn.AHP._.MODELS." hidden="1">{"QTRINC",#N/A,FALSE,"QTRINC";"MARGIN",#N/A,FALSE,"MARGIN";"CASHFLOW",#N/A,FALSE,"CASHFLOW"}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localSheetId="3" hidden="1">{"model",#N/A,TRUE,"Model";"capital",#N/A,TRUE,"Capital";"o and m",#N/A,TRUE,"O&amp;M"}</definedName>
    <definedName name="wrn.all" hidden="1">{"model",#N/A,TRUE,"Model";"capital",#N/A,TRUE,"Capital";"o and m",#N/A,TRUE,"O&amp;M"}</definedName>
    <definedName name="wrn.All." localSheetId="4" hidden="1">{#N/A,#N/A,FALSE,"Comp Co";#N/A,#N/A,FALSE,"Debt &amp; Competitive Analysis";#N/A,#N/A,FALSE,"Grove Model";#N/A,#N/A,FALSE,"T&amp;C Model"}</definedName>
    <definedName name="wrn.All." localSheetId="3">{"Matrix",#N/A,FALSE,"ACQMTRX";"Fees",#N/A,FALSE,"ACQMTRX"}</definedName>
    <definedName name="wrn.All.">{"Matrix",#N/A,FALSE,"ACQMTRX";"Fees",#N/A,FALSE,"ACQMTRX"}</definedName>
    <definedName name="wrn.all._.3._.years." localSheetId="3" hidden="1">{#N/A,#N/A,FALSE,"Worldwide FY00";#N/A,#N/A,FALSE,"Worldwide FY01";#N/A,#N/A,FALSE,"Worldwide FY02"}</definedName>
    <definedName name="wrn.all._.3._.years." hidden="1">{#N/A,#N/A,FALSE,"Worldwide FY00";#N/A,#N/A,FALSE,"Worldwide FY01";#N/A,#N/A,FALSE,"Worldwide FY02"}</definedName>
    <definedName name="wrn.All._.Agings._.with._.Excess._.Cash." localSheetId="4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" localSheetId="3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localSheetId="4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localSheetId="3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localSheetId="4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Audit." localSheetId="3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localSheetId="3" hidden="1">{"SAS-COGS",#N/A,FALSE,"COGS-Inventory";"UVD-COGS",#N/A,FALSE,"COGS-Inventory";"CMS-COGS",#N/A,FALSE,"COGS-Inventory";"POL-COGS",#N/A,FALSE,"COGS-Inventory"}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localSheetId="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localSheetId="3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3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localSheetId="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untries." localSheetId="3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localSheetId="3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3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localSheetId="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localSheetId="3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localSheetId="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localSheetId="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localSheetId="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localSheetId="3" hidden="1">{#N/A,#N/A,FALSE,"Asia";#N/A,#N/A,FALSE,"Moralco";#N/A,#N/A,FALSE,"AKL";#N/A,#N/A,FALSE,"Australia";#N/A,#N/A,FALSE,"Qingdao";#N/A,#N/A,FALSE,"Falta"}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localSheetId="3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localSheetId="3" hidden="1">{#N/A,#N/A,FALSE,"inc state";#N/A,#N/A,FALSE,"Products";#N/A,#N/A,FALSE,"bal sht"}</definedName>
    <definedName name="wrn.All._.Models." hidden="1">{#N/A,#N/A,FALSE,"inc state";#N/A,#N/A,FALSE,"Products";#N/A,#N/A,FALSE,"bal sht"}</definedName>
    <definedName name="wrn.ALL._.PAGES." localSheetId="4" hidden="1">{#N/A,#N/A,FALSE,"puboff";#N/A,#N/A,FALSE,"financials";#N/A,#N/A,FALSE,"valuation";#N/A,#N/A,FALSE,"split"}</definedName>
    <definedName name="wrn.ALL._.PAGES." localSheetId="3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Pages._1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localSheetId="3" hidden="1">{#N/A,#N/A,FALSE,"puboff";#N/A,#N/A,FALSE,"financials";#N/A,#N/A,FALSE,"valuation";#N/A,#N/A,FALSE,"split"}</definedName>
    <definedName name="wrn.ALL._.PAGES._1_1" hidden="1">{#N/A,#N/A,FALSE,"puboff";#N/A,#N/A,FALSE,"financials";#N/A,#N/A,FALSE,"valuation";#N/A,#N/A,FALSE,"split"}</definedName>
    <definedName name="wrn.ALL._.PAGES._1_2" localSheetId="3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localSheetId="3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localSheetId="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localSheetId="3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localSheetId="3" hidden="1">{#N/A,#N/A,FALSE,"puboff";#N/A,#N/A,FALSE,"financials";#N/A,#N/A,FALSE,"valuation";#N/A,#N/A,FALSE,"split"}</definedName>
    <definedName name="wrn.ALL._.PAGES._2_1" hidden="1">{#N/A,#N/A,FALSE,"puboff";#N/A,#N/A,FALSE,"financials";#N/A,#N/A,FALSE,"valuation";#N/A,#N/A,FALSE,"split"}</definedName>
    <definedName name="wrn.ALL._.PAGES._2_2" localSheetId="3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localSheetId="3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localSheetId="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localSheetId="3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localSheetId="3" hidden="1">{#N/A,#N/A,FALSE,"puboff";#N/A,#N/A,FALSE,"financials";#N/A,#N/A,FALSE,"valuation";#N/A,#N/A,FALSE,"split"}</definedName>
    <definedName name="wrn.ALL._.PAGES._3_1" hidden="1">{#N/A,#N/A,FALSE,"puboff";#N/A,#N/A,FALSE,"financials";#N/A,#N/A,FALSE,"valuation";#N/A,#N/A,FALSE,"split"}</definedName>
    <definedName name="wrn.ALL._.PAGES._3_2" localSheetId="3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localSheetId="3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localSheetId="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localSheetId="3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localSheetId="3" hidden="1">{#N/A,#N/A,FALSE,"puboff";#N/A,#N/A,FALSE,"financials";#N/A,#N/A,FALSE,"valuation";#N/A,#N/A,FALSE,"split"}</definedName>
    <definedName name="wrn.ALL._.PAGES._4_1" hidden="1">{#N/A,#N/A,FALSE,"puboff";#N/A,#N/A,FALSE,"financials";#N/A,#N/A,FALSE,"valuation";#N/A,#N/A,FALSE,"split"}</definedName>
    <definedName name="wrn.ALL._.PAGES._4_2" localSheetId="3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localSheetId="3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localSheetId="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localSheetId="3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localSheetId="3" hidden="1">{#N/A,#N/A,FALSE,"puboff";#N/A,#N/A,FALSE,"financials";#N/A,#N/A,FALSE,"valuation";#N/A,#N/A,FALSE,"split"}</definedName>
    <definedName name="wrn.ALL._.PAGES._5_1" hidden="1">{#N/A,#N/A,FALSE,"puboff";#N/A,#N/A,FALSE,"financials";#N/A,#N/A,FALSE,"valuation";#N/A,#N/A,FALSE,"split"}</definedName>
    <definedName name="wrn.ALL._.PAGES._5_2" localSheetId="3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localSheetId="3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localSheetId="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localSheetId="3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localSheetId="3" hidden="1">{"Sep 98 Segment PnL",#N/A,FALSE,"Full Income Statements";"Sep 99 Segment PnL",#N/A,FALSE,"Full Income Statements";"Sep 98 PnL",#N/A,FALSE,"Full Income Statements";"Sep 99 PnL",#N/A,FALSE,"Full Income Statements"}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localSheetId="4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Reports." localSheetId="3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localSheetId="3" hidden="1">{#N/A,#N/A,FALSE,"Comparison";#N/A,#N/A,FALSE,"Base Case";#N/A,#N/A,FALSE,"Alternative #1";#N/A,#N/A,FALSE,"Alternative #2"}</definedName>
    <definedName name="wrn.All._.Scenario._.Report." hidden="1">{#N/A,#N/A,FALSE,"Comparison";#N/A,#N/A,FALSE,"Base Case";#N/A,#N/A,FALSE,"Alternative #1";#N/A,#N/A,FALSE,"Alternative #2"}</definedName>
    <definedName name="wrn.All._.Scenarios." localSheetId="3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localSheetId="3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localSheetId="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localSheetId="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localSheetId="3" hidden="1">{#N/A,#N/A,FALSE,"Trends";#N/A,#N/A,FALSE,"As Reported";#N/A,#N/A,FALSE,"(un) Commited"}</definedName>
    <definedName name="wrn.all._.slides." hidden="1">{#N/A,#N/A,FALSE,"Trends";#N/A,#N/A,FALSE,"As Reported";#N/A,#N/A,FALSE,"(un) Commited"}</definedName>
    <definedName name="wrn.ALL._.STMTS." localSheetId="3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localSheetId="3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localSheetId="4" hidden="1">{"Main Tables","Base Case",TRUE,"Financials";"Main Tables",#N/A,TRUE,"Capital"}</definedName>
    <definedName name="wrn.All._.Tables._.Base._.Case." localSheetId="3" hidden="1">{"Main Tables","Base Case",TRUE,"Financials";"Main Tables",#N/A,TRUE,"Capital"}</definedName>
    <definedName name="wrn.All._.Tables._.Base._.Case." hidden="1">{"Main Tables","Base Case",TRUE,"Financials";"Main Tables",#N/A,TRUE,"Capital"}</definedName>
    <definedName name="wrn.all._.views." localSheetId="3" hidden="1">{"vol data",#N/A,FALSE,"Datasheet";"vol graph",#N/A,FALSE,"Volume";"price data",#N/A,FALSE,"Datasheet";"price graph",#N/A,FALSE,"Price";"dp data",#N/A,FALSE,"Datasheet";"dp graph",#N/A,FALSE,"DirectProfit"}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localSheetId="3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3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localSheetId="3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localSheetId="3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localSheetId="4" hidden="1">{"SCH35",#N/A,FALSE,"5X3";"SCH36",#N/A,FALSE,"5X3";"SCH37",#N/A,FALSE,"5X3";"SCH38",#N/A,FALSE,"5X3";"SCH39A",#N/A,FALSE,"5X3";"SCH39B",#N/A,FALSE,"5X3";"SCH40",#N/A,FALSE,"5X3"}</definedName>
    <definedName name="wrn.ALL.FIN2." localSheetId="3" hidden="1">{"SCH35",#N/A,FALSE,"5X3";"SCH36",#N/A,FALSE,"5X3";"SCH37",#N/A,FALSE,"5X3";"SCH38",#N/A,FALSE,"5X3";"SCH39A",#N/A,FALSE,"5X3";"SCH39B",#N/A,FALSE,"5X3";"SCH40",#N/A,FALSE,"5X3"}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 localSheetId="3">{"Merger Conseq","Pooling",FALSE,"MERGECON-Purchase or Pooling";"Merger Conseq","Purchase - 100% Stock",FALSE,"MERGECON-Purchase or Pooling";"Merger Conseq","Purchase - 50%/50%",FALSE,"MERGECON-Purchase or Pooling"}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localSheetId="4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localSheetId="3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localSheetId="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3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localSheetId="4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localSheetId="3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localSheetId="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4" hidden="1">{#N/A,#N/A,FALSE,"Comp Co";#N/A,#N/A,FALSE,"Debt &amp; Competitive Analysis";#N/A,#N/A,FALSE,"Grove Model";#N/A,#N/A,FALSE,"T&amp;C Model"}</definedName>
    <definedName name="wrn.all1" localSheetId="3" hidden="1">{#N/A,#N/A,FALSE,"Comp Co";#N/A,#N/A,FALSE,"Debt &amp; Competitive Analysis";#N/A,#N/A,FALSE,"Grove Model";#N/A,#N/A,FALSE,"T&amp;C Model"}</definedName>
    <definedName name="wrn.all1" hidden="1">{#N/A,#N/A,FALSE,"Comp Co";#N/A,#N/A,FALSE,"Debt &amp; Competitive Analysis";#N/A,#N/A,FALSE,"Grove Model";#N/A,#N/A,FALSE,"T&amp;C Model"}</definedName>
    <definedName name="wrn.ALL2." localSheetId="3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localSheetId="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localSheetId="3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3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3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3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localSheetId="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localSheetId="3" hidden="1">{#N/A,#N/A,FALSE,"Balance Sheet";#N/A,#N/A,FALSE,"Income Statement";#N/A,#N/A,FALSE,"Changes in Financial Position"}</definedName>
    <definedName name="wrn.AllDataPages." hidden="1">{#N/A,#N/A,FALSE,"Balance Sheet";#N/A,#N/A,FALSE,"Income Statement";#N/A,#N/A,FALSE,"Changes in Financial Position"}</definedName>
    <definedName name="wrn.AllModels." localSheetId="4" hidden="1">{#N/A,#N/A,FALSE,"AD_Purchase";#N/A,#N/A,FALSE,"Credit";#N/A,#N/A,FALSE,"PF Acquisition";#N/A,#N/A,FALSE,"PF Offering"}</definedName>
    <definedName name="wrn.AllModels." localSheetId="3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Models._1" localSheetId="3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localSheetId="3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localSheetId="3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localSheetId="3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localSheetId="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localSheetId="3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localSheetId="3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localSheetId="3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localSheetId="3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localSheetId="3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localSheetId="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localSheetId="3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localSheetId="3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localSheetId="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localSheetId="3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localSheetId="3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localSheetId="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localSheetId="3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localSheetId="3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localSheetId="3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localSheetId="3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localSheetId="3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localSheetId="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localSheetId="3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localSheetId="3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localSheetId="3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localSheetId="3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localSheetId="3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localSheetId="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localSheetId="3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localSheetId="3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lpages._1" localSheetId="3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localSheetId="3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localSheetId="3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localSheetId="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localSheetId="3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localSheetId="3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localSheetId="4" hidden="1">{#N/A,#N/A,TRUE,"91AMTNOL";#N/A,#N/A,TRUE,"92AMTNOL";#N/A,#N/A,TRUE,"93AMTNOL"}</definedName>
    <definedName name="wrn.AMTNOL." localSheetId="3" hidden="1">{#N/A,#N/A,TRUE,"91AMTNOL";#N/A,#N/A,TRUE,"92AMTNOL";#N/A,#N/A,TRUE,"93AMTNOL"}</definedName>
    <definedName name="wrn.AMTNOL." hidden="1">{#N/A,#N/A,TRUE,"91AMTNOL";#N/A,#N/A,TRUE,"92AMTNOL";#N/A,#N/A,TRUE,"93AMTNOL"}</definedName>
    <definedName name="wrn.Analysis." localSheetId="3" hidden="1">{"ratios",#N/A,FALSE,"Analyse";"multiples",#N/A,FALSE,"Analyse";"places",#N/A,FALSE,"Analyse"}</definedName>
    <definedName name="wrn.Analysis." hidden="1">{"ratios",#N/A,FALSE,"Analyse";"multiples",#N/A,FALSE,"Analyse";"places",#N/A,FALSE,"Analyse"}</definedName>
    <definedName name="wrn.Analytic." localSheetId="3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localSheetId="3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localSheetId="3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localSheetId="3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localSheetId="3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localSheetId="3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localSheetId="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localSheetId="3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localSheetId="3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localSheetId="3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localSheetId="3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localSheetId="3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localSheetId="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localSheetId="3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localSheetId="3" hidden="1">{"ISP1Y5",#N/A,TRUE,"Template";"ISP2Y5",#N/A,TRUE,"Template";"BSY5",#N/A,TRUE,"Template";"ICFY5",#N/A,TRUE,"Template";"TPY5",#N/A,TRUE,"Template";"CtrlY5",#N/A,TRUE,"Template"}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localSheetId="4" hidden="1">{"Annual",#N/A,FALSE,"Sales &amp; Market";"Quarterly",#N/A,FALSE,"Sales &amp; Market"}</definedName>
    <definedName name="wrn.Annual_n_Quarterly." localSheetId="3" hidden="1">{"Annual",#N/A,FALSE,"Sales &amp; Market";"Quarterly",#N/A,FALSE,"Sales &amp; Market"}</definedName>
    <definedName name="wrn.Annual_n_Quarterly." hidden="1">{"Annual",#N/A,FALSE,"Sales &amp; Market";"Quarterly",#N/A,FALSE,"Sales &amp; Market"}</definedName>
    <definedName name="wrn.Annual_n_Quarterly._1" localSheetId="3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localSheetId="3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localSheetId="3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localSheetId="3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localSheetId="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localSheetId="3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localSheetId="3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localSheetId="3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localSheetId="3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localSheetId="3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localSheetId="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localSheetId="3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localSheetId="3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localSheetId="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localSheetId="3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localSheetId="3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localSheetId="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localSheetId="3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localSheetId="3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localSheetId="3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localSheetId="3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localSheetId="3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localSheetId="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localSheetId="3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localSheetId="3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localSheetId="3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localSheetId="3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localSheetId="3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localSheetId="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localSheetId="3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localSheetId="3" hidden="1">{#N/A,#N/A,FALSE,"Sheet1"}</definedName>
    <definedName name="wrn.annualpl." hidden="1">{#N/A,#N/A,FALSE,"Sheet1"}</definedName>
    <definedName name="wrn.ANOC." localSheetId="3" hidden="1">{"MONTHPLAN",#N/A,FALSE,"DETAIL REPORT";"MONTHPRIOR",#N/A,FALSE,"DETAIL REPORT";"YTDPLAN",#N/A,FALSE,"DETAIL REPORT";"YTDPRIOR",#N/A,FALSE,"DETAIL REPORT"}</definedName>
    <definedName name="wrn.ANOC." hidden="1">{"MONTHPLAN",#N/A,FALSE,"DETAIL REPORT";"MONTHPRIOR",#N/A,FALSE,"DETAIL REPORT";"YTDPLAN",#N/A,FALSE,"DETAIL REPORT";"YTDPRIOR",#N/A,FALSE,"DETAIL REPORT"}</definedName>
    <definedName name="wrn.AOE._.Mktg." localSheetId="3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localSheetId="3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localSheetId="3" hidden="1">{"Page1",#N/A,FALSE,"APCT";"Page2",#N/A,FALSE,"APCT"}</definedName>
    <definedName name="wrn.APCT." hidden="1">{"Page1",#N/A,FALSE,"APCT";"Page2",#N/A,FALSE,"APCT"}</definedName>
    <definedName name="wrn.APL." localSheetId="3" hidden="1">{"Page1",#N/A,FALSE,"APL";"Page2",#N/A,FALSE,"APL"}</definedName>
    <definedName name="wrn.APL." hidden="1">{"Page1",#N/A,FALSE,"APL";"Page2",#N/A,FALSE,"APL"}</definedName>
    <definedName name="wrn.APPROPRIATION." localSheetId="3" hidden="1">{"appropriation",#N/A,FALSE,"APPROP"}</definedName>
    <definedName name="wrn.APPROPRIATION." hidden="1">{"appropriation",#N/A,FALSE,"APPROP"}</definedName>
    <definedName name="wrn.APRIL." localSheetId="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 localSheetId="4" hidden="1">{"AQUIRORDCF",#N/A,FALSE,"Merger consequences";"Acquirorassns",#N/A,FALSE,"Merger consequences"}</definedName>
    <definedName name="wrn.AQUIROR._.DCF." localSheetId="3">{"AQUIRORDCF",#N/A,FALSE,"Merger consequences";"Acquirorassns",#N/A,FALSE,"Merger consequences"}</definedName>
    <definedName name="wrn.AQUIROR._.DCF.">{"AQUIRORDCF",#N/A,FALSE,"Merger consequences";"Acquirorassns",#N/A,FALSE,"Merger consequences"}</definedName>
    <definedName name="wrn.AQUIROR._.DCF._1" localSheetId="3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localSheetId="3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localSheetId="3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localSheetId="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localSheetId="3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localSheetId="3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localSheetId="3" hidden="1">{"ARGON PRICING",#N/A,FALSE,"ARGON"}</definedName>
    <definedName name="wrn.ARGON._.PRICING." hidden="1">{"ARGON PRICING",#N/A,FALSE,"ARGON"}</definedName>
    <definedName name="wrn.ARGON._.REVENUE." localSheetId="3" hidden="1">{"ARGON REVENUE",#N/A,FALSE,"ARGON"}</definedName>
    <definedName name="wrn.ARGON._.REVENUE." hidden="1">{"ARGON REVENUE",#N/A,FALSE,"ARGON"}</definedName>
    <definedName name="wrn.ARGON._.VOLUME." localSheetId="3" hidden="1">{"ARGON VOLUME",#N/A,FALSE,"ARGON"}</definedName>
    <definedName name="wrn.ARGON._.VOLUME." hidden="1">{"ARGON VOLUME",#N/A,FALSE,"ARGON"}</definedName>
    <definedName name="wrn.ARGON_VOL" localSheetId="3" hidden="1">{"ARGON VOLUME",#N/A,FALSE,"ARGON"}</definedName>
    <definedName name="wrn.ARGON_VOL" hidden="1">{"ARGON VOLUME",#N/A,FALSE,"ARGON"}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localSheetId="3" hidden="1">{#N/A,#N/A,FALSE,"Asia"}</definedName>
    <definedName name="wrn.Asia._.Total._.Variance." hidden="1">{#N/A,#N/A,FALSE,"Asia"}</definedName>
    <definedName name="wrn.Asia.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localSheetId="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localSheetId="3" hidden="1">{#N/A,#N/A,FALSE,"UK";#N/A,#N/A,FALSE,"BA";#N/A,#N/A,FALSE,"VZ"}</definedName>
    <definedName name="wrn.Associates._.International." hidden="1">{#N/A,#N/A,FALSE,"UK";#N/A,#N/A,FALSE,"BA";#N/A,#N/A,FALSE,"VZ"}</definedName>
    <definedName name="wrn.Associates._.Ontario." localSheetId="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localSheetId="3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localSheetId="3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localSheetId="3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localSheetId="3" hidden="1">{"casespecific",#N/A,FALSE,"Assumptions"}</definedName>
    <definedName name="wrn.assumptions." hidden="1">{"casespecific",#N/A,FALSE,"Assumptions"}</definedName>
    <definedName name="wrn.assumptions._1" localSheetId="3" hidden="1">{"baseassum",#N/A,FALSE,"BASEDCF";"bassum2",#N/A,FALSE,"BASEDCF";"hmix",#N/A,FALSE,"BASEDCF"}</definedName>
    <definedName name="wrn.assumptions._1" hidden="1">{"baseassum",#N/A,FALSE,"BASEDCF";"bassum2",#N/A,FALSE,"BASEDCF";"hmix",#N/A,FALSE,"BASEDCF"}</definedName>
    <definedName name="wrn.assumptions._1_1" localSheetId="3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localSheetId="3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localSheetId="3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localSheetId="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localSheetId="3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localSheetId="3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localSheetId="3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localSheetId="3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localSheetId="3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localSheetId="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localSheetId="3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localSheetId="3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localSheetId="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localSheetId="3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localSheetId="3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localSheetId="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localSheetId="3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localSheetId="3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localSheetId="3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localSheetId="3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localSheetId="3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localSheetId="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localSheetId="3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localSheetId="3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localSheetId="3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localSheetId="3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localSheetId="3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localSheetId="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localSheetId="3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localSheetId="4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dit._.adjustments." localSheetId="3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localSheetId="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localSheetId="3" hidden="1">{#N/A,#N/A,FALSE,"Sheet1"}</definedName>
    <definedName name="wrn.Auto._.Comp." hidden="1">{#N/A,#N/A,FALSE,"Sheet1"}</definedName>
    <definedName name="wrn.Auto._.Comp1" localSheetId="3" hidden="1">{#N/A,#N/A,FALSE,"Sheet1"}</definedName>
    <definedName name="wrn.Auto._.Comp1" hidden="1">{#N/A,#N/A,FALSE,"Sheet1"}</definedName>
    <definedName name="wrn.Auto._.Comp2." localSheetId="3" hidden="1">{#N/A,#N/A,FALSE,"Sheet1"}</definedName>
    <definedName name="wrn.Auto._.Comp2." hidden="1">{#N/A,#N/A,FALSE,"Sheet1"}</definedName>
    <definedName name="wrn.Auto._.IOE._.Mktg." localSheetId="3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localSheetId="3" hidden="1">{"away stand alones",#N/A,FALSE,"Target"}</definedName>
    <definedName name="wrn.away." hidden="1">{"away stand alones",#N/A,FALSE,"Target"}</definedName>
    <definedName name="wrn.B.._.1263._.yr2." localSheetId="3" hidden="1">{#N/A,#N/A,FALSE,"1263 yr2"}</definedName>
    <definedName name="wrn.B.._.1263._.yr2." hidden="1">{#N/A,#N/A,FALSE,"1263 yr2"}</definedName>
    <definedName name="wrn.Back._.Page." localSheetId="3" hidden="1">{"Back Page",#N/A,FALSE,"Front and Back"}</definedName>
    <definedName name="wrn.Back._.Page." hidden="1">{"Back Page",#N/A,FALSE,"Front and Back"}</definedName>
    <definedName name="wrn.backup." localSheetId="4" hidden="1">{"background",#N/A,FALSE,"CS First Boston Merger Model";"inputs",#N/A,FALSE,"CS First Boston Merger Model"}</definedName>
    <definedName name="wrn.backup." localSheetId="3">{"background",#N/A,FALSE,"CS First Boston Merger Model";"inputs",#N/A,FALSE,"CS First Boston Merger Model"}</definedName>
    <definedName name="wrn.backup.">{"background",#N/A,FALSE,"CS First Boston Merger Model";"inputs",#N/A,FALSE,"CS First Boston Merger Model"}</definedName>
    <definedName name="wrn.balance._.france.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localSheetId="3" hidden="1">{"bs",#N/A,FALSE,"SCF"}</definedName>
    <definedName name="wrn.balance._.sheet." hidden="1">{"bs",#N/A,FALSE,"SCF"}</definedName>
    <definedName name="wrn.BALANCE._.SHEET._.ALL." localSheetId="3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localSheetId="4" hidden="1">{"Balance sheet",#N/A,FALSE,"P&amp;L";"P&amp;L",#N/A,FALSE,"P&amp;L"}</definedName>
    <definedName name="wrn.Balance._.sheet._.and._.P_L." localSheetId="3" hidden="1">{"Balance sheet",#N/A,FALSE,"P&amp;L";"P&amp;L",#N/A,FALSE,"P&amp;L"}</definedName>
    <definedName name="wrn.Balance._.sheet._.and._.P_L." hidden="1">{"Balance sheet",#N/A,FALSE,"P&amp;L";"P&amp;L",#N/A,FALSE,"P&amp;L"}</definedName>
    <definedName name="wrn.BALANCE._.SHEET._.EX._.US." localSheetId="3" hidden="1">{"balance sheet ex",#N/A,FALSE,"Bal. Sht.- Work Cap"}</definedName>
    <definedName name="wrn.BALANCE._.SHEET._.EX._.US." hidden="1">{"balance sheet ex",#N/A,FALSE,"Bal. Sht.- Work Cap"}</definedName>
    <definedName name="wrn.BALANCE._.SHEET._.OTHER." localSheetId="3" hidden="1">{"balance sheet other",#N/A,FALSE,"Bal. Sht.- Work Cap"}</definedName>
    <definedName name="wrn.BALANCE._.SHEET._.OTHER." hidden="1">{"balance sheet other",#N/A,FALSE,"Bal. Sht.- Work Cap"}</definedName>
    <definedName name="wrn.Balance._.Sheet._.Set." localSheetId="3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localSheetId="3" hidden="1">{"balance sheet us",#N/A,FALSE,"Bal. Sht.- Work Cap"}</definedName>
    <definedName name="wrn.BALANCE._.SHEET._.US." hidden="1">{"balance sheet us",#N/A,FALSE,"Bal. Sht.- Work Cap"}</definedName>
    <definedName name="wrn.BALANCE._.SHEET._.WW." localSheetId="3" hidden="1">{"balance sheet ww",#N/A,FALSE,"Bal. Sht.- Work Cap"}</definedName>
    <definedName name="wrn.BALANCE._.SHEET._.WW." hidden="1">{"balance sheet ww",#N/A,FALSE,"Bal. Sht.- Work Cap"}</definedName>
    <definedName name="wrn.BALANCING." localSheetId="3" hidden="1">{#N/A,#N/A,TRUE,"96ANALYS"}</definedName>
    <definedName name="wrn.BALANCING." hidden="1">{#N/A,#N/A,TRUE,"96ANALYS"}</definedName>
    <definedName name="wrn.balsheet." localSheetId="3" hidden="1">{"ICDANDNONDIV",#N/A,FALSE,"BSALLNOW.XLS";"polyandpurperf",#N/A,FALSE,"BSALLNOW.XLS"}</definedName>
    <definedName name="wrn.balsheet." hidden="1">{"ICDANDNONDIV",#N/A,FALSE,"BSALLNOW.XLS";"polyandpurperf",#N/A,FALSE,"BSALLNOW.XLS"}</definedName>
    <definedName name="wrn.Bank._.Report." localSheetId="4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localSheetId="3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localSheetId="4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localSheetId="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localSheetId="3" hidden="1">{#N/A,#N/A,FALSE,"P&amp;L";#N/A,#N/A,FALSE,"BalSheet";#N/A,#N/A,FALSE,"EBITDA";#N/A,#N/A,FALSE,"Assumptions";#N/A,#N/A,FALSE,"CashFlows"}</definedName>
    <definedName name="wrn.Base._.Case." hidden="1">{#N/A,#N/A,FALSE,"P&amp;L";#N/A,#N/A,FALSE,"BalSheet";#N/A,#N/A,FALSE,"EBITDA";#N/A,#N/A,FALSE,"Assumptions";#N/A,#N/A,FALSE,"CashFlows"}</definedName>
    <definedName name="wrn.Basic." localSheetId="4" hidden="1">{#N/A,#N/A,FALSE,"Cover";#N/A,#N/A,FALSE,"Assumptions";#N/A,#N/A,FALSE,"Acquirer";#N/A,#N/A,FALSE,"Target";#N/A,#N/A,FALSE,"Income Statement";#N/A,#N/A,FALSE,"Summary Tables"}</definedName>
    <definedName name="wrn.Basic." localSheetId="3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localSheetId="3" hidden="1">{#N/A,#N/A,FALSE,"Valuation";#N/A,#N/A,FALSE,"MLP Impact"}</definedName>
    <definedName name="wrn.Basic._.Print._.Value._.MLP." hidden="1">{#N/A,#N/A,FALSE,"Valuation";#N/A,#N/A,FALSE,"MLP Impact"}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localSheetId="3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localSheetId="3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localSheetId="3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localSheetId="3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localSheetId="3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localSheetId="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localSheetId="3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localSheetId="3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localSheetId="3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localSheetId="3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localSheetId="3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localSheetId="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localSheetId="3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localSheetId="3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localSheetId="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localSheetId="3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localSheetId="3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localSheetId="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localSheetId="3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localSheetId="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localSheetId="3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localSheetId="3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localSheetId="3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localSheetId="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localSheetId="3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localSheetId="3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localSheetId="3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localSheetId="3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localSheetId="3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localSheetId="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localSheetId="3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localSheetId="3" hidden="1">{"assets",#N/A,FALSE,"historicBS";"liab",#N/A,FALSE,"historicBS";"is",#N/A,FALSE,"historicIS";"ratios",#N/A,FALSE,"ratios"}</definedName>
    <definedName name="wrn.basicfin." hidden="1">{"assets",#N/A,FALSE,"historicBS";"liab",#N/A,FALSE,"historicBS";"is",#N/A,FALSE,"historicIS";"ratios",#N/A,FALSE,"ratios"}</definedName>
    <definedName name="wrn.basicfin.2" localSheetId="3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localSheetId="4" hidden="1">{"MacroCo",#N/A,FALSE,"masmode";"IncomeS",#N/A,FALSE,"masmode";"BalanceS",#N/A,FALSE,"masmode";"CashF",#N/A,FALSE,"masmode";"Ratios",#N/A,FALSE,"masmode";"DebtFC",#N/A,FALSE,"masmode"}</definedName>
    <definedName name="wrn.BasicModel." localSheetId="3" hidden="1">{"MacroCo",#N/A,FALSE,"masmode";"IncomeS",#N/A,FALSE,"masmode";"BalanceS",#N/A,FALSE,"masmode";"CashF",#N/A,FALSE,"masmode";"Ratios",#N/A,FALSE,"masmode";"DebtFC",#N/A,FALSE,"masmode"}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localSheetId="4" hidden="1">{#N/A,#N/A,FALSE,"TSUM";#N/A,#N/A,FALSE,"shares";#N/A,#N/A,FALSE,"earnout";#N/A,#N/A,FALSE,"Heaty";#N/A,#N/A,FALSE,"self-tend";#N/A,#N/A,FALSE,"self-sum"}</definedName>
    <definedName name="wrn.basics." localSheetId="3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asics._1" localSheetId="3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localSheetId="3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localSheetId="3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localSheetId="3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localSheetId="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localSheetId="3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localSheetId="3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localSheetId="3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localSheetId="3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localSheetId="3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localSheetId="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localSheetId="3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localSheetId="3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localSheetId="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localSheetId="3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localSheetId="3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localSheetId="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localSheetId="3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localSheetId="3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localSheetId="3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localSheetId="3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localSheetId="3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localSheetId="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localSheetId="3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localSheetId="3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localSheetId="3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localSheetId="3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localSheetId="3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localSheetId="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localSheetId="3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localSheetId="4" hidden="1">{"baypage1",#N/A,FALSE,"1995";"baypage2",#N/A,FALSE,"1995";"baypage3",#N/A,FALSE,"1995"}</definedName>
    <definedName name="wrn.BAY." localSheetId="3" hidden="1">{"baypage1",#N/A,FALSE,"1995";"baypage2",#N/A,FALSE,"1995";"baypage3",#N/A,FALSE,"1995"}</definedName>
    <definedName name="wrn.BAY." hidden="1">{"baypage1",#N/A,FALSE,"1995";"baypage2",#N/A,FALSE,"1995";"baypage3",#N/A,FALSE,"1995"}</definedName>
    <definedName name="wrn.BBE._.Budget._.Draft." localSheetId="3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localSheetId="3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localSheetId="3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EL._1" localSheetId="3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localSheetId="3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localSheetId="3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localSheetId="3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localSheetId="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localSheetId="3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localSheetId="3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localSheetId="3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localSheetId="3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localSheetId="3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localSheetId="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localSheetId="3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localSheetId="3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localSheetId="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localSheetId="3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localSheetId="3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localSheetId="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localSheetId="3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localSheetId="3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localSheetId="3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localSheetId="3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localSheetId="3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localSheetId="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localSheetId="3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localSheetId="3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localSheetId="3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localSheetId="3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localSheetId="3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localSheetId="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localSheetId="3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localSheetId="3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localSheetId="3" hidden="1">{"net assets",#N/A,FALSE,"summary";"asset turnover",#N/A,FALSE,"summary";"orona",#N/A,FALSE,"summary"}</definedName>
    <definedName name="wrn.betz." hidden="1">{"net assets",#N/A,FALSE,"summary";"asset turnover",#N/A,FALSE,"summary";"orona",#N/A,FALSE,"summary"}</definedName>
    <definedName name="wrn.Bewegungsbilanz." localSheetId="3" hidden="1">{#N/A,#N/A,FALSE,"Mittelherkunft";#N/A,#N/A,FALSE,"Mittelverwendung"}</definedName>
    <definedName name="wrn.Bewegungsbilanz." hidden="1">{#N/A,#N/A,FALSE,"Mittelherkunft";#N/A,#N/A,FALSE,"Mittelverwendung"}</definedName>
    <definedName name="wrn.BidCo." localSheetId="4" hidden="1">{#N/A,#N/A,FALSE,"BidCo Assumptions";#N/A,#N/A,FALSE,"Credit Stats";#N/A,#N/A,FALSE,"Bidco Summary";#N/A,#N/A,FALSE,"BIDCO Consolidated"}</definedName>
    <definedName name="wrn.BidCo." localSheetId="3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lanz." localSheetId="3" hidden="1">{#N/A,#N/A,FALSE,"Layout Aktiva";#N/A,#N/A,FALSE,"Layout Passiva"}</definedName>
    <definedName name="wrn.Bilanz." hidden="1">{#N/A,#N/A,FALSE,"Layout Aktiva";#N/A,#N/A,FALSE,"Layout Passiva"}</definedName>
    <definedName name="wrn.BiPolar." localSheetId="3" hidden="1">{#N/A,#N/A,FALSE,"Bi-Polar"}</definedName>
    <definedName name="wrn.BiPolar." hidden="1">{#N/A,#N/A,FALSE,"Bi-Polar"}</definedName>
    <definedName name="wrn.bm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localSheetId="3" hidden="1">{#N/A,#N/A,FALSE,"Cover";#N/A,#N/A,FALSE,"TABLE 1";#N/A,#N/A,FALSE,"Table 2"}</definedName>
    <definedName name="wrn.BOARD._.VALUE." hidden="1">{#N/A,#N/A,FALSE,"Cover";#N/A,#N/A,FALSE,"TABLE 1";#N/A,#N/A,FALSE,"Table 2"}</definedName>
    <definedName name="wrn.BODMeeting." localSheetId="3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localSheetId="3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oth." localSheetId="3" hidden="1">{"detail",#N/A,FALSE,"mfg";"summary",#N/A,FALSE,"mfg"}</definedName>
    <definedName name="wrn.Both." hidden="1">{"detail",#N/A,FALSE,"mfg";"summary",#N/A,FALSE,"mfg"}</definedName>
    <definedName name="wrn.both._.pages." localSheetId="3" hidden="1">{"page 1",#N/A,FALSE,"Comps";"page 2",#N/A,FALSE,"Comps"}</definedName>
    <definedName name="wrn.both._.pages." hidden="1">{"page 1",#N/A,FALSE,"Comps";"page 2",#N/A,FALSE,"Comps"}</definedName>
    <definedName name="wrn.Both.2" localSheetId="3" hidden="1">{"detail",#N/A,FALSE,"mfg";"summary",#N/A,FALSE,"mfg"}</definedName>
    <definedName name="wrn.Both.2" hidden="1">{"detail",#N/A,FALSE,"mfg";"summary",#N/A,FALSE,"mfg"}</definedName>
    <definedName name="wrn.both1" localSheetId="3" hidden="1">{"detail",#N/A,FALSE,"mfg";"summary",#N/A,FALSE,"mfg"}</definedName>
    <definedName name="wrn.both1" hidden="1">{"detail",#N/A,FALSE,"mfg";"summary",#N/A,FALSE,"mfg"}</definedName>
    <definedName name="wrn.both10" localSheetId="3" hidden="1">{"detail",#N/A,FALSE,"mfg";"summary",#N/A,FALSE,"mfg"}</definedName>
    <definedName name="wrn.both10" hidden="1">{"detail",#N/A,FALSE,"mfg";"summary",#N/A,FALSE,"mfg"}</definedName>
    <definedName name="wrn.both102" localSheetId="3" hidden="1">{"detail",#N/A,FALSE,"mfg";"summary",#N/A,FALSE,"mfg"}</definedName>
    <definedName name="wrn.both102" hidden="1">{"detail",#N/A,FALSE,"mfg";"summary",#N/A,FALSE,"mfg"}</definedName>
    <definedName name="wrn.both11" localSheetId="3" hidden="1">{"detail",#N/A,FALSE,"mfg";"summary",#N/A,FALSE,"mfg"}</definedName>
    <definedName name="wrn.both11" hidden="1">{"detail",#N/A,FALSE,"mfg";"summary",#N/A,FALSE,"mfg"}</definedName>
    <definedName name="wrn.both12" localSheetId="3" hidden="1">{"detail",#N/A,FALSE,"mfg";"summary",#N/A,FALSE,"mfg"}</definedName>
    <definedName name="wrn.both12" hidden="1">{"detail",#N/A,FALSE,"mfg";"summary",#N/A,FALSE,"mfg"}</definedName>
    <definedName name="wrn.Both31" localSheetId="3" hidden="1">{"detail",#N/A,FALSE,"mfg";"summary",#N/A,FALSE,"mfg"}</definedName>
    <definedName name="wrn.Both31" hidden="1">{"detail",#N/A,FALSE,"mfg";"summary",#N/A,FALSE,"mfg"}</definedName>
    <definedName name="wrn.Both32" localSheetId="3" hidden="1">{"detail",#N/A,FALSE,"mfg";"summary",#N/A,FALSE,"mfg"}</definedName>
    <definedName name="wrn.Both32" hidden="1">{"detail",#N/A,FALSE,"mfg";"summary",#N/A,FALSE,"mfg"}</definedName>
    <definedName name="wrn.Both34" localSheetId="3" hidden="1">{"detail",#N/A,FALSE,"mfg";"summary",#N/A,FALSE,"mfg"}</definedName>
    <definedName name="wrn.Both34" hidden="1">{"detail",#N/A,FALSE,"mfg";"summary",#N/A,FALSE,"mfg"}</definedName>
    <definedName name="wrn.Both35" localSheetId="3" hidden="1">{"detail",#N/A,FALSE,"mfg";"summary",#N/A,FALSE,"mfg"}</definedName>
    <definedName name="wrn.Both35" hidden="1">{"detail",#N/A,FALSE,"mfg";"summary",#N/A,FALSE,"mfg"}</definedName>
    <definedName name="wrn.Both42" localSheetId="3" hidden="1">{"detail",#N/A,FALSE,"mfg";"summary",#N/A,FALSE,"mfg"}</definedName>
    <definedName name="wrn.Both42" hidden="1">{"detail",#N/A,FALSE,"mfg";"summary",#N/A,FALSE,"mfg"}</definedName>
    <definedName name="wrn.both71" localSheetId="3" hidden="1">{"detail",#N/A,FALSE,"mfg";"summary",#N/A,FALSE,"mfg"}</definedName>
    <definedName name="wrn.both71" hidden="1">{"detail",#N/A,FALSE,"mfg";"summary",#N/A,FALSE,"mfg"}</definedName>
    <definedName name="wrn.botha11" localSheetId="3" hidden="1">{"detail",#N/A,FALSE,"mfg";"summary",#N/A,FALSE,"mfg"}</definedName>
    <definedName name="wrn.botha11" hidden="1">{"detail",#N/A,FALSE,"mfg";"summary",#N/A,FALSE,"mfg"}</definedName>
    <definedName name="wrn.botha2" localSheetId="3" hidden="1">{"detail",#N/A,FALSE,"mfg";"summary",#N/A,FALSE,"mfg"}</definedName>
    <definedName name="wrn.botha2" hidden="1">{"detail",#N/A,FALSE,"mfg";"summary",#N/A,FALSE,"mfg"}</definedName>
    <definedName name="wrn.bothab2" localSheetId="3" hidden="1">{"detail",#N/A,FALSE,"mfg";"summary",#N/A,FALSE,"mfg"}</definedName>
    <definedName name="wrn.bothab2" hidden="1">{"detail",#N/A,FALSE,"mfg";"summary",#N/A,FALSE,"mfg"}</definedName>
    <definedName name="wrn.bothrepts." localSheetId="3" hidden="1">{"legalsumm",#N/A,FALSE,"Forecast (no FAW)";"legaldetail",#N/A,FALSE,"Forecast (no FAW)"}</definedName>
    <definedName name="wrn.bothrepts." hidden="1">{"legalsumm",#N/A,FALSE,"Forecast (no FAW)";"legaldetail",#N/A,FALSE,"Forecast (no FAW)"}</definedName>
    <definedName name="wrn.BP._.print." localSheetId="3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localSheetId="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localSheetId="3" hidden="1">{#N/A,#N/A,FALSE,"BreakoutFY95";#N/A,#N/A,FALSE,"BreakoutFY96";#N/A,#N/A,FALSE,"BreakoutFY97";#N/A,#N/A,FALSE,"BreakoutFY98"}</definedName>
    <definedName name="wrn.Breakout." hidden="1">{#N/A,#N/A,FALSE,"BreakoutFY95";#N/A,#N/A,FALSE,"BreakoutFY96";#N/A,#N/A,FALSE,"BreakoutFY97";#N/A,#N/A,FALSE,"BreakoutFY98"}</definedName>
    <definedName name="wrn.brian." localSheetId="3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OCHURE." localSheetId="3" hidden="1">{"ACT",#N/A,FALSE,"Q3Elec P&amp;L fy 99  ";"BUD",#N/A,FALSE,"Q3Elec P&amp;L fy 99  ";"PRIOR",#N/A,FALSE,"Q3Elec P&amp;L fy 99  "}</definedName>
    <definedName name="wrn.BROCHURE." hidden="1">{"ACT",#N/A,FALSE,"Q3Elec P&amp;L fy 99  ";"BUD",#N/A,FALSE,"Q3Elec P&amp;L fy 99  ";"PRIOR",#N/A,FALSE,"Q3Elec P&amp;L fy 99  "}</definedName>
    <definedName name="wrn.BROCHYTD." localSheetId="3" hidden="1">{"YTDACT",#N/A,FALSE,"YTD Cum";"YTDBUD",#N/A,FALSE,"YTD Cum";"YTDPRIOR",#N/A,FALSE,"YTD Cum"}</definedName>
    <definedName name="wrn.BROCHYTD." hidden="1">{"YTDACT",#N/A,FALSE,"YTD Cum";"YTDBUD",#N/A,FALSE,"YTD Cum";"YTDPRIOR",#N/A,FALSE,"YTD Cum"}</definedName>
    <definedName name="wrn.bsall." localSheetId="3" hidden="1">{"pg1",#N/A,FALSE,"BSALLNOW.XLS";"pg2",#N/A,FALSE,"BSALLNOW.XLS";"pg3",#N/A,FALSE,"BSALLNOW.XLS"}</definedName>
    <definedName name="wrn.bsall." hidden="1">{"pg1",#N/A,FALSE,"BSALLNOW.XLS";"pg2",#N/A,FALSE,"BSALLNOW.XLS";"pg3",#N/A,FALSE,"BSALLNOW.XLS"}</definedName>
    <definedName name="wrn.BSAnnualModel." localSheetId="3" hidden="1">{"BSAnnualModel",#N/A,FALSE,"BS"}</definedName>
    <definedName name="wrn.BSAnnualModel." hidden="1">{"BSAnnualModel",#N/A,FALSE,"BS"}</definedName>
    <definedName name="wrn.BUDGET." localSheetId="4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localSheetId="3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localSheetId="3" hidden="1">{"division at glance",#N/A,FALSE,"02-04 Qtr per Div";"division model",#N/A,FALSE,"02-04 Qtr per Div";"doron at glance",#N/A,FALSE,"02-04 Qtr per Div";"doron model",#N/A,FALSE,"02-04 Qtr per Div"}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localSheetId="3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3" hidden="1">{"budget992000 capex",#N/A,FALSE,"Celtel alternative 6"}</definedName>
    <definedName name="wrn.budget._.capex." hidden="1">{"budget992000 capex",#N/A,FALSE,"Celtel alternative 6"}</definedName>
    <definedName name="wrn.budget._.customers." localSheetId="3" hidden="1">{"budget992000_customers",#N/A,FALSE,"Celtel alternative 6"}</definedName>
    <definedName name="wrn.budget._.customers." hidden="1">{"budget992000_customers",#N/A,FALSE,"Celtel alternative 6"}</definedName>
    <definedName name="wrn.Budget._.Detail." localSheetId="3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localSheetId="3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3" hidden="1">{"budget992000 tariff and usage",#N/A,FALSE,"Celtel alternative 6"}</definedName>
    <definedName name="wrn.budget._.tariffs._.and._.usage." hidden="1">{"budget992000 tariff and usage",#N/A,FALSE,"Celtel alternative 6"}</definedName>
    <definedName name="wrn.BUDGET_SUMMARY." localSheetId="3" hidden="1">{#N/A,#N/A,FALSE,"Business Plan"}</definedName>
    <definedName name="wrn.BUDGET_SUMMARY." hidden="1">{#N/A,#N/A,FALSE,"Business Plan"}</definedName>
    <definedName name="wrn.budgetb." localSheetId="4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3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localSheetId="4" hidden="1">{#N/A,#N/A,FALSE,"Sheet1";#N/A,#N/A,FALSE,"Summary";#N/A,#N/A,FALSE,"proj1";#N/A,#N/A,FALSE,"proj2"}</definedName>
    <definedName name="wrn.bullshit1." localSheetId="3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bullshit1._1" localSheetId="3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localSheetId="3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localSheetId="3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localSheetId="3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localSheetId="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localSheetId="3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localSheetId="3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localSheetId="3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localSheetId="3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localSheetId="3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localSheetId="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localSheetId="3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localSheetId="3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localSheetId="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localSheetId="3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localSheetId="3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localSheetId="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localSheetId="3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localSheetId="3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localSheetId="3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localSheetId="3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localSheetId="3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localSheetId="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localSheetId="3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localSheetId="3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localSheetId="3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localSheetId="3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localSheetId="3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localSheetId="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localSheetId="3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localSheetId="3" hidden="1">{#N/A,#N/A,TRUE,"income statement";#N/A,#N/A,TRUE,"balance sheet";#N/A,#N/A,TRUE,"cash flow";#N/A,#N/A,TRUE,"borrowing base";#N/A,#N/A,TRUE,"sales summary"}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localSheetId="3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localSheetId="3" hidden="1">{#N/A,#N/A,FALSE,"1263 yr3"}</definedName>
    <definedName name="wrn.C.._.1263._.yr3." hidden="1">{#N/A,#N/A,FALSE,"1263 yr3"}</definedName>
    <definedName name="wrn.CAG." localSheetId="3" hidden="1">{#N/A,#N/A,FALSE,"CAG"}</definedName>
    <definedName name="wrn.CAG." hidden="1">{#N/A,#N/A,FALSE,"CAG"}</definedName>
    <definedName name="wrn.Calcs._.and._.Exhbts." localSheetId="3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localSheetId="3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localSheetId="3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localSheetId="3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localSheetId="3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localSheetId="3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rdiovasculars._1" localSheetId="3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localSheetId="3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localSheetId="3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localSheetId="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localSheetId="4" hidden="1">{"CAR Schedule",#N/A,TRUE,"Leased Cars";"OLD Cars",#N/A,TRUE,"Leased Cars";"OLD Cars",#N/A,TRUE,"Leased Cars"}</definedName>
    <definedName name="wrn.Cars." localSheetId="3" hidden="1">{"CAR Schedule",#N/A,TRUE,"Leased Cars";"OLD Cars",#N/A,TRUE,"Leased Cars";"OLD Cars",#N/A,TRUE,"Leased Cars"}</definedName>
    <definedName name="wrn.Cars." hidden="1">{"CAR Schedule",#N/A,TRUE,"Leased Cars";"OLD Cars",#N/A,TRUE,"Leased Cars";"OLD Cars",#N/A,TRUE,"Leased Cars"}</definedName>
    <definedName name="wrn.Cash." localSheetId="4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" localSheetId="3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localSheetId="3" hidden="1">{#N/A,#N/A,FALSE,"Cash Flow"}</definedName>
    <definedName name="wrn.Cash._.Flow." hidden="1">{#N/A,#N/A,FALSE,"Cash Flow"}</definedName>
    <definedName name="wrn.CASH._.FLOW._.ALL." localSheetId="3" hidden="1">{"cash flow ww",#N/A,FALSE,"Cash Flow";"cash flow other",#N/A,FALSE,"Cash Flow";"cash flow ex",#N/A,FALSE,"Cash Flow";"cash flow us",#N/A,FALSE,"Cash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localSheetId="3" hidden="1">{"cash flow ex",#N/A,FALSE,"Cash Flow"}</definedName>
    <definedName name="wrn.CASH._.FLOW._.EX._.US." hidden="1">{"cash flow ex",#N/A,FALSE,"Cash Flow"}</definedName>
    <definedName name="wrn.Cash._.Flow._.LE." localSheetId="3" hidden="1">{#N/A,#N/A,FALSE,"Income Statement LE";#N/A,#N/A,FALSE,"Cash Flow LE";#N/A,#N/A,FALSE,"Balance Sheet"}</definedName>
    <definedName name="wrn.Cash._.Flow._.LE." hidden="1">{#N/A,#N/A,FALSE,"Income Statement LE";#N/A,#N/A,FALSE,"Cash Flow LE";#N/A,#N/A,FALSE,"Balance Sheet"}</definedName>
    <definedName name="wrn.CASH._.FLOW._.OTHER." localSheetId="3" hidden="1">{"cash flow other",#N/A,FALSE,"Cash Flow"}</definedName>
    <definedName name="wrn.CASH._.FLOW._.OTHER." hidden="1">{"cash flow other",#N/A,FALSE,"Cash Flow"}</definedName>
    <definedName name="wrn.CASH._.FLOW._.US." localSheetId="3" hidden="1">{"cash flow us",#N/A,FALSE,"Cash Flow"}</definedName>
    <definedName name="wrn.CASH._.FLOW._.US." hidden="1">{"cash flow us",#N/A,FALSE,"Cash Flow"}</definedName>
    <definedName name="wrn.CASH._.FLOW._.WW." localSheetId="3" hidden="1">{"cash flow ww",#N/A,FALSE,"Cash Flow"}</definedName>
    <definedName name="wrn.CASH._.FLOW._.WW." hidden="1">{"cash flow ww",#N/A,FALSE,"Cash Flow"}</definedName>
    <definedName name="wrn.Cash._.Plan." localSheetId="3" hidden="1">{"cash plan",#N/A,FALSE,"fccashflow"}</definedName>
    <definedName name="wrn.Cash._.Plan." hidden="1">{"cash plan",#N/A,FALSE,"fccashflow"}</definedName>
    <definedName name="wrn.Cash._.V._.LY." localSheetId="3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localSheetId="3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localSheetId="3" hidden="1">{#N/A,#N/A,FALSE,"KGFORE94"}</definedName>
    <definedName name="wrn.cash2." hidden="1">{#N/A,#N/A,FALSE,"KGFORE94"}</definedName>
    <definedName name="wrn.CEA._.FY97." localSheetId="3" hidden="1">{"CEA FY97",#N/A,FALSE,"C.E.A. FY97"}</definedName>
    <definedName name="wrn.CEA._.FY97." hidden="1">{"CEA FY97",#N/A,FALSE,"C.E.A. FY97"}</definedName>
    <definedName name="wrn.CEC._.slides." localSheetId="3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localSheetId="4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Dist." localSheetId="3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localSheetId="3" hidden="1">{#N/A,#N/A,FALSE,"CNS";#N/A,#N/A,FALSE,"Serz";#N/A,#N/A,FALSE,"Ace"}</definedName>
    <definedName name="wrn.Central._.Nervous._.System." hidden="1">{#N/A,#N/A,FALSE,"CNS";#N/A,#N/A,FALSE,"Serz";#N/A,#N/A,FALSE,"Ace"}</definedName>
    <definedName name="wrn.Central._.Nervous._.System._1" localSheetId="3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localSheetId="3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localSheetId="3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localSheetId="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localSheetId="3" hidden="1">{"one",#N/A,FALSE,"cf";"two",#N/A,FALSE,"cf"}</definedName>
    <definedName name="wrn.cf." hidden="1">{"one",#N/A,FALSE,"cf";"two",#N/A,FALSE,"cf"}</definedName>
    <definedName name="wrn.CfmsDist." localSheetId="4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msDist." localSheetId="3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localSheetId="3" hidden="1">{"CFSModel",#N/A,FALSE,"CFS"}</definedName>
    <definedName name="wrn.CFSModel." hidden="1">{"CFSModel",#N/A,FALSE,"CFS"}</definedName>
    <definedName name="wrn.CHART." localSheetId="3" hidden="1">{"CHART",#N/A,FALSE,"Arch Communications"}</definedName>
    <definedName name="wrn.CHART." hidden="1">{"CHART",#N/A,FALSE,"Arch Communications"}</definedName>
    <definedName name="wrn.Chemicals." localSheetId="3" hidden="1">{"PnL",#N/A,FALSE,"Chem P&amp;L";"Responsibility",#N/A,FALSE,"Chem P&amp;L";"Cost Control",#N/A,FALSE,"Chem P&amp;L"}</definedName>
    <definedName name="wrn.Chemicals." hidden="1">{"PnL",#N/A,FALSE,"Chem P&amp;L";"Responsibility",#N/A,FALSE,"Chem P&amp;L";"Cost Control",#N/A,FALSE,"Chem P&amp;L"}</definedName>
    <definedName name="wrn.Chiron._.IRS._.Audit." localSheetId="4" hidden="1">{#N/A,#N/A,FALSE,"Summary";#N/A,#N/A,FALSE,"1991";#N/A,#N/A,FALSE,"91 AMT";#N/A,#N/A,FALSE,"1992";#N/A,#N/A,FALSE,"92 AMT";#N/A,#N/A,FALSE,"1993";#N/A,#N/A,FALSE,"93 AMT"}</definedName>
    <definedName name="wrn.Chiron._.IRS._.Audit." localSheetId="3" hidden="1">{#N/A,#N/A,FALSE,"Summary";#N/A,#N/A,FALSE,"1991";#N/A,#N/A,FALSE,"91 AMT";#N/A,#N/A,FALSE,"1992";#N/A,#N/A,FALSE,"92 AMT";#N/A,#N/A,FALSE,"1993";#N/A,#N/A,FALSE,"93 AMT"}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localSheetId="3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lient." localSheetId="3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4" hidden="1">{"client cfbs",#N/A,FALSE,"Client"}</definedName>
    <definedName name="wrn.Client._.cfbs." localSheetId="3" hidden="1">{"client cfbs",#N/A,FALSE,"Client"}</definedName>
    <definedName name="wrn.Client._.cfbs." hidden="1">{"client cfbs",#N/A,FALSE,"Client"}</definedName>
    <definedName name="wrn.Client._.cfbs._1" localSheetId="3" hidden="1">{"client cfbs",#N/A,FALSE,"Client"}</definedName>
    <definedName name="wrn.Client._.cfbs._1" hidden="1">{"client cfbs",#N/A,FALSE,"Client"}</definedName>
    <definedName name="wrn.Client._.cfbs._1_1" localSheetId="3" hidden="1">{"client cfbs",#N/A,FALSE,"Client"}</definedName>
    <definedName name="wrn.Client._.cfbs._1_1" hidden="1">{"client cfbs",#N/A,FALSE,"Client"}</definedName>
    <definedName name="wrn.Client._.cfbs._1_2" localSheetId="3" hidden="1">{"client cfbs",#N/A,FALSE,"Client"}</definedName>
    <definedName name="wrn.Client._.cfbs._1_2" hidden="1">{"client cfbs",#N/A,FALSE,"Client"}</definedName>
    <definedName name="wrn.Client._.cfbs._1_3" localSheetId="3" hidden="1">{"client cfbs",#N/A,FALSE,"Client"}</definedName>
    <definedName name="wrn.Client._.cfbs._1_3" hidden="1">{"client cfbs",#N/A,FALSE,"Client"}</definedName>
    <definedName name="wrn.Client._.cfbs._1_4" localSheetId="3" hidden="1">{"client cfbs",#N/A,FALSE,"Client"}</definedName>
    <definedName name="wrn.Client._.cfbs._1_4" hidden="1">{"client cfbs",#N/A,FALSE,"Client"}</definedName>
    <definedName name="wrn.Client._.cfbs._1_5" localSheetId="3" hidden="1">{"client cfbs",#N/A,FALSE,"Client"}</definedName>
    <definedName name="wrn.Client._.cfbs._1_5" hidden="1">{"client cfbs",#N/A,FALSE,"Client"}</definedName>
    <definedName name="wrn.Client._.cfbs._2" localSheetId="3" hidden="1">{"client cfbs",#N/A,FALSE,"Client"}</definedName>
    <definedName name="wrn.Client._.cfbs._2" hidden="1">{"client cfbs",#N/A,FALSE,"Client"}</definedName>
    <definedName name="wrn.Client._.cfbs._2_1" localSheetId="3" hidden="1">{"client cfbs",#N/A,FALSE,"Client"}</definedName>
    <definedName name="wrn.Client._.cfbs._2_1" hidden="1">{"client cfbs",#N/A,FALSE,"Client"}</definedName>
    <definedName name="wrn.Client._.cfbs._2_2" localSheetId="3" hidden="1">{"client cfbs",#N/A,FALSE,"Client"}</definedName>
    <definedName name="wrn.Client._.cfbs._2_2" hidden="1">{"client cfbs",#N/A,FALSE,"Client"}</definedName>
    <definedName name="wrn.Client._.cfbs._2_3" localSheetId="3" hidden="1">{"client cfbs",#N/A,FALSE,"Client"}</definedName>
    <definedName name="wrn.Client._.cfbs._2_3" hidden="1">{"client cfbs",#N/A,FALSE,"Client"}</definedName>
    <definedName name="wrn.Client._.cfbs._2_4" localSheetId="3" hidden="1">{"client cfbs",#N/A,FALSE,"Client"}</definedName>
    <definedName name="wrn.Client._.cfbs._2_4" hidden="1">{"client cfbs",#N/A,FALSE,"Client"}</definedName>
    <definedName name="wrn.Client._.cfbs._2_5" localSheetId="3" hidden="1">{"client cfbs",#N/A,FALSE,"Client"}</definedName>
    <definedName name="wrn.Client._.cfbs._2_5" hidden="1">{"client cfbs",#N/A,FALSE,"Client"}</definedName>
    <definedName name="wrn.Client._.cfbs._3" localSheetId="3" hidden="1">{"client cfbs",#N/A,FALSE,"Client"}</definedName>
    <definedName name="wrn.Client._.cfbs._3" hidden="1">{"client cfbs",#N/A,FALSE,"Client"}</definedName>
    <definedName name="wrn.Client._.cfbs._3_1" localSheetId="3" hidden="1">{"client cfbs",#N/A,FALSE,"Client"}</definedName>
    <definedName name="wrn.Client._.cfbs._3_1" hidden="1">{"client cfbs",#N/A,FALSE,"Client"}</definedName>
    <definedName name="wrn.Client._.cfbs._3_2" localSheetId="3" hidden="1">{"client cfbs",#N/A,FALSE,"Client"}</definedName>
    <definedName name="wrn.Client._.cfbs._3_2" hidden="1">{"client cfbs",#N/A,FALSE,"Client"}</definedName>
    <definedName name="wrn.Client._.cfbs._3_3" localSheetId="3" hidden="1">{"client cfbs",#N/A,FALSE,"Client"}</definedName>
    <definedName name="wrn.Client._.cfbs._3_3" hidden="1">{"client cfbs",#N/A,FALSE,"Client"}</definedName>
    <definedName name="wrn.Client._.cfbs._3_4" localSheetId="3" hidden="1">{"client cfbs",#N/A,FALSE,"Client"}</definedName>
    <definedName name="wrn.Client._.cfbs._3_4" hidden="1">{"client cfbs",#N/A,FALSE,"Client"}</definedName>
    <definedName name="wrn.Client._.cfbs._3_5" localSheetId="3" hidden="1">{"client cfbs",#N/A,FALSE,"Client"}</definedName>
    <definedName name="wrn.Client._.cfbs._3_5" hidden="1">{"client cfbs",#N/A,FALSE,"Client"}</definedName>
    <definedName name="wrn.Client._.cfbs._4" localSheetId="3" hidden="1">{"client cfbs",#N/A,FALSE,"Client"}</definedName>
    <definedName name="wrn.Client._.cfbs._4" hidden="1">{"client cfbs",#N/A,FALSE,"Client"}</definedName>
    <definedName name="wrn.Client._.cfbs._4_1" localSheetId="3" hidden="1">{"client cfbs",#N/A,FALSE,"Client"}</definedName>
    <definedName name="wrn.Client._.cfbs._4_1" hidden="1">{"client cfbs",#N/A,FALSE,"Client"}</definedName>
    <definedName name="wrn.Client._.cfbs._4_2" localSheetId="3" hidden="1">{"client cfbs",#N/A,FALSE,"Client"}</definedName>
    <definedName name="wrn.Client._.cfbs._4_2" hidden="1">{"client cfbs",#N/A,FALSE,"Client"}</definedName>
    <definedName name="wrn.Client._.cfbs._4_3" localSheetId="3" hidden="1">{"client cfbs",#N/A,FALSE,"Client"}</definedName>
    <definedName name="wrn.Client._.cfbs._4_3" hidden="1">{"client cfbs",#N/A,FALSE,"Client"}</definedName>
    <definedName name="wrn.Client._.cfbs._4_4" localSheetId="3" hidden="1">{"client cfbs",#N/A,FALSE,"Client"}</definedName>
    <definedName name="wrn.Client._.cfbs._4_4" hidden="1">{"client cfbs",#N/A,FALSE,"Client"}</definedName>
    <definedName name="wrn.Client._.cfbs._4_5" localSheetId="3" hidden="1">{"client cfbs",#N/A,FALSE,"Client"}</definedName>
    <definedName name="wrn.Client._.cfbs._4_5" hidden="1">{"client cfbs",#N/A,FALSE,"Client"}</definedName>
    <definedName name="wrn.Client._.cfbs._5" localSheetId="3" hidden="1">{"client cfbs",#N/A,FALSE,"Client"}</definedName>
    <definedName name="wrn.Client._.cfbs._5" hidden="1">{"client cfbs",#N/A,FALSE,"Client"}</definedName>
    <definedName name="wrn.Client._.cfbs._5_1" localSheetId="3" hidden="1">{"client cfbs",#N/A,FALSE,"Client"}</definedName>
    <definedName name="wrn.Client._.cfbs._5_1" hidden="1">{"client cfbs",#N/A,FALSE,"Client"}</definedName>
    <definedName name="wrn.Client._.cfbs._5_2" localSheetId="3" hidden="1">{"client cfbs",#N/A,FALSE,"Client"}</definedName>
    <definedName name="wrn.Client._.cfbs._5_2" hidden="1">{"client cfbs",#N/A,FALSE,"Client"}</definedName>
    <definedName name="wrn.Client._.cfbs._5_3" localSheetId="3" hidden="1">{"client cfbs",#N/A,FALSE,"Client"}</definedName>
    <definedName name="wrn.Client._.cfbs._5_3" hidden="1">{"client cfbs",#N/A,FALSE,"Client"}</definedName>
    <definedName name="wrn.Client._.cfbs._5_4" localSheetId="3" hidden="1">{"client cfbs",#N/A,FALSE,"Client"}</definedName>
    <definedName name="wrn.Client._.cfbs._5_4" hidden="1">{"client cfbs",#N/A,FALSE,"Client"}</definedName>
    <definedName name="wrn.Client._.cfbs._5_5" localSheetId="3" hidden="1">{"client cfbs",#N/A,FALSE,"Client"}</definedName>
    <definedName name="wrn.Client._.cfbs._5_5" hidden="1">{"client cfbs",#N/A,FALSE,"Client"}</definedName>
    <definedName name="wrn.Client._.is." localSheetId="4" hidden="1">{"client is",#N/A,FALSE,"Client"}</definedName>
    <definedName name="wrn.Client._.is." localSheetId="3" hidden="1">{"client is",#N/A,FALSE,"Client"}</definedName>
    <definedName name="wrn.Client._.is." hidden="1">{"client is",#N/A,FALSE,"Client"}</definedName>
    <definedName name="wrn.Client._.is._1" localSheetId="3" hidden="1">{"client is",#N/A,FALSE,"Client"}</definedName>
    <definedName name="wrn.Client._.is._1" hidden="1">{"client is",#N/A,FALSE,"Client"}</definedName>
    <definedName name="wrn.Client._.is._1_1" localSheetId="3" hidden="1">{"client is",#N/A,FALSE,"Client"}</definedName>
    <definedName name="wrn.Client._.is._1_1" hidden="1">{"client is",#N/A,FALSE,"Client"}</definedName>
    <definedName name="wrn.Client._.is._1_2" localSheetId="3" hidden="1">{"client is",#N/A,FALSE,"Client"}</definedName>
    <definedName name="wrn.Client._.is._1_2" hidden="1">{"client is",#N/A,FALSE,"Client"}</definedName>
    <definedName name="wrn.Client._.is._1_3" localSheetId="3" hidden="1">{"client is",#N/A,FALSE,"Client"}</definedName>
    <definedName name="wrn.Client._.is._1_3" hidden="1">{"client is",#N/A,FALSE,"Client"}</definedName>
    <definedName name="wrn.Client._.is._1_4" localSheetId="3" hidden="1">{"client is",#N/A,FALSE,"Client"}</definedName>
    <definedName name="wrn.Client._.is._1_4" hidden="1">{"client is",#N/A,FALSE,"Client"}</definedName>
    <definedName name="wrn.Client._.is._1_5" localSheetId="3" hidden="1">{"client is",#N/A,FALSE,"Client"}</definedName>
    <definedName name="wrn.Client._.is._1_5" hidden="1">{"client is",#N/A,FALSE,"Client"}</definedName>
    <definedName name="wrn.Client._.is._2" localSheetId="3" hidden="1">{"client is",#N/A,FALSE,"Client"}</definedName>
    <definedName name="wrn.Client._.is._2" hidden="1">{"client is",#N/A,FALSE,"Client"}</definedName>
    <definedName name="wrn.Client._.is._2_1" localSheetId="3" hidden="1">{"client is",#N/A,FALSE,"Client"}</definedName>
    <definedName name="wrn.Client._.is._2_1" hidden="1">{"client is",#N/A,FALSE,"Client"}</definedName>
    <definedName name="wrn.Client._.is._2_2" localSheetId="3" hidden="1">{"client is",#N/A,FALSE,"Client"}</definedName>
    <definedName name="wrn.Client._.is._2_2" hidden="1">{"client is",#N/A,FALSE,"Client"}</definedName>
    <definedName name="wrn.Client._.is._2_3" localSheetId="3" hidden="1">{"client is",#N/A,FALSE,"Client"}</definedName>
    <definedName name="wrn.Client._.is._2_3" hidden="1">{"client is",#N/A,FALSE,"Client"}</definedName>
    <definedName name="wrn.Client._.is._2_4" localSheetId="3" hidden="1">{"client is",#N/A,FALSE,"Client"}</definedName>
    <definedName name="wrn.Client._.is._2_4" hidden="1">{"client is",#N/A,FALSE,"Client"}</definedName>
    <definedName name="wrn.Client._.is._2_5" localSheetId="3" hidden="1">{"client is",#N/A,FALSE,"Client"}</definedName>
    <definedName name="wrn.Client._.is._2_5" hidden="1">{"client is",#N/A,FALSE,"Client"}</definedName>
    <definedName name="wrn.Client._.is._3" localSheetId="3" hidden="1">{"client is",#N/A,FALSE,"Client"}</definedName>
    <definedName name="wrn.Client._.is._3" hidden="1">{"client is",#N/A,FALSE,"Client"}</definedName>
    <definedName name="wrn.Client._.is._3_1" localSheetId="3" hidden="1">{"client is",#N/A,FALSE,"Client"}</definedName>
    <definedName name="wrn.Client._.is._3_1" hidden="1">{"client is",#N/A,FALSE,"Client"}</definedName>
    <definedName name="wrn.Client._.is._3_2" localSheetId="3" hidden="1">{"client is",#N/A,FALSE,"Client"}</definedName>
    <definedName name="wrn.Client._.is._3_2" hidden="1">{"client is",#N/A,FALSE,"Client"}</definedName>
    <definedName name="wrn.Client._.is._3_3" localSheetId="3" hidden="1">{"client is",#N/A,FALSE,"Client"}</definedName>
    <definedName name="wrn.Client._.is._3_3" hidden="1">{"client is",#N/A,FALSE,"Client"}</definedName>
    <definedName name="wrn.Client._.is._3_4" localSheetId="3" hidden="1">{"client is",#N/A,FALSE,"Client"}</definedName>
    <definedName name="wrn.Client._.is._3_4" hidden="1">{"client is",#N/A,FALSE,"Client"}</definedName>
    <definedName name="wrn.Client._.is._3_5" localSheetId="3" hidden="1">{"client is",#N/A,FALSE,"Client"}</definedName>
    <definedName name="wrn.Client._.is._3_5" hidden="1">{"client is",#N/A,FALSE,"Client"}</definedName>
    <definedName name="wrn.Client._.is._4" localSheetId="3" hidden="1">{"client is",#N/A,FALSE,"Client"}</definedName>
    <definedName name="wrn.Client._.is._4" hidden="1">{"client is",#N/A,FALSE,"Client"}</definedName>
    <definedName name="wrn.Client._.is._4_1" localSheetId="3" hidden="1">{"client is",#N/A,FALSE,"Client"}</definedName>
    <definedName name="wrn.Client._.is._4_1" hidden="1">{"client is",#N/A,FALSE,"Client"}</definedName>
    <definedName name="wrn.Client._.is._4_2" localSheetId="3" hidden="1">{"client is",#N/A,FALSE,"Client"}</definedName>
    <definedName name="wrn.Client._.is._4_2" hidden="1">{"client is",#N/A,FALSE,"Client"}</definedName>
    <definedName name="wrn.Client._.is._4_3" localSheetId="3" hidden="1">{"client is",#N/A,FALSE,"Client"}</definedName>
    <definedName name="wrn.Client._.is._4_3" hidden="1">{"client is",#N/A,FALSE,"Client"}</definedName>
    <definedName name="wrn.Client._.is._4_4" localSheetId="3" hidden="1">{"client is",#N/A,FALSE,"Client"}</definedName>
    <definedName name="wrn.Client._.is._4_4" hidden="1">{"client is",#N/A,FALSE,"Client"}</definedName>
    <definedName name="wrn.Client._.is._4_5" localSheetId="3" hidden="1">{"client is",#N/A,FALSE,"Client"}</definedName>
    <definedName name="wrn.Client._.is._4_5" hidden="1">{"client is",#N/A,FALSE,"Client"}</definedName>
    <definedName name="wrn.Client._.is._5" localSheetId="3" hidden="1">{"client is",#N/A,FALSE,"Client"}</definedName>
    <definedName name="wrn.Client._.is._5" hidden="1">{"client is",#N/A,FALSE,"Client"}</definedName>
    <definedName name="wrn.Client._.is._5_1" localSheetId="3" hidden="1">{"client is",#N/A,FALSE,"Client"}</definedName>
    <definedName name="wrn.Client._.is._5_1" hidden="1">{"client is",#N/A,FALSE,"Client"}</definedName>
    <definedName name="wrn.Client._.is._5_2" localSheetId="3" hidden="1">{"client is",#N/A,FALSE,"Client"}</definedName>
    <definedName name="wrn.Client._.is._5_2" hidden="1">{"client is",#N/A,FALSE,"Client"}</definedName>
    <definedName name="wrn.Client._.is._5_3" localSheetId="3" hidden="1">{"client is",#N/A,FALSE,"Client"}</definedName>
    <definedName name="wrn.Client._.is._5_3" hidden="1">{"client is",#N/A,FALSE,"Client"}</definedName>
    <definedName name="wrn.Client._.is._5_4" localSheetId="3" hidden="1">{"client is",#N/A,FALSE,"Client"}</definedName>
    <definedName name="wrn.Client._.is._5_4" hidden="1">{"client is",#N/A,FALSE,"Client"}</definedName>
    <definedName name="wrn.Client._.is._5_5" localSheetId="3" hidden="1">{"client is",#N/A,FALSE,"Client"}</definedName>
    <definedName name="wrn.Client._.is._5_5" hidden="1">{"client is",#N/A,FALSE,"Client"}</definedName>
    <definedName name="wrn.Client._.stats." localSheetId="4" hidden="1">{"client stats",#N/A,FALSE,"Client"}</definedName>
    <definedName name="wrn.Client._.stats." localSheetId="3" hidden="1">{"client stats",#N/A,FALSE,"Client"}</definedName>
    <definedName name="wrn.Client._.stats." hidden="1">{"client stats",#N/A,FALSE,"Client"}</definedName>
    <definedName name="wrn.Client._.stats._1" localSheetId="3" hidden="1">{"client stats",#N/A,FALSE,"Client"}</definedName>
    <definedName name="wrn.Client._.stats._1" hidden="1">{"client stats",#N/A,FALSE,"Client"}</definedName>
    <definedName name="wrn.Client._.stats._1_1" localSheetId="3" hidden="1">{"client stats",#N/A,FALSE,"Client"}</definedName>
    <definedName name="wrn.Client._.stats._1_1" hidden="1">{"client stats",#N/A,FALSE,"Client"}</definedName>
    <definedName name="wrn.Client._.stats._1_2" localSheetId="3" hidden="1">{"client stats",#N/A,FALSE,"Client"}</definedName>
    <definedName name="wrn.Client._.stats._1_2" hidden="1">{"client stats",#N/A,FALSE,"Client"}</definedName>
    <definedName name="wrn.Client._.stats._1_3" localSheetId="3" hidden="1">{"client stats",#N/A,FALSE,"Client"}</definedName>
    <definedName name="wrn.Client._.stats._1_3" hidden="1">{"client stats",#N/A,FALSE,"Client"}</definedName>
    <definedName name="wrn.Client._.stats._1_4" localSheetId="3" hidden="1">{"client stats",#N/A,FALSE,"Client"}</definedName>
    <definedName name="wrn.Client._.stats._1_4" hidden="1">{"client stats",#N/A,FALSE,"Client"}</definedName>
    <definedName name="wrn.Client._.stats._1_5" localSheetId="3" hidden="1">{"client stats",#N/A,FALSE,"Client"}</definedName>
    <definedName name="wrn.Client._.stats._1_5" hidden="1">{"client stats",#N/A,FALSE,"Client"}</definedName>
    <definedName name="wrn.Client._.stats._2" localSheetId="3" hidden="1">{"client stats",#N/A,FALSE,"Client"}</definedName>
    <definedName name="wrn.Client._.stats._2" hidden="1">{"client stats",#N/A,FALSE,"Client"}</definedName>
    <definedName name="wrn.Client._.stats._2_1" localSheetId="3" hidden="1">{"client stats",#N/A,FALSE,"Client"}</definedName>
    <definedName name="wrn.Client._.stats._2_1" hidden="1">{"client stats",#N/A,FALSE,"Client"}</definedName>
    <definedName name="wrn.Client._.stats._2_2" localSheetId="3" hidden="1">{"client stats",#N/A,FALSE,"Client"}</definedName>
    <definedName name="wrn.Client._.stats._2_2" hidden="1">{"client stats",#N/A,FALSE,"Client"}</definedName>
    <definedName name="wrn.Client._.stats._2_3" localSheetId="3" hidden="1">{"client stats",#N/A,FALSE,"Client"}</definedName>
    <definedName name="wrn.Client._.stats._2_3" hidden="1">{"client stats",#N/A,FALSE,"Client"}</definedName>
    <definedName name="wrn.Client._.stats._2_4" localSheetId="3" hidden="1">{"client stats",#N/A,FALSE,"Client"}</definedName>
    <definedName name="wrn.Client._.stats._2_4" hidden="1">{"client stats",#N/A,FALSE,"Client"}</definedName>
    <definedName name="wrn.Client._.stats._2_5" localSheetId="3" hidden="1">{"client stats",#N/A,FALSE,"Client"}</definedName>
    <definedName name="wrn.Client._.stats._2_5" hidden="1">{"client stats",#N/A,FALSE,"Client"}</definedName>
    <definedName name="wrn.Client._.stats._3" localSheetId="3" hidden="1">{"client stats",#N/A,FALSE,"Client"}</definedName>
    <definedName name="wrn.Client._.stats._3" hidden="1">{"client stats",#N/A,FALSE,"Client"}</definedName>
    <definedName name="wrn.Client._.stats._3_1" localSheetId="3" hidden="1">{"client stats",#N/A,FALSE,"Client"}</definedName>
    <definedName name="wrn.Client._.stats._3_1" hidden="1">{"client stats",#N/A,FALSE,"Client"}</definedName>
    <definedName name="wrn.Client._.stats._3_2" localSheetId="3" hidden="1">{"client stats",#N/A,FALSE,"Client"}</definedName>
    <definedName name="wrn.Client._.stats._3_2" hidden="1">{"client stats",#N/A,FALSE,"Client"}</definedName>
    <definedName name="wrn.Client._.stats._3_3" localSheetId="3" hidden="1">{"client stats",#N/A,FALSE,"Client"}</definedName>
    <definedName name="wrn.Client._.stats._3_3" hidden="1">{"client stats",#N/A,FALSE,"Client"}</definedName>
    <definedName name="wrn.Client._.stats._3_4" localSheetId="3" hidden="1">{"client stats",#N/A,FALSE,"Client"}</definedName>
    <definedName name="wrn.Client._.stats._3_4" hidden="1">{"client stats",#N/A,FALSE,"Client"}</definedName>
    <definedName name="wrn.Client._.stats._3_5" localSheetId="3" hidden="1">{"client stats",#N/A,FALSE,"Client"}</definedName>
    <definedName name="wrn.Client._.stats._3_5" hidden="1">{"client stats",#N/A,FALSE,"Client"}</definedName>
    <definedName name="wrn.Client._.stats._4" localSheetId="3" hidden="1">{"client stats",#N/A,FALSE,"Client"}</definedName>
    <definedName name="wrn.Client._.stats._4" hidden="1">{"client stats",#N/A,FALSE,"Client"}</definedName>
    <definedName name="wrn.Client._.stats._4_1" localSheetId="3" hidden="1">{"client stats",#N/A,FALSE,"Client"}</definedName>
    <definedName name="wrn.Client._.stats._4_1" hidden="1">{"client stats",#N/A,FALSE,"Client"}</definedName>
    <definedName name="wrn.Client._.stats._4_2" localSheetId="3" hidden="1">{"client stats",#N/A,FALSE,"Client"}</definedName>
    <definedName name="wrn.Client._.stats._4_2" hidden="1">{"client stats",#N/A,FALSE,"Client"}</definedName>
    <definedName name="wrn.Client._.stats._4_3" localSheetId="3" hidden="1">{"client stats",#N/A,FALSE,"Client"}</definedName>
    <definedName name="wrn.Client._.stats._4_3" hidden="1">{"client stats",#N/A,FALSE,"Client"}</definedName>
    <definedName name="wrn.Client._.stats._4_4" localSheetId="3" hidden="1">{"client stats",#N/A,FALSE,"Client"}</definedName>
    <definedName name="wrn.Client._.stats._4_4" hidden="1">{"client stats",#N/A,FALSE,"Client"}</definedName>
    <definedName name="wrn.Client._.stats._4_5" localSheetId="3" hidden="1">{"client stats",#N/A,FALSE,"Client"}</definedName>
    <definedName name="wrn.Client._.stats._4_5" hidden="1">{"client stats",#N/A,FALSE,"Client"}</definedName>
    <definedName name="wrn.Client._.stats._5" localSheetId="3" hidden="1">{"client stats",#N/A,FALSE,"Client"}</definedName>
    <definedName name="wrn.Client._.stats._5" hidden="1">{"client stats",#N/A,FALSE,"Client"}</definedName>
    <definedName name="wrn.Client._.stats._5_1" localSheetId="3" hidden="1">{"client stats",#N/A,FALSE,"Client"}</definedName>
    <definedName name="wrn.Client._.stats._5_1" hidden="1">{"client stats",#N/A,FALSE,"Client"}</definedName>
    <definedName name="wrn.Client._.stats._5_2" localSheetId="3" hidden="1">{"client stats",#N/A,FALSE,"Client"}</definedName>
    <definedName name="wrn.Client._.stats._5_2" hidden="1">{"client stats",#N/A,FALSE,"Client"}</definedName>
    <definedName name="wrn.Client._.stats._5_3" localSheetId="3" hidden="1">{"client stats",#N/A,FALSE,"Client"}</definedName>
    <definedName name="wrn.Client._.stats._5_3" hidden="1">{"client stats",#N/A,FALSE,"Client"}</definedName>
    <definedName name="wrn.Client._.stats._5_4" localSheetId="3" hidden="1">{"client stats",#N/A,FALSE,"Client"}</definedName>
    <definedName name="wrn.Client._.stats._5_4" hidden="1">{"client stats",#N/A,FALSE,"Client"}</definedName>
    <definedName name="wrn.Client._.stats._5_5" localSheetId="3" hidden="1">{"client stats",#N/A,FALSE,"Client"}</definedName>
    <definedName name="wrn.Client._.stats._5_5" hidden="1">{"client stats",#N/A,FALSE,"Client"}</definedName>
    <definedName name="wrn.Client3." localSheetId="3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localSheetId="4" hidden="1">{#N/A,#N/A,FALSE,"FAB VENDORS";"BUD SUM",#N/A,FALSE,"BUD SUM WO TEX"}</definedName>
    <definedName name="WRN.CM" localSheetId="3" hidden="1">{#N/A,#N/A,FALSE,"FAB VENDORS";"BUD SUM",#N/A,FALSE,"BUD SUM WO TEX"}</definedName>
    <definedName name="WRN.CM" hidden="1">{#N/A,#N/A,FALSE,"FAB VENDORS";"BUD SUM",#N/A,FALSE,"BUD SUM WO TEX"}</definedName>
    <definedName name="wrn.CM_ALL." localSheetId="3" hidden="1">{"LAPO2N2",#N/A,FALSE,"CM";"TOTTEXAS",#N/A,FALSE,"CM";"LOUISIANA",#N/A,FALSE,"CM";"GENERALH2",#N/A,FALSE,"CM";"PRS",#N/A,FALSE,"CM";"PACKAGE",#N/A,FALSE,"CM";"OTHER",#N/A,FALSE,"CM"}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localSheetId="3" hidden="1">{"GENERALH2",#N/A,FALSE,"CM"}</definedName>
    <definedName name="wrn.CM_GENERALH2." hidden="1">{"GENERALH2",#N/A,FALSE,"CM"}</definedName>
    <definedName name="wrn.CM_LAPORTE_O2N2." localSheetId="3" hidden="1">{"LAPO2N2",#N/A,FALSE,"CM"}</definedName>
    <definedName name="wrn.CM_LAPORTE_O2N2." hidden="1">{"LAPO2N2",#N/A,FALSE,"CM"}</definedName>
    <definedName name="wrn.CM_LOUISIANA." localSheetId="3" hidden="1">{"LOUISIANA",#N/A,FALSE,"CM"}</definedName>
    <definedName name="wrn.CM_LOUISIANA." hidden="1">{"LOUISIANA",#N/A,FALSE,"CM"}</definedName>
    <definedName name="wrn.CM_OTHER." localSheetId="3" hidden="1">{"OTHER",#N/A,FALSE,"CM"}</definedName>
    <definedName name="wrn.CM_OTHER." hidden="1">{"OTHER",#N/A,FALSE,"CM"}</definedName>
    <definedName name="wrn.CM_PACKAGE." localSheetId="3" hidden="1">{"PACKAGE",#N/A,FALSE,"CM"}</definedName>
    <definedName name="wrn.CM_PACKAGE." hidden="1">{"PACKAGE",#N/A,FALSE,"CM"}</definedName>
    <definedName name="wrn.CM_PRS." localSheetId="3" hidden="1">{"PRS",#N/A,FALSE,"CM"}</definedName>
    <definedName name="wrn.CM_PRS." hidden="1">{"PRS",#N/A,FALSE,"CM"}</definedName>
    <definedName name="wrn.CM_TEXAS._.HYCO." localSheetId="3" hidden="1">{"TOTTEXAS",#N/A,FALSE,"CM"}</definedName>
    <definedName name="wrn.CM_TEXAS._.HYCO." hidden="1">{"TOTTEXAS",#N/A,FALSE,"CM"}</definedName>
    <definedName name="wrn.CMN_FE_1." localSheetId="3" hidden="1">{#N/A,#N/A,FALSE,"CMN_FE"}</definedName>
    <definedName name="wrn.CMN_FE_1." hidden="1">{#N/A,#N/A,FALSE,"CMN_FE"}</definedName>
    <definedName name="wrn.CMN_FE_2." localSheetId="3" hidden="1">{#N/A,#N/A,FALSE,"CMN_FE"}</definedName>
    <definedName name="wrn.CMN_FE_2." hidden="1">{#N/A,#N/A,FALSE,"CMN_FE"}</definedName>
    <definedName name="wrn.CMN_FE_3." localSheetId="3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localSheetId="3" hidden="1">{"Page1",#N/A,FALSE,"OpExJanvsBud";"Page2",#N/A,FALSE,"OpExJanvsBud"}</definedName>
    <definedName name="wrn.CMVsBud." hidden="1">{"Page1",#N/A,FALSE,"OpExJanvsBud";"Page2",#N/A,FALSE,"OpExJanvsBud"}</definedName>
    <definedName name="wrn.CMVsPY." localSheetId="3" hidden="1">{"Page 1",#N/A,FALSE,"OpExJanVsPY";"Page 2",#N/A,FALSE,"OpExJanVsPY"}</definedName>
    <definedName name="wrn.CMVsPY." hidden="1">{"Page 1",#N/A,FALSE,"OpExJanVsPY";"Page 2",#N/A,FALSE,"OpExJanVsPY"}</definedName>
    <definedName name="wrn.COLOREP._.REPORT._.PACKAGE." localSheetId="3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localSheetId="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3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3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cast." localSheetId="3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localSheetId="3" hidden="1">{#N/A,#N/A,FALSE,"comp";#N/A,#N/A,FALSE,"Alpha";#N/A,#N/A,FALSE,"Hi";#N/A,#N/A,FALSE,"Lo";#N/A,#N/A,FALSE,"Mkt. Cap";#N/A,#N/A,FALSE,"Categ."}</definedName>
    <definedName name="wrn.Comp._.and._.Prices." hidden="1">{#N/A,#N/A,FALSE,"comp";#N/A,#N/A,FALSE,"Alpha";#N/A,#N/A,FALSE,"Hi";#N/A,#N/A,FALSE,"Lo";#N/A,#N/A,FALSE,"Mkt. Cap";#N/A,#N/A,FALSE,"Categ."}</definedName>
    <definedName name="wrn.COMPCO." localSheetId="4" hidden="1">{"mult96",#N/A,FALSE,"PETCOMP";"est96",#N/A,FALSE,"PETCOMP";"mult95",#N/A,FALSE,"PETCOMP";"est95",#N/A,FALSE,"PETCOMP";"multltm",#N/A,FALSE,"PETCOMP";"resultltm",#N/A,FALSE,"PETCOMP"}</definedName>
    <definedName name="wrn.compco." localSheetId="3">{"mult96",#N/A,FALSE,"PETCOMP";"est96",#N/A,FALSE,"PETCOMP";"mult95",#N/A,FALSE,"PETCOMP";"est95",#N/A,FALSE,"PETCOMP";"multltm",#N/A,FALSE,"PETCOMP";"resultltm",#N/A,FALSE,"PETCOMP"}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localSheetId="3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._.Only._1" localSheetId="3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localSheetId="3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localSheetId="3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localSheetId="3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localSheetId="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localSheetId="3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localSheetId="3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localSheetId="3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localSheetId="3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localSheetId="3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localSheetId="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localSheetId="3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localSheetId="3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localSheetId="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localSheetId="3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localSheetId="3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localSheetId="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localSheetId="3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localSheetId="3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localSheetId="3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localSheetId="3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localSheetId="3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localSheetId="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localSheetId="3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localSheetId="3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localSheetId="3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localSheetId="3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localSheetId="3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localSheetId="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localSheetId="3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localSheetId="3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co._2" localSheetId="3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localSheetId="3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localSheetId="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localSheetId="3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localSheetId="3" hidden="1">{"mult96",#N/A,FALSE,"PETCOMP";"est96",#N/A,FALSE,"PETCOMP";"mult95",#N/A,FALSE,"PETCOMP";"est95",#N/A,FALSE,"PETCOMP";"multltm",#N/A,FALSE,"PETCOMP";"resultltm",#N/A,FALSE,"PETCOMP"}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 localSheetId="4" hidden="1">{"mult96",#N/A,FALSE,"PETCOMP";"est96",#N/A,FALSE,"PETCOMP";"mult95",#N/A,FALSE,"PETCOMP";"est95",#N/A,FALSE,"PETCOMP";"multltm",#N/A,FALSE,"PETCOMP";"resultltm",#N/A,FALSE,"PETCOMP"}</definedName>
    <definedName name="wrn.compco2" localSheetId="3">{"page1",#N/A,FALSE,"BHCOMPC5";"page2",#N/A,FALSE,"BHCOMPC5";"page3",#N/A,FALSE,"BHCOMPC5";"page4",#N/A,FALSE,"BHCOMPC5"}</definedName>
    <definedName name="wrn.compco2">{"page1",#N/A,FALSE,"BHCOMPC5";"page2",#N/A,FALSE,"BHCOMPC5";"page3",#N/A,FALSE,"BHCOMPC5";"page4",#N/A,FALSE,"BHCOMPC5"}</definedName>
    <definedName name="wrn.competitor._.analysis." localSheetId="3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localSheetId="3" hidden="1">{"HIPOTESIS",#N/A,FALSE,"INDUSTRIAL";"CUADRO",#N/A,FALSE,"INDUSTRIAL";"HIPOTESIS",#N/A,FALSE,"COMERCIAL";"CUADRO",#N/A,FALSE,"COMERCIAL"}</definedName>
    <definedName name="wrn.COMPLET." hidden="1">{"HIPOTESIS",#N/A,FALSE,"INDUSTRIAL";"CUADRO",#N/A,FALSE,"INDUSTRIAL";"HIPOTESIS",#N/A,FALSE,"COMERCIAL";"CUADRO",#N/A,FALSE,"COMERCIAL"}</definedName>
    <definedName name="wrn.complet._.sauf._.balance." localSheetId="3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3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localSheetId="3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3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localSheetId="3" hidden="1">{"comps",#N/A,FALSE,"comps";"notes",#N/A,FALSE,"comps"}</definedName>
    <definedName name="wrn.comps." hidden="1">{"comps",#N/A,FALSE,"comps";"notes",#N/A,FALSE,"comps"}</definedName>
    <definedName name="wrn.Computation._.3CD._.Details." localSheetId="3" hidden="1">{"Computation Tax",#N/A,FALSE,"43B";"Dep I.Tax",#N/A,FALSE,"43B";"I Tax Losses",#N/A,FALSE,"43B";"Annex-III 3CD",#N/A,FALSE,"43B";"Cash Payments",#N/A,FALSE,"43B";"43B",#N/A,FALSE,"43B"}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localSheetId="3" hidden="1">{#N/A,#N/A,FALSE,"BalSheet 0899";#N/A,#N/A,FALSE,"ytdpl899";#N/A,#N/A,FALSE,"Aug PL";#N/A,#N/A,FALSE,"Minority Int";#N/A,#N/A,FALSE,"Equity Roll Forward";#N/A,#N/A,FALSE,"Book Equity Test"}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localSheetId="3" hidden="1">{"income",#N/A,FALSE,"CONSOLIDATED";"value",#N/A,FALSE,"CONSOLIDATED"}</definedName>
    <definedName name="wrn.consolidated." hidden="1">{"income",#N/A,FALSE,"CONSOLIDATED";"value",#N/A,FALSE,"CONSOLIDATED"}</definedName>
    <definedName name="wrn.Consolidated._.Latest._.Estimates." localSheetId="3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localSheetId="3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localSheetId="3" hidden="1">{"view1",#N/A,FALSE,"EARN (US$)";"view1",#N/A,FALSE,"DASTBS (US$)";"view1",#N/A,FALSE,"DASTCF (US$)"}</definedName>
    <definedName name="wrn.Consolidated._.Statements." hidden="1">{"view1",#N/A,FALSE,"EARN (US$)";"view1",#N/A,FALSE,"DASTBS (US$)";"view1",#N/A,FALSE,"DASTCF (US$)"}</definedName>
    <definedName name="wrn.consolidated._1" localSheetId="3" hidden="1">{"income",#N/A,FALSE,"CONSOLIDATED";"value",#N/A,FALSE,"CONSOLIDATED"}</definedName>
    <definedName name="wrn.consolidated._1" hidden="1">{"income",#N/A,FALSE,"CONSOLIDATED";"value",#N/A,FALSE,"CONSOLIDATED"}</definedName>
    <definedName name="wrn.consolidated._1_1" localSheetId="3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localSheetId="3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localSheetId="3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localSheetId="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localSheetId="3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localSheetId="3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localSheetId="3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localSheetId="3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localSheetId="3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localSheetId="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localSheetId="3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localSheetId="3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localSheetId="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localSheetId="3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localSheetId="3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localSheetId="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localSheetId="3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localSheetId="3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localSheetId="3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localSheetId="3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localSheetId="3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localSheetId="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localSheetId="3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localSheetId="3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localSheetId="3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localSheetId="3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localSheetId="3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localSheetId="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localSheetId="3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localSheetId="3" hidden="1">{"Consolidating P&amp;L",#N/A,FALSE,"CONSING99"}</definedName>
    <definedName name="wrn.consolidatin1" hidden="1">{"Consolidating P&amp;L",#N/A,FALSE,"CONSING99"}</definedName>
    <definedName name="wrn.Consolidating." localSheetId="3" hidden="1">{"Consolidating P&amp;L",#N/A,FALSE,"CONSING99"}</definedName>
    <definedName name="wrn.Consolidating." hidden="1">{"Consolidating P&amp;L",#N/A,FALSE,"CONSING99"}</definedName>
    <definedName name="wrn.CONSOLIDATION." localSheetId="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localSheetId="4" hidden="1">{"CONSOLIDATED - activ",#N/A,FALSE,"Consolidation";"CONSOLIDATED - passiv",#N/A,FALSE,"Consolidation";"CONSOLIDATED - P&amp;L",#N/A,FALSE,"Consolidation";"CONSOLIDATED - P.N.",#N/A,FALSE,"Consolidation"}</definedName>
    <definedName name="wrn.Consolidation._.Report." localSheetId="3" hidden="1">{"CONSOLIDATED - activ",#N/A,FALSE,"Consolidation";"CONSOLIDATED - passiv",#N/A,FALSE,"Consolidation";"CONSOLIDATED - P&amp;L",#N/A,FALSE,"Consolidation";"CONSOLIDATED - P.N.",#N/A,FALSE,"Consolidation"}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localSheetId="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localSheetId="3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localSheetId="4" hidden="1">{#N/A,#N/A,FALSE,"A"}</definedName>
    <definedName name="wrn.CONTRACT._.WIP._.1997." localSheetId="3" hidden="1">{#N/A,#N/A,FALSE,"A"}</definedName>
    <definedName name="wrn.CONTRACT._.WIP._.1997." hidden="1">{#N/A,#N/A,FALSE,"A"}</definedName>
    <definedName name="wrn.contribution." localSheetId="4" hidden="1">{#N/A,#N/A,FALSE,"Contribution Analysis"}</definedName>
    <definedName name="wrn.contribution." localSheetId="3" hidden="1">{#N/A,#N/A,FALSE,"Contribution Analysis"}</definedName>
    <definedName name="wrn.contribution." hidden="1">{#N/A,#N/A,FALSE,"Contribution Analysis"}</definedName>
    <definedName name="wrn.contribution._1" localSheetId="3" hidden="1">{#N/A,#N/A,FALSE,"Contribution Analysis"}</definedName>
    <definedName name="wrn.contribution._1" hidden="1">{#N/A,#N/A,FALSE,"Contribution Analysis"}</definedName>
    <definedName name="wrn.contribution._1_1" localSheetId="3" hidden="1">{#N/A,#N/A,FALSE,"Contribution Analysis"}</definedName>
    <definedName name="wrn.contribution._1_1" hidden="1">{#N/A,#N/A,FALSE,"Contribution Analysis"}</definedName>
    <definedName name="wrn.contribution._1_2" localSheetId="3" hidden="1">{#N/A,#N/A,FALSE,"Contribution Analysis"}</definedName>
    <definedName name="wrn.contribution._1_2" hidden="1">{#N/A,#N/A,FALSE,"Contribution Analysis"}</definedName>
    <definedName name="wrn.contribution._1_3" localSheetId="3" hidden="1">{#N/A,#N/A,FALSE,"Contribution Analysis"}</definedName>
    <definedName name="wrn.contribution._1_3" hidden="1">{#N/A,#N/A,FALSE,"Contribution Analysis"}</definedName>
    <definedName name="wrn.contribution._1_4" localSheetId="3" hidden="1">{#N/A,#N/A,FALSE,"Contribution Analysis"}</definedName>
    <definedName name="wrn.contribution._1_4" hidden="1">{#N/A,#N/A,FALSE,"Contribution Analysis"}</definedName>
    <definedName name="wrn.contribution._1_5" localSheetId="3" hidden="1">{#N/A,#N/A,FALSE,"Contribution Analysis"}</definedName>
    <definedName name="wrn.contribution._1_5" hidden="1">{#N/A,#N/A,FALSE,"Contribution Analysis"}</definedName>
    <definedName name="wrn.contribution._2" localSheetId="3" hidden="1">{#N/A,#N/A,FALSE,"Contribution Analysis"}</definedName>
    <definedName name="wrn.contribution._2" hidden="1">{#N/A,#N/A,FALSE,"Contribution Analysis"}</definedName>
    <definedName name="wrn.contribution._2_1" localSheetId="3" hidden="1">{#N/A,#N/A,FALSE,"Contribution Analysis"}</definedName>
    <definedName name="wrn.contribution._2_1" hidden="1">{#N/A,#N/A,FALSE,"Contribution Analysis"}</definedName>
    <definedName name="wrn.contribution._2_2" localSheetId="3" hidden="1">{#N/A,#N/A,FALSE,"Contribution Analysis"}</definedName>
    <definedName name="wrn.contribution._2_2" hidden="1">{#N/A,#N/A,FALSE,"Contribution Analysis"}</definedName>
    <definedName name="wrn.contribution._2_3" localSheetId="3" hidden="1">{#N/A,#N/A,FALSE,"Contribution Analysis"}</definedName>
    <definedName name="wrn.contribution._2_3" hidden="1">{#N/A,#N/A,FALSE,"Contribution Analysis"}</definedName>
    <definedName name="wrn.contribution._2_4" localSheetId="3" hidden="1">{#N/A,#N/A,FALSE,"Contribution Analysis"}</definedName>
    <definedName name="wrn.contribution._2_4" hidden="1">{#N/A,#N/A,FALSE,"Contribution Analysis"}</definedName>
    <definedName name="wrn.contribution._2_5" localSheetId="3" hidden="1">{#N/A,#N/A,FALSE,"Contribution Analysis"}</definedName>
    <definedName name="wrn.contribution._2_5" hidden="1">{#N/A,#N/A,FALSE,"Contribution Analysis"}</definedName>
    <definedName name="wrn.contribution._3" localSheetId="3" hidden="1">{#N/A,#N/A,FALSE,"Contribution Analysis"}</definedName>
    <definedName name="wrn.contribution._3" hidden="1">{#N/A,#N/A,FALSE,"Contribution Analysis"}</definedName>
    <definedName name="wrn.contribution._3_1" localSheetId="3" hidden="1">{#N/A,#N/A,FALSE,"Contribution Analysis"}</definedName>
    <definedName name="wrn.contribution._3_1" hidden="1">{#N/A,#N/A,FALSE,"Contribution Analysis"}</definedName>
    <definedName name="wrn.contribution._3_2" localSheetId="3" hidden="1">{#N/A,#N/A,FALSE,"Contribution Analysis"}</definedName>
    <definedName name="wrn.contribution._3_2" hidden="1">{#N/A,#N/A,FALSE,"Contribution Analysis"}</definedName>
    <definedName name="wrn.contribution._3_3" localSheetId="3" hidden="1">{#N/A,#N/A,FALSE,"Contribution Analysis"}</definedName>
    <definedName name="wrn.contribution._3_3" hidden="1">{#N/A,#N/A,FALSE,"Contribution Analysis"}</definedName>
    <definedName name="wrn.contribution._3_4" localSheetId="3" hidden="1">{#N/A,#N/A,FALSE,"Contribution Analysis"}</definedName>
    <definedName name="wrn.contribution._3_4" hidden="1">{#N/A,#N/A,FALSE,"Contribution Analysis"}</definedName>
    <definedName name="wrn.contribution._3_5" localSheetId="3" hidden="1">{#N/A,#N/A,FALSE,"Contribution Analysis"}</definedName>
    <definedName name="wrn.contribution._3_5" hidden="1">{#N/A,#N/A,FALSE,"Contribution Analysis"}</definedName>
    <definedName name="wrn.contribution._4" localSheetId="3" hidden="1">{#N/A,#N/A,FALSE,"Contribution Analysis"}</definedName>
    <definedName name="wrn.contribution._4" hidden="1">{#N/A,#N/A,FALSE,"Contribution Analysis"}</definedName>
    <definedName name="wrn.contribution._4_1" localSheetId="3" hidden="1">{#N/A,#N/A,FALSE,"Contribution Analysis"}</definedName>
    <definedName name="wrn.contribution._4_1" hidden="1">{#N/A,#N/A,FALSE,"Contribution Analysis"}</definedName>
    <definedName name="wrn.contribution._4_2" localSheetId="3" hidden="1">{#N/A,#N/A,FALSE,"Contribution Analysis"}</definedName>
    <definedName name="wrn.contribution._4_2" hidden="1">{#N/A,#N/A,FALSE,"Contribution Analysis"}</definedName>
    <definedName name="wrn.contribution._4_3" localSheetId="3" hidden="1">{#N/A,#N/A,FALSE,"Contribution Analysis"}</definedName>
    <definedName name="wrn.contribution._4_3" hidden="1">{#N/A,#N/A,FALSE,"Contribution Analysis"}</definedName>
    <definedName name="wrn.contribution._4_4" localSheetId="3" hidden="1">{#N/A,#N/A,FALSE,"Contribution Analysis"}</definedName>
    <definedName name="wrn.contribution._4_4" hidden="1">{#N/A,#N/A,FALSE,"Contribution Analysis"}</definedName>
    <definedName name="wrn.contribution._4_5" localSheetId="3" hidden="1">{#N/A,#N/A,FALSE,"Contribution Analysis"}</definedName>
    <definedName name="wrn.contribution._4_5" hidden="1">{#N/A,#N/A,FALSE,"Contribution Analysis"}</definedName>
    <definedName name="wrn.contribution._5" localSheetId="3" hidden="1">{#N/A,#N/A,FALSE,"Contribution Analysis"}</definedName>
    <definedName name="wrn.contribution._5" hidden="1">{#N/A,#N/A,FALSE,"Contribution Analysis"}</definedName>
    <definedName name="wrn.contribution._5_1" localSheetId="3" hidden="1">{#N/A,#N/A,FALSE,"Contribution Analysis"}</definedName>
    <definedName name="wrn.contribution._5_1" hidden="1">{#N/A,#N/A,FALSE,"Contribution Analysis"}</definedName>
    <definedName name="wrn.contribution._5_2" localSheetId="3" hidden="1">{#N/A,#N/A,FALSE,"Contribution Analysis"}</definedName>
    <definedName name="wrn.contribution._5_2" hidden="1">{#N/A,#N/A,FALSE,"Contribution Analysis"}</definedName>
    <definedName name="wrn.contribution._5_3" localSheetId="3" hidden="1">{#N/A,#N/A,FALSE,"Contribution Analysis"}</definedName>
    <definedName name="wrn.contribution._5_3" hidden="1">{#N/A,#N/A,FALSE,"Contribution Analysis"}</definedName>
    <definedName name="wrn.contribution._5_4" localSheetId="3" hidden="1">{#N/A,#N/A,FALSE,"Contribution Analysis"}</definedName>
    <definedName name="wrn.contribution._5_4" hidden="1">{#N/A,#N/A,FALSE,"Contribution Analysis"}</definedName>
    <definedName name="wrn.contribution._5_5" localSheetId="3" hidden="1">{#N/A,#N/A,FALSE,"Contribution Analysis"}</definedName>
    <definedName name="wrn.contribution._5_5" hidden="1">{#N/A,#N/A,FALSE,"Contribution Analysis"}</definedName>
    <definedName name="wrn.contribution1" localSheetId="3" hidden="1">{#N/A,#N/A,FALSE,"Contribution Analysis"}</definedName>
    <definedName name="wrn.contribution1" hidden="1">{#N/A,#N/A,FALSE,"Contribution Analysis"}</definedName>
    <definedName name="wrn.contributory._.asset._.charges." localSheetId="4" hidden="1">{"contributory1",#N/A,FALSE,"Contributory Assets Detail";"contributory2",#N/A,FALSE,"Contributory Assets Detail"}</definedName>
    <definedName name="wrn.contributory._.asset._.charges." localSheetId="3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oper." localSheetId="3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p._.IT._.Monthly._.Results." localSheetId="3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localSheetId="3" hidden="1">{"PAGE 1",#N/A,FALSE,"COS";"PAGE 2",#N/A,FALSE,"COS";"PAGE 3",#N/A,FALSE,"COS"}</definedName>
    <definedName name="wrn.COS." hidden="1">{"PAGE 1",#N/A,FALSE,"COS";"PAGE 2",#N/A,FALSE,"COS";"PAGE 3",#N/A,FALSE,"COS"}</definedName>
    <definedName name="wrn.COS._.EX._.GEISMAR." localSheetId="3" hidden="1">{"PAGE 1",#N/A,FALSE,"COS Excluding Geismar";"PAGE 2",#N/A,FALSE,"COS Excluding Geismar";"PAGE 3",#N/A,FALSE,"COS Excluding Geismar"}</definedName>
    <definedName name="wrn.COS._.EX._.GEISMAR." hidden="1">{"PAGE 1",#N/A,FALSE,"COS Excluding Geismar";"PAGE 2",#N/A,FALSE,"COS Excluding Geismar";"PAGE 3",#N/A,FALSE,"COS Excluding Geismar"}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localSheetId="3" hidden="1">{"cogs",#N/A,FALSE,"Cost Of Goods Sold"}</definedName>
    <definedName name="wrn.COST._.OF._.GOODS._.SOLD." hidden="1">{"cogs",#N/A,FALSE,"Cost Of Goods Sold"}</definedName>
    <definedName name="wrn.COST._.OF._.SALES." localSheetId="3" hidden="1">{"COST OF SALES",#N/A,FALSE,"C.O.SALES"}</definedName>
    <definedName name="wrn.COST._.OF._.SALES." hidden="1">{"COST OF SALES",#N/A,FALSE,"C.O.SALES"}</definedName>
    <definedName name="wrn.COSTIMP." localSheetId="4" hidden="1">{"sch56",#N/A,FALSE,"savings";"sch64",#N/A,FALSE,"savings"}</definedName>
    <definedName name="wrn.COSTIMP." localSheetId="3" hidden="1">{"sch56",#N/A,FALSE,"savings";"sch64",#N/A,FALSE,"savings"}</definedName>
    <definedName name="wrn.COSTIMP." hidden="1">{"sch56",#N/A,FALSE,"savings";"sch64",#N/A,FALSE,"savings"}</definedName>
    <definedName name="wrn.cotop." localSheetId="3" hidden="1">{"ReportTop",#N/A,FALSE,"report top"}</definedName>
    <definedName name="wrn.cotop." hidden="1">{"ReportTop",#N/A,FALSE,"report top"}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localSheetId="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localSheetId="3" hidden="1">{"view1",#N/A,FALSE,"MOTEARN";"view1",#N/A,FALSE,"Bal Sht";"view1",#N/A,FALSE,"Cash Flows"}</definedName>
    <definedName name="wrn.Covers." hidden="1">{"view1",#N/A,FALSE,"MOTEARN";"view1",#N/A,FALSE,"Bal Sht";"view1",#N/A,FALSE,"Cash Flows"}</definedName>
    <definedName name="wrn.cowboy." localSheetId="3" hidden="1">{"assumptions",#N/A,FALSE,"Assumption Summary";"proforma97",#N/A,FALSE,"97 pro forma";"sensitivity97",#N/A,FALSE,"97 sensitivity ";"proforma98",#N/A,FALSE,"98 pro forma";"sensitivity98",#N/A,FALSE,"98 sensitivity"}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localSheetId="3" hidden="1">{#N/A,#N/A,FALSE,"CPB"}</definedName>
    <definedName name="wrn.CPB." hidden="1">{#N/A,#N/A,FALSE,"CPB"}</definedName>
    <definedName name="wrn.Credit._.Summary." localSheetId="3" hidden="1">{#N/A,#N/A,FALSE,"Credit Summary"}</definedName>
    <definedName name="wrn.Credit._.Summary." hidden="1">{#N/A,#N/A,FALSE,"Credit Summary"}</definedName>
    <definedName name="wrn.CS_SCH_2." localSheetId="3" hidden="1">{"SP_MILL_MIX_150PRESS",#N/A,FALSE,"sch._cs";"SP_OTHERS",#N/A,FALSE,"sch._cs";"BP",#N/A,FALSE,"sch._cs";"KILN_SHAFT_SHUTTLE_L/UNL_BELL_CC",#N/A,FALSE,"sch._cs";"CHK_BTK_GPP_L/UNL-BP",#N/A,FALSE,"sch._cs"}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localSheetId="3" hidden="1">{"RATIO",#N/A,FALSE,"sch._cs";"FB",#N/A,FALSE,"sch._cs";"SP_MILL_MIX_150PRESS",#N/A,FALSE,"sch._cs"}</definedName>
    <definedName name="wrn.CS_SCHEDULE." hidden="1">{"RATIO",#N/A,FALSE,"sch._cs";"FB",#N/A,FALSE,"sch._cs";"SP_MILL_MIX_150PRESS",#N/A,FALSE,"sch._cs"}</definedName>
    <definedName name="wrn.csc." localSheetId="4" hidden="1">{"orixcsc",#N/A,FALSE,"ORIX CSC";"orixcsc2",#N/A,FALSE,"ORIX CSC"}</definedName>
    <definedName name="wrn.csc." localSheetId="3" hidden="1">{"orixcsc",#N/A,FALSE,"ORIX CSC";"orixcsc2",#N/A,FALSE,"ORIX CSC"}</definedName>
    <definedName name="wrn.csc." hidden="1">{"orixcsc",#N/A,FALSE,"ORIX CSC";"orixcsc2",#N/A,FALSE,"ORIX CSC"}</definedName>
    <definedName name="wrn.csc._1" localSheetId="3" hidden="1">{"orixcsc",#N/A,FALSE,"ORIX CSC";"orixcsc2",#N/A,FALSE,"ORIX CSC"}</definedName>
    <definedName name="wrn.csc._1" hidden="1">{"orixcsc",#N/A,FALSE,"ORIX CSC";"orixcsc2",#N/A,FALSE,"ORIX CSC"}</definedName>
    <definedName name="wrn.csc._1_1" localSheetId="3" hidden="1">{"orixcsc",#N/A,FALSE,"ORIX CSC";"orixcsc2",#N/A,FALSE,"ORIX CSC"}</definedName>
    <definedName name="wrn.csc._1_1" hidden="1">{"orixcsc",#N/A,FALSE,"ORIX CSC";"orixcsc2",#N/A,FALSE,"ORIX CSC"}</definedName>
    <definedName name="wrn.csc._1_2" localSheetId="3" hidden="1">{"orixcsc",#N/A,FALSE,"ORIX CSC";"orixcsc2",#N/A,FALSE,"ORIX CSC"}</definedName>
    <definedName name="wrn.csc._1_2" hidden="1">{"orixcsc",#N/A,FALSE,"ORIX CSC";"orixcsc2",#N/A,FALSE,"ORIX CSC"}</definedName>
    <definedName name="wrn.csc._1_3" localSheetId="3" hidden="1">{"orixcsc",#N/A,FALSE,"ORIX CSC";"orixcsc2",#N/A,FALSE,"ORIX CSC"}</definedName>
    <definedName name="wrn.csc._1_3" hidden="1">{"orixcsc",#N/A,FALSE,"ORIX CSC";"orixcsc2",#N/A,FALSE,"ORIX CSC"}</definedName>
    <definedName name="wrn.csc._1_4" localSheetId="3" hidden="1">{"orixcsc",#N/A,FALSE,"ORIX CSC";"orixcsc2",#N/A,FALSE,"ORIX CSC"}</definedName>
    <definedName name="wrn.csc._1_4" hidden="1">{"orixcsc",#N/A,FALSE,"ORIX CSC";"orixcsc2",#N/A,FALSE,"ORIX CSC"}</definedName>
    <definedName name="wrn.csc._1_5" localSheetId="3" hidden="1">{"orixcsc",#N/A,FALSE,"ORIX CSC";"orixcsc2",#N/A,FALSE,"ORIX CSC"}</definedName>
    <definedName name="wrn.csc._1_5" hidden="1">{"orixcsc",#N/A,FALSE,"ORIX CSC";"orixcsc2",#N/A,FALSE,"ORIX CSC"}</definedName>
    <definedName name="wrn.csc._2" localSheetId="3" hidden="1">{"orixcsc",#N/A,FALSE,"ORIX CSC";"orixcsc2",#N/A,FALSE,"ORIX CSC"}</definedName>
    <definedName name="wrn.csc._2" hidden="1">{"orixcsc",#N/A,FALSE,"ORIX CSC";"orixcsc2",#N/A,FALSE,"ORIX CSC"}</definedName>
    <definedName name="wrn.csc._2_1" localSheetId="3" hidden="1">{"orixcsc",#N/A,FALSE,"ORIX CSC";"orixcsc2",#N/A,FALSE,"ORIX CSC"}</definedName>
    <definedName name="wrn.csc._2_1" hidden="1">{"orixcsc",#N/A,FALSE,"ORIX CSC";"orixcsc2",#N/A,FALSE,"ORIX CSC"}</definedName>
    <definedName name="wrn.csc._2_2" localSheetId="3" hidden="1">{"orixcsc",#N/A,FALSE,"ORIX CSC";"orixcsc2",#N/A,FALSE,"ORIX CSC"}</definedName>
    <definedName name="wrn.csc._2_2" hidden="1">{"orixcsc",#N/A,FALSE,"ORIX CSC";"orixcsc2",#N/A,FALSE,"ORIX CSC"}</definedName>
    <definedName name="wrn.csc._2_3" localSheetId="3" hidden="1">{"orixcsc",#N/A,FALSE,"ORIX CSC";"orixcsc2",#N/A,FALSE,"ORIX CSC"}</definedName>
    <definedName name="wrn.csc._2_3" hidden="1">{"orixcsc",#N/A,FALSE,"ORIX CSC";"orixcsc2",#N/A,FALSE,"ORIX CSC"}</definedName>
    <definedName name="wrn.csc._2_4" localSheetId="3" hidden="1">{"orixcsc",#N/A,FALSE,"ORIX CSC";"orixcsc2",#N/A,FALSE,"ORIX CSC"}</definedName>
    <definedName name="wrn.csc._2_4" hidden="1">{"orixcsc",#N/A,FALSE,"ORIX CSC";"orixcsc2",#N/A,FALSE,"ORIX CSC"}</definedName>
    <definedName name="wrn.csc._2_5" localSheetId="3" hidden="1">{"orixcsc",#N/A,FALSE,"ORIX CSC";"orixcsc2",#N/A,FALSE,"ORIX CSC"}</definedName>
    <definedName name="wrn.csc._2_5" hidden="1">{"orixcsc",#N/A,FALSE,"ORIX CSC";"orixcsc2",#N/A,FALSE,"ORIX CSC"}</definedName>
    <definedName name="wrn.csc._3" localSheetId="3" hidden="1">{"orixcsc",#N/A,FALSE,"ORIX CSC";"orixcsc2",#N/A,FALSE,"ORIX CSC"}</definedName>
    <definedName name="wrn.csc._3" hidden="1">{"orixcsc",#N/A,FALSE,"ORIX CSC";"orixcsc2",#N/A,FALSE,"ORIX CSC"}</definedName>
    <definedName name="wrn.csc._3_1" localSheetId="3" hidden="1">{"orixcsc",#N/A,FALSE,"ORIX CSC";"orixcsc2",#N/A,FALSE,"ORIX CSC"}</definedName>
    <definedName name="wrn.csc._3_1" hidden="1">{"orixcsc",#N/A,FALSE,"ORIX CSC";"orixcsc2",#N/A,FALSE,"ORIX CSC"}</definedName>
    <definedName name="wrn.csc._3_2" localSheetId="3" hidden="1">{"orixcsc",#N/A,FALSE,"ORIX CSC";"orixcsc2",#N/A,FALSE,"ORIX CSC"}</definedName>
    <definedName name="wrn.csc._3_2" hidden="1">{"orixcsc",#N/A,FALSE,"ORIX CSC";"orixcsc2",#N/A,FALSE,"ORIX CSC"}</definedName>
    <definedName name="wrn.csc._3_3" localSheetId="3" hidden="1">{"orixcsc",#N/A,FALSE,"ORIX CSC";"orixcsc2",#N/A,FALSE,"ORIX CSC"}</definedName>
    <definedName name="wrn.csc._3_3" hidden="1">{"orixcsc",#N/A,FALSE,"ORIX CSC";"orixcsc2",#N/A,FALSE,"ORIX CSC"}</definedName>
    <definedName name="wrn.csc._3_4" localSheetId="3" hidden="1">{"orixcsc",#N/A,FALSE,"ORIX CSC";"orixcsc2",#N/A,FALSE,"ORIX CSC"}</definedName>
    <definedName name="wrn.csc._3_4" hidden="1">{"orixcsc",#N/A,FALSE,"ORIX CSC";"orixcsc2",#N/A,FALSE,"ORIX CSC"}</definedName>
    <definedName name="wrn.csc._3_5" localSheetId="3" hidden="1">{"orixcsc",#N/A,FALSE,"ORIX CSC";"orixcsc2",#N/A,FALSE,"ORIX CSC"}</definedName>
    <definedName name="wrn.csc._3_5" hidden="1">{"orixcsc",#N/A,FALSE,"ORIX CSC";"orixcsc2",#N/A,FALSE,"ORIX CSC"}</definedName>
    <definedName name="wrn.csc._4" localSheetId="3" hidden="1">{"orixcsc",#N/A,FALSE,"ORIX CSC";"orixcsc2",#N/A,FALSE,"ORIX CSC"}</definedName>
    <definedName name="wrn.csc._4" hidden="1">{"orixcsc",#N/A,FALSE,"ORIX CSC";"orixcsc2",#N/A,FALSE,"ORIX CSC"}</definedName>
    <definedName name="wrn.csc._4_1" localSheetId="3" hidden="1">{"orixcsc",#N/A,FALSE,"ORIX CSC";"orixcsc2",#N/A,FALSE,"ORIX CSC"}</definedName>
    <definedName name="wrn.csc._4_1" hidden="1">{"orixcsc",#N/A,FALSE,"ORIX CSC";"orixcsc2",#N/A,FALSE,"ORIX CSC"}</definedName>
    <definedName name="wrn.csc._4_2" localSheetId="3" hidden="1">{"orixcsc",#N/A,FALSE,"ORIX CSC";"orixcsc2",#N/A,FALSE,"ORIX CSC"}</definedName>
    <definedName name="wrn.csc._4_2" hidden="1">{"orixcsc",#N/A,FALSE,"ORIX CSC";"orixcsc2",#N/A,FALSE,"ORIX CSC"}</definedName>
    <definedName name="wrn.csc._4_3" localSheetId="3" hidden="1">{"orixcsc",#N/A,FALSE,"ORIX CSC";"orixcsc2",#N/A,FALSE,"ORIX CSC"}</definedName>
    <definedName name="wrn.csc._4_3" hidden="1">{"orixcsc",#N/A,FALSE,"ORIX CSC";"orixcsc2",#N/A,FALSE,"ORIX CSC"}</definedName>
    <definedName name="wrn.csc._4_4" localSheetId="3" hidden="1">{"orixcsc",#N/A,FALSE,"ORIX CSC";"orixcsc2",#N/A,FALSE,"ORIX CSC"}</definedName>
    <definedName name="wrn.csc._4_4" hidden="1">{"orixcsc",#N/A,FALSE,"ORIX CSC";"orixcsc2",#N/A,FALSE,"ORIX CSC"}</definedName>
    <definedName name="wrn.csc._4_5" localSheetId="3" hidden="1">{"orixcsc",#N/A,FALSE,"ORIX CSC";"orixcsc2",#N/A,FALSE,"ORIX CSC"}</definedName>
    <definedName name="wrn.csc._4_5" hidden="1">{"orixcsc",#N/A,FALSE,"ORIX CSC";"orixcsc2",#N/A,FALSE,"ORIX CSC"}</definedName>
    <definedName name="wrn.csc._5" localSheetId="3" hidden="1">{"orixcsc",#N/A,FALSE,"ORIX CSC";"orixcsc2",#N/A,FALSE,"ORIX CSC"}</definedName>
    <definedName name="wrn.csc._5" hidden="1">{"orixcsc",#N/A,FALSE,"ORIX CSC";"orixcsc2",#N/A,FALSE,"ORIX CSC"}</definedName>
    <definedName name="wrn.csc._5_1" localSheetId="3" hidden="1">{"orixcsc",#N/A,FALSE,"ORIX CSC";"orixcsc2",#N/A,FALSE,"ORIX CSC"}</definedName>
    <definedName name="wrn.csc._5_1" hidden="1">{"orixcsc",#N/A,FALSE,"ORIX CSC";"orixcsc2",#N/A,FALSE,"ORIX CSC"}</definedName>
    <definedName name="wrn.csc._5_2" localSheetId="3" hidden="1">{"orixcsc",#N/A,FALSE,"ORIX CSC";"orixcsc2",#N/A,FALSE,"ORIX CSC"}</definedName>
    <definedName name="wrn.csc._5_2" hidden="1">{"orixcsc",#N/A,FALSE,"ORIX CSC";"orixcsc2",#N/A,FALSE,"ORIX CSC"}</definedName>
    <definedName name="wrn.csc._5_3" localSheetId="3" hidden="1">{"orixcsc",#N/A,FALSE,"ORIX CSC";"orixcsc2",#N/A,FALSE,"ORIX CSC"}</definedName>
    <definedName name="wrn.csc._5_3" hidden="1">{"orixcsc",#N/A,FALSE,"ORIX CSC";"orixcsc2",#N/A,FALSE,"ORIX CSC"}</definedName>
    <definedName name="wrn.csc._5_4" localSheetId="3" hidden="1">{"orixcsc",#N/A,FALSE,"ORIX CSC";"orixcsc2",#N/A,FALSE,"ORIX CSC"}</definedName>
    <definedName name="wrn.csc._5_4" hidden="1">{"orixcsc",#N/A,FALSE,"ORIX CSC";"orixcsc2",#N/A,FALSE,"ORIX CSC"}</definedName>
    <definedName name="wrn.csc._5_5" localSheetId="3" hidden="1">{"orixcsc",#N/A,FALSE,"ORIX CSC";"orixcsc2",#N/A,FALSE,"ORIX CSC"}</definedName>
    <definedName name="wrn.csc._5_5" hidden="1">{"orixcsc",#N/A,FALSE,"ORIX CSC";"orixcsc2",#N/A,FALSE,"ORIX CSC"}</definedName>
    <definedName name="wrn.csc1" localSheetId="3" hidden="1">{"orixcsc",#N/A,FALSE,"ORIX CSC";"orixcsc2",#N/A,FALSE,"ORIX CSC"}</definedName>
    <definedName name="wrn.csc1" hidden="1">{"orixcsc",#N/A,FALSE,"ORIX CSC";"orixcsc2",#N/A,FALSE,"ORIX CSC"}</definedName>
    <definedName name="wrn.CSC2" localSheetId="3" hidden="1">{"page1",#N/A,TRUE,"CSC";"page2",#N/A,TRUE,"CSC"}</definedName>
    <definedName name="wrn.CSC2" hidden="1">{"page1",#N/A,TRUE,"CSC";"page2",#N/A,TRUE,"CSC"}</definedName>
    <definedName name="wrn.csc2." localSheetId="4" hidden="1">{#N/A,#N/A,FALSE,"ORIX CSC"}</definedName>
    <definedName name="wrn.csc2." localSheetId="3" hidden="1">{#N/A,#N/A,FALSE,"ORIX CSC"}</definedName>
    <definedName name="wrn.csc2." hidden="1">{#N/A,#N/A,FALSE,"ORIX CSC"}</definedName>
    <definedName name="wrn.csc2._1" localSheetId="3" hidden="1">{#N/A,#N/A,FALSE,"ORIX CSC"}</definedName>
    <definedName name="wrn.csc2._1" hidden="1">{#N/A,#N/A,FALSE,"ORIX CSC"}</definedName>
    <definedName name="wrn.csc2._1_1" localSheetId="3" hidden="1">{#N/A,#N/A,FALSE,"ORIX CSC"}</definedName>
    <definedName name="wrn.csc2._1_1" hidden="1">{#N/A,#N/A,FALSE,"ORIX CSC"}</definedName>
    <definedName name="wrn.csc2._1_2" localSheetId="3" hidden="1">{#N/A,#N/A,FALSE,"ORIX CSC"}</definedName>
    <definedName name="wrn.csc2._1_2" hidden="1">{#N/A,#N/A,FALSE,"ORIX CSC"}</definedName>
    <definedName name="wrn.csc2._1_3" localSheetId="3" hidden="1">{#N/A,#N/A,FALSE,"ORIX CSC"}</definedName>
    <definedName name="wrn.csc2._1_3" hidden="1">{#N/A,#N/A,FALSE,"ORIX CSC"}</definedName>
    <definedName name="wrn.csc2._1_4" localSheetId="3" hidden="1">{#N/A,#N/A,FALSE,"ORIX CSC"}</definedName>
    <definedName name="wrn.csc2._1_4" hidden="1">{#N/A,#N/A,FALSE,"ORIX CSC"}</definedName>
    <definedName name="wrn.csc2._1_5" localSheetId="3" hidden="1">{#N/A,#N/A,FALSE,"ORIX CSC"}</definedName>
    <definedName name="wrn.csc2._1_5" hidden="1">{#N/A,#N/A,FALSE,"ORIX CSC"}</definedName>
    <definedName name="wrn.csc2._2" localSheetId="3" hidden="1">{#N/A,#N/A,FALSE,"ORIX CSC"}</definedName>
    <definedName name="wrn.csc2._2" hidden="1">{#N/A,#N/A,FALSE,"ORIX CSC"}</definedName>
    <definedName name="wrn.csc2._2_1" localSheetId="3" hidden="1">{#N/A,#N/A,FALSE,"ORIX CSC"}</definedName>
    <definedName name="wrn.csc2._2_1" hidden="1">{#N/A,#N/A,FALSE,"ORIX CSC"}</definedName>
    <definedName name="wrn.csc2._2_2" localSheetId="3" hidden="1">{#N/A,#N/A,FALSE,"ORIX CSC"}</definedName>
    <definedName name="wrn.csc2._2_2" hidden="1">{#N/A,#N/A,FALSE,"ORIX CSC"}</definedName>
    <definedName name="wrn.csc2._2_3" localSheetId="3" hidden="1">{#N/A,#N/A,FALSE,"ORIX CSC"}</definedName>
    <definedName name="wrn.csc2._2_3" hidden="1">{#N/A,#N/A,FALSE,"ORIX CSC"}</definedName>
    <definedName name="wrn.csc2._2_4" localSheetId="3" hidden="1">{#N/A,#N/A,FALSE,"ORIX CSC"}</definedName>
    <definedName name="wrn.csc2._2_4" hidden="1">{#N/A,#N/A,FALSE,"ORIX CSC"}</definedName>
    <definedName name="wrn.csc2._2_5" localSheetId="3" hidden="1">{#N/A,#N/A,FALSE,"ORIX CSC"}</definedName>
    <definedName name="wrn.csc2._2_5" hidden="1">{#N/A,#N/A,FALSE,"ORIX CSC"}</definedName>
    <definedName name="wrn.csc2._3" localSheetId="3" hidden="1">{#N/A,#N/A,FALSE,"ORIX CSC"}</definedName>
    <definedName name="wrn.csc2._3" hidden="1">{#N/A,#N/A,FALSE,"ORIX CSC"}</definedName>
    <definedName name="wrn.csc2._3_1" localSheetId="3" hidden="1">{#N/A,#N/A,FALSE,"ORIX CSC"}</definedName>
    <definedName name="wrn.csc2._3_1" hidden="1">{#N/A,#N/A,FALSE,"ORIX CSC"}</definedName>
    <definedName name="wrn.csc2._3_2" localSheetId="3" hidden="1">{#N/A,#N/A,FALSE,"ORIX CSC"}</definedName>
    <definedName name="wrn.csc2._3_2" hidden="1">{#N/A,#N/A,FALSE,"ORIX CSC"}</definedName>
    <definedName name="wrn.csc2._3_3" localSheetId="3" hidden="1">{#N/A,#N/A,FALSE,"ORIX CSC"}</definedName>
    <definedName name="wrn.csc2._3_3" hidden="1">{#N/A,#N/A,FALSE,"ORIX CSC"}</definedName>
    <definedName name="wrn.csc2._3_4" localSheetId="3" hidden="1">{#N/A,#N/A,FALSE,"ORIX CSC"}</definedName>
    <definedName name="wrn.csc2._3_4" hidden="1">{#N/A,#N/A,FALSE,"ORIX CSC"}</definedName>
    <definedName name="wrn.csc2._3_5" localSheetId="3" hidden="1">{#N/A,#N/A,FALSE,"ORIX CSC"}</definedName>
    <definedName name="wrn.csc2._3_5" hidden="1">{#N/A,#N/A,FALSE,"ORIX CSC"}</definedName>
    <definedName name="wrn.csc2._4" localSheetId="3" hidden="1">{#N/A,#N/A,FALSE,"ORIX CSC"}</definedName>
    <definedName name="wrn.csc2._4" hidden="1">{#N/A,#N/A,FALSE,"ORIX CSC"}</definedName>
    <definedName name="wrn.csc2._4_1" localSheetId="3" hidden="1">{#N/A,#N/A,FALSE,"ORIX CSC"}</definedName>
    <definedName name="wrn.csc2._4_1" hidden="1">{#N/A,#N/A,FALSE,"ORIX CSC"}</definedName>
    <definedName name="wrn.csc2._4_2" localSheetId="3" hidden="1">{#N/A,#N/A,FALSE,"ORIX CSC"}</definedName>
    <definedName name="wrn.csc2._4_2" hidden="1">{#N/A,#N/A,FALSE,"ORIX CSC"}</definedName>
    <definedName name="wrn.csc2._4_3" localSheetId="3" hidden="1">{#N/A,#N/A,FALSE,"ORIX CSC"}</definedName>
    <definedName name="wrn.csc2._4_3" hidden="1">{#N/A,#N/A,FALSE,"ORIX CSC"}</definedName>
    <definedName name="wrn.csc2._4_4" localSheetId="3" hidden="1">{#N/A,#N/A,FALSE,"ORIX CSC"}</definedName>
    <definedName name="wrn.csc2._4_4" hidden="1">{#N/A,#N/A,FALSE,"ORIX CSC"}</definedName>
    <definedName name="wrn.csc2._4_5" localSheetId="3" hidden="1">{#N/A,#N/A,FALSE,"ORIX CSC"}</definedName>
    <definedName name="wrn.csc2._4_5" hidden="1">{#N/A,#N/A,FALSE,"ORIX CSC"}</definedName>
    <definedName name="wrn.csc2._5" localSheetId="3" hidden="1">{#N/A,#N/A,FALSE,"ORIX CSC"}</definedName>
    <definedName name="wrn.csc2._5" hidden="1">{#N/A,#N/A,FALSE,"ORIX CSC"}</definedName>
    <definedName name="wrn.csc2._5_1" localSheetId="3" hidden="1">{#N/A,#N/A,FALSE,"ORIX CSC"}</definedName>
    <definedName name="wrn.csc2._5_1" hidden="1">{#N/A,#N/A,FALSE,"ORIX CSC"}</definedName>
    <definedName name="wrn.csc2._5_2" localSheetId="3" hidden="1">{#N/A,#N/A,FALSE,"ORIX CSC"}</definedName>
    <definedName name="wrn.csc2._5_2" hidden="1">{#N/A,#N/A,FALSE,"ORIX CSC"}</definedName>
    <definedName name="wrn.csc2._5_3" localSheetId="3" hidden="1">{#N/A,#N/A,FALSE,"ORIX CSC"}</definedName>
    <definedName name="wrn.csc2._5_3" hidden="1">{#N/A,#N/A,FALSE,"ORIX CSC"}</definedName>
    <definedName name="wrn.csc2._5_4" localSheetId="3" hidden="1">{#N/A,#N/A,FALSE,"ORIX CSC"}</definedName>
    <definedName name="wrn.csc2._5_4" hidden="1">{#N/A,#N/A,FALSE,"ORIX CSC"}</definedName>
    <definedName name="wrn.csc2._5_5" localSheetId="3" hidden="1">{#N/A,#N/A,FALSE,"ORIX CSC"}</definedName>
    <definedName name="wrn.csc2._5_5" hidden="1">{#N/A,#N/A,FALSE,"ORIX CSC"}</definedName>
    <definedName name="wrn.csc3" localSheetId="3" hidden="1">{#N/A,#N/A,FALSE,"ORIX CSC"}</definedName>
    <definedName name="wrn.csc3" hidden="1">{#N/A,#N/A,FALSE,"ORIX CSC"}</definedName>
    <definedName name="wrn.CTA_EXPLOT_ACUM." localSheetId="3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3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3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localSheetId="3" hidden="1">{"Month Summary",#N/A,FALSE,"Summary";"Total Details",#N/A,FALSE,"Current Yr";"Polymers Details",#N/A,FALSE,"Current Yr";"Performance Details",#N/A,FALSE,"Current Yr";"ICD Details",#N/A,FALSE,"Current Yr"}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localSheetId="4" hidden="1">{#N/A,#N/A,FALSE,"FAB VENDORS";"BUD SUM",#N/A,FALSE,"BUD SUM WO TEX"}</definedName>
    <definedName name="wrn.CW." localSheetId="3" hidden="1">{#N/A,#N/A,FALSE,"FAB VENDORS";"BUD SUM",#N/A,FALSE,"BUD SUM WO TEX"}</definedName>
    <definedName name="wrn.CW." hidden="1">{#N/A,#N/A,FALSE,"FAB VENDORS";"BUD SUM",#N/A,FALSE,"BUD SUM WO TEX"}</definedName>
    <definedName name="wrn.d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localSheetId="3" hidden="1">{#N/A,#N/A,FALSE,"1263 yr4"}</definedName>
    <definedName name="wrn.D.._.1263._.yr4." hidden="1">{#N/A,#N/A,FALSE,"1263 yr4"}</definedName>
    <definedName name="wrn.DACOM._.광전송장치._.투찰가._.검토." localSheetId="3" hidden="1">{#N/A,#N/A,FALSE,"DAOCM 2차 검토"}</definedName>
    <definedName name="wrn.DACOM._.광전송장치._.투찰가._.검토." hidden="1">{#N/A,#N/A,FALSE,"DAOCM 2차 검토"}</definedName>
    <definedName name="wrn.Daily." localSheetId="3" hidden="1">{#N/A,#N/A,FALSE,"Input";#N/A,#N/A,FALSE,"BBC";#N/A,#N/A,FALSE,"Sch A";#N/A,#N/A,FALSE,"Sch B";#N/A,#N/A,FALSE,"Ineligible"}</definedName>
    <definedName name="wrn.Daily." hidden="1">{#N/A,#N/A,FALSE,"Input";#N/A,#N/A,FALSE,"BBC";#N/A,#N/A,FALSE,"Sch A";#N/A,#N/A,FALSE,"Sch B";#N/A,#N/A,FALSE,"Ineligible"}</definedName>
    <definedName name="wrn.Data." localSheetId="3" hidden="1">{#N/A,#N/A,FALSE,"Comps"}</definedName>
    <definedName name="wrn.Data." hidden="1">{#N/A,#N/A,FALSE,"Comps"}</definedName>
    <definedName name="wrn.DATA._.SHEETS." localSheetId="3" hidden="1">{"page1",#N/A,FALSE,"DATA SHEET";"page2",#N/A,FALSE,"DATA SHEET";"page3",#N/A,FALSE,"DATA SHEET"}</definedName>
    <definedName name="wrn.DATA._.SHEETS." hidden="1">{"page1",#N/A,FALSE,"DATA SHEET";"page2",#N/A,FALSE,"DATA SHEET";"page3",#N/A,FALSE,"DATA SHEET"}</definedName>
    <definedName name="wrn.DATA._.SHEETS._1" localSheetId="3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localSheetId="3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localSheetId="3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localSheetId="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localSheetId="3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localSheetId="3" hidden="1">{"subs",#N/A,FALSE,"database ";"proportional",#N/A,FALSE,"database "}</definedName>
    <definedName name="wrn.database." hidden="1">{"subs",#N/A,FALSE,"database ";"proportional",#N/A,FALSE,"database "}</definedName>
    <definedName name="wrn.datapak." localSheetId="3" hidden="1">{#N/A,#N/A,FALSE,"Status of Projects";#N/A,#N/A,FALSE,"CEA-TEC";#N/A,#N/A,FALSE,"U-Constr.";#N/A,#N/A,FALSE,"summary";#N/A,#N/A,FALSE,"PPP-3 yrs"}</definedName>
    <definedName name="wrn.datapak." hidden="1">{#N/A,#N/A,FALSE,"Status of Projects";#N/A,#N/A,FALSE,"CEA-TEC";#N/A,#N/A,FALSE,"U-Constr.";#N/A,#N/A,FALSE,"summary";#N/A,#N/A,FALSE,"PPP-3 yrs"}</definedName>
    <definedName name="wrn.DC.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>{"DCF1",#N/A,FALSE,"SIERRA DCF";"MATRIX1",#N/A,FALSE,"SIERRA DCF"}</definedName>
    <definedName name="wrn.DCF.">{"DCF1",#N/A,FALSE,"SIERRA DCF";"MATRIX1",#N/A,FALSE,"SIERRA DCF"}</definedName>
    <definedName name="wrn.DCF._.III._.Report." localSheetId="3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3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localSheetId="4" hidden="1">{"value box",#N/A,TRUE,"DPL Inc. Fin Statements";"unlevered free cash flows",#N/A,TRUE,"DPL Inc. Fin Statements"}</definedName>
    <definedName name="wrn.DCF._.Valuation." localSheetId="3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.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localSheetId="3" hidden="1">{"DCF1",#N/A,FALSE,"SIERRA DCF";"MATRIX1",#N/A,FALSE,"SIERRA DCF"}</definedName>
    <definedName name="wrn.DCF._from_DBAB" hidden="1">{"DCF1",#N/A,FALSE,"SIERRA DCF";"MATRIX1",#N/A,FALSE,"SIERRA DCF"}</definedName>
    <definedName name="wrn.DCF_Terminal_Value_qchm." localSheetId="4" hidden="1">{"qchm_dcf",#N/A,FALSE,"QCHMDCF2";"qchm_terminal",#N/A,FALSE,"QCHMDCF2"}</definedName>
    <definedName name="wrn.DCF_Terminal_Value_qchm." localSheetId="3">{"qchm_dcf",#N/A,FALSE,"QCHMDCF2";"qchm_terminal",#N/A,FALSE,"QCHMDCF2"}</definedName>
    <definedName name="wrn.DCF_Terminal_Value_qchm.">{"qchm_dcf",#N/A,FALSE,"QCHMDCF2";"qchm_terminal",#N/A,FALSE,"QCHMDCF2"}</definedName>
    <definedName name="wrn.DCF_Terminal_Value_qchm._1" localSheetId="3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localSheetId="3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localSheetId="3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localSheetId="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localSheetId="3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localSheetId="3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 localSheetId="3">{"DCF1",#N/A,FALSE,"SIERRA DCF";"MATRIX1",#N/A,FALSE,"SIERRA DCF"}</definedName>
    <definedName name="wrn.dcf2">{"DCF1",#N/A,FALSE,"SIERRA DCF";"MATRIX1",#N/A,FALSE,"SIERRA DCF"}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localSheetId="3" hidden="1">{#N/A,#N/A,FALSE,"Sheet2"}</definedName>
    <definedName name="wrn.dd." hidden="1">{#N/A,#N/A,FALSE,"Sheet2"}</definedName>
    <definedName name="wrn.debt." localSheetId="3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localSheetId="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localSheetId="3" hidden="1">{#N/A,#N/A,FALSE,"Delt Data"}</definedName>
    <definedName name="wrn.Deltek._.Upload." hidden="1">{#N/A,#N/A,FALSE,"Delt Data"}</definedName>
    <definedName name="wrn.depmatrix." localSheetId="3" hidden="1">{"depmatrix",#N/A,FALSE,"DECATUR-DIMMIT"}</definedName>
    <definedName name="wrn.depmatrix." hidden="1">{"depmatrix",#N/A,FALSE,"DECATUR-DIMMIT"}</definedName>
    <definedName name="wrn.depmatrix._1" localSheetId="3" hidden="1">{"depmatrix",#N/A,FALSE,"DECATUR-DIMMIT"}</definedName>
    <definedName name="wrn.depmatrix._1" hidden="1">{"depmatrix",#N/A,FALSE,"DECATUR-DIMMIT"}</definedName>
    <definedName name="wrn.depmatrix._1_1" localSheetId="3" hidden="1">{"depmatrix",#N/A,FALSE,"DECATUR-DIMMIT"}</definedName>
    <definedName name="wrn.depmatrix._1_1" hidden="1">{"depmatrix",#N/A,FALSE,"DECATUR-DIMMIT"}</definedName>
    <definedName name="wrn.depmatrix._1_2" localSheetId="3" hidden="1">{"depmatrix",#N/A,FALSE,"DECATUR-DIMMIT"}</definedName>
    <definedName name="wrn.depmatrix._1_2" hidden="1">{"depmatrix",#N/A,FALSE,"DECATUR-DIMMIT"}</definedName>
    <definedName name="wrn.depmatrix._1_3" localSheetId="3" hidden="1">{"depmatrix",#N/A,FALSE,"DECATUR-DIMMIT"}</definedName>
    <definedName name="wrn.depmatrix._1_3" hidden="1">{"depmatrix",#N/A,FALSE,"DECATUR-DIMMIT"}</definedName>
    <definedName name="wrn.depmatrix._1_4" localSheetId="3" hidden="1">{"depmatrix",#N/A,FALSE,"DECATUR-DIMMIT"}</definedName>
    <definedName name="wrn.depmatrix._1_4" hidden="1">{"depmatrix",#N/A,FALSE,"DECATUR-DIMMIT"}</definedName>
    <definedName name="wrn.depmatrix._1_5" localSheetId="3" hidden="1">{"depmatrix",#N/A,FALSE,"DECATUR-DIMMIT"}</definedName>
    <definedName name="wrn.depmatrix._1_5" hidden="1">{"depmatrix",#N/A,FALSE,"DECATUR-DIMMIT"}</definedName>
    <definedName name="wrn.depmatrix._2" localSheetId="3" hidden="1">{"depmatrix",#N/A,FALSE,"DECATUR-DIMMIT"}</definedName>
    <definedName name="wrn.depmatrix._2" hidden="1">{"depmatrix",#N/A,FALSE,"DECATUR-DIMMIT"}</definedName>
    <definedName name="wrn.depmatrix._2_1" localSheetId="3" hidden="1">{"depmatrix",#N/A,FALSE,"DECATUR-DIMMIT"}</definedName>
    <definedName name="wrn.depmatrix._2_1" hidden="1">{"depmatrix",#N/A,FALSE,"DECATUR-DIMMIT"}</definedName>
    <definedName name="wrn.depmatrix._2_2" localSheetId="3" hidden="1">{"depmatrix",#N/A,FALSE,"DECATUR-DIMMIT"}</definedName>
    <definedName name="wrn.depmatrix._2_2" hidden="1">{"depmatrix",#N/A,FALSE,"DECATUR-DIMMIT"}</definedName>
    <definedName name="wrn.depmatrix._2_3" localSheetId="3" hidden="1">{"depmatrix",#N/A,FALSE,"DECATUR-DIMMIT"}</definedName>
    <definedName name="wrn.depmatrix._2_3" hidden="1">{"depmatrix",#N/A,FALSE,"DECATUR-DIMMIT"}</definedName>
    <definedName name="wrn.depmatrix._2_4" localSheetId="3" hidden="1">{"depmatrix",#N/A,FALSE,"DECATUR-DIMMIT"}</definedName>
    <definedName name="wrn.depmatrix._2_4" hidden="1">{"depmatrix",#N/A,FALSE,"DECATUR-DIMMIT"}</definedName>
    <definedName name="wrn.depmatrix._2_5" localSheetId="3" hidden="1">{"depmatrix",#N/A,FALSE,"DECATUR-DIMMIT"}</definedName>
    <definedName name="wrn.depmatrix._2_5" hidden="1">{"depmatrix",#N/A,FALSE,"DECATUR-DIMMIT"}</definedName>
    <definedName name="wrn.depmatrix._3" localSheetId="3" hidden="1">{"depmatrix",#N/A,FALSE,"DECATUR-DIMMIT"}</definedName>
    <definedName name="wrn.depmatrix._3" hidden="1">{"depmatrix",#N/A,FALSE,"DECATUR-DIMMIT"}</definedName>
    <definedName name="wrn.depmatrix._3_1" localSheetId="3" hidden="1">{"depmatrix",#N/A,FALSE,"DECATUR-DIMMIT"}</definedName>
    <definedName name="wrn.depmatrix._3_1" hidden="1">{"depmatrix",#N/A,FALSE,"DECATUR-DIMMIT"}</definedName>
    <definedName name="wrn.depmatrix._3_2" localSheetId="3" hidden="1">{"depmatrix",#N/A,FALSE,"DECATUR-DIMMIT"}</definedName>
    <definedName name="wrn.depmatrix._3_2" hidden="1">{"depmatrix",#N/A,FALSE,"DECATUR-DIMMIT"}</definedName>
    <definedName name="wrn.depmatrix._3_3" localSheetId="3" hidden="1">{"depmatrix",#N/A,FALSE,"DECATUR-DIMMIT"}</definedName>
    <definedName name="wrn.depmatrix._3_3" hidden="1">{"depmatrix",#N/A,FALSE,"DECATUR-DIMMIT"}</definedName>
    <definedName name="wrn.depmatrix._3_4" localSheetId="3" hidden="1">{"depmatrix",#N/A,FALSE,"DECATUR-DIMMIT"}</definedName>
    <definedName name="wrn.depmatrix._3_4" hidden="1">{"depmatrix",#N/A,FALSE,"DECATUR-DIMMIT"}</definedName>
    <definedName name="wrn.depmatrix._3_5" localSheetId="3" hidden="1">{"depmatrix",#N/A,FALSE,"DECATUR-DIMMIT"}</definedName>
    <definedName name="wrn.depmatrix._3_5" hidden="1">{"depmatrix",#N/A,FALSE,"DECATUR-DIMMIT"}</definedName>
    <definedName name="wrn.depmatrix._4" localSheetId="3" hidden="1">{"depmatrix",#N/A,FALSE,"DECATUR-DIMMIT"}</definedName>
    <definedName name="wrn.depmatrix._4" hidden="1">{"depmatrix",#N/A,FALSE,"DECATUR-DIMMIT"}</definedName>
    <definedName name="wrn.depmatrix._4_1" localSheetId="3" hidden="1">{"depmatrix",#N/A,FALSE,"DECATUR-DIMMIT"}</definedName>
    <definedName name="wrn.depmatrix._4_1" hidden="1">{"depmatrix",#N/A,FALSE,"DECATUR-DIMMIT"}</definedName>
    <definedName name="wrn.depmatrix._4_2" localSheetId="3" hidden="1">{"depmatrix",#N/A,FALSE,"DECATUR-DIMMIT"}</definedName>
    <definedName name="wrn.depmatrix._4_2" hidden="1">{"depmatrix",#N/A,FALSE,"DECATUR-DIMMIT"}</definedName>
    <definedName name="wrn.depmatrix._4_3" localSheetId="3" hidden="1">{"depmatrix",#N/A,FALSE,"DECATUR-DIMMIT"}</definedName>
    <definedName name="wrn.depmatrix._4_3" hidden="1">{"depmatrix",#N/A,FALSE,"DECATUR-DIMMIT"}</definedName>
    <definedName name="wrn.depmatrix._4_4" localSheetId="3" hidden="1">{"depmatrix",#N/A,FALSE,"DECATUR-DIMMIT"}</definedName>
    <definedName name="wrn.depmatrix._4_4" hidden="1">{"depmatrix",#N/A,FALSE,"DECATUR-DIMMIT"}</definedName>
    <definedName name="wrn.depmatrix._4_5" localSheetId="3" hidden="1">{"depmatrix",#N/A,FALSE,"DECATUR-DIMMIT"}</definedName>
    <definedName name="wrn.depmatrix._4_5" hidden="1">{"depmatrix",#N/A,FALSE,"DECATUR-DIMMIT"}</definedName>
    <definedName name="wrn.depmatrix._5" localSheetId="3" hidden="1">{"depmatrix",#N/A,FALSE,"DECATUR-DIMMIT"}</definedName>
    <definedName name="wrn.depmatrix._5" hidden="1">{"depmatrix",#N/A,FALSE,"DECATUR-DIMMIT"}</definedName>
    <definedName name="wrn.depmatrix._5_1" localSheetId="3" hidden="1">{"depmatrix",#N/A,FALSE,"DECATUR-DIMMIT"}</definedName>
    <definedName name="wrn.depmatrix._5_1" hidden="1">{"depmatrix",#N/A,FALSE,"DECATUR-DIMMIT"}</definedName>
    <definedName name="wrn.depmatrix._5_2" localSheetId="3" hidden="1">{"depmatrix",#N/A,FALSE,"DECATUR-DIMMIT"}</definedName>
    <definedName name="wrn.depmatrix._5_2" hidden="1">{"depmatrix",#N/A,FALSE,"DECATUR-DIMMIT"}</definedName>
    <definedName name="wrn.depmatrix._5_3" localSheetId="3" hidden="1">{"depmatrix",#N/A,FALSE,"DECATUR-DIMMIT"}</definedName>
    <definedName name="wrn.depmatrix._5_3" hidden="1">{"depmatrix",#N/A,FALSE,"DECATUR-DIMMIT"}</definedName>
    <definedName name="wrn.depmatrix._5_4" localSheetId="3" hidden="1">{"depmatrix",#N/A,FALSE,"DECATUR-DIMMIT"}</definedName>
    <definedName name="wrn.depmatrix._5_4" hidden="1">{"depmatrix",#N/A,FALSE,"DECATUR-DIMMIT"}</definedName>
    <definedName name="wrn.depmatrix._5_5" localSheetId="3" hidden="1">{"depmatrix",#N/A,FALSE,"DECATUR-DIMMIT"}</definedName>
    <definedName name="wrn.depmatrix._5_5" hidden="1">{"depmatrix",#N/A,FALSE,"DECATUR-DIMMIT"}</definedName>
    <definedName name="wrn.DEPOT._.STATUS." localSheetId="3" hidden="1">{#N/A,#N/A,FALSE,"Sheet1";#N/A,#N/A,FALSE,"STATUS"}</definedName>
    <definedName name="wrn.DEPOT._.STATUS." hidden="1">{#N/A,#N/A,FALSE,"Sheet1";#N/A,#N/A,FALSE,"STATUS"}</definedName>
    <definedName name="wrn.Depreciation." localSheetId="4" hidden="1">{"DE_asfiled",#N/A,TRUE,"Amort.";"IRS_addl",#N/A,TRUE,"Amort."}</definedName>
    <definedName name="wrn.Depreciation." localSheetId="3" hidden="1">{"DE_asfiled",#N/A,TRUE,"Amort.";"IRS_addl",#N/A,TRUE,"Amort."}</definedName>
    <definedName name="wrn.Depreciation." hidden="1">{"DE_asfiled",#N/A,TRUE,"Amort.";"IRS_addl",#N/A,TRUE,"Amort."}</definedName>
    <definedName name="wrn.Dept._.Overhead." localSheetId="4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" localSheetId="3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localSheetId="4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" localSheetId="3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localSheetId="3" hidden="1">{#N/A,#N/A,FALSE,"Detail"}</definedName>
    <definedName name="wrn.Detail._.Balance._.Sheet." hidden="1">{#N/A,#N/A,FALSE,"Detail"}</definedName>
    <definedName name="wrn.Detail._.Balance._.Sheet._1" localSheetId="3" hidden="1">{#N/A,#N/A,FALSE,"Detail"}</definedName>
    <definedName name="wrn.Detail._.Balance._.Sheet._1" hidden="1">{#N/A,#N/A,FALSE,"Detail"}</definedName>
    <definedName name="wrn.Detail._.Balance._.Sheet._2" localSheetId="3" hidden="1">{#N/A,#N/A,FALSE,"Detail"}</definedName>
    <definedName name="wrn.Detail._.Balance._.Sheet._2" hidden="1">{#N/A,#N/A,FALSE,"Detail"}</definedName>
    <definedName name="wrn.Detail._.Balance._.Sheet._3" localSheetId="3" hidden="1">{#N/A,#N/A,FALSE,"Detail"}</definedName>
    <definedName name="wrn.Detail._.Balance._.Sheet._3" hidden="1">{#N/A,#N/A,FALSE,"Detail"}</definedName>
    <definedName name="wrn.Detail._.Balance._.Sheet._4" localSheetId="3" hidden="1">{#N/A,#N/A,FALSE,"Detail"}</definedName>
    <definedName name="wrn.Detail._.Balance._.Sheet._4" hidden="1">{#N/A,#N/A,FALSE,"Detail"}</definedName>
    <definedName name="wrn.Detail_Ann." localSheetId="3" hidden="1">{#N/A,#N/A,FALSE,"A07D";#N/A,#N/A,FALSE,"A08D";#N/A,#N/A,FALSE,"A09D"}</definedName>
    <definedName name="wrn.Detail_Ann." hidden="1">{#N/A,#N/A,FALSE,"A07D";#N/A,#N/A,FALSE,"A08D";#N/A,#N/A,FALSE,"A09D"}</definedName>
    <definedName name="wrn.Detail_Projection." localSheetId="3" hidden="1">{#N/A,#N/A,FALSE,"Detail YTD"}</definedName>
    <definedName name="wrn.Detail_Projection." hidden="1">{#N/A,#N/A,FALSE,"Detail YTD"}</definedName>
    <definedName name="wrn.Detail_Projection._1" localSheetId="3" hidden="1">{#N/A,#N/A,FALSE,"Detail YTD"}</definedName>
    <definedName name="wrn.Detail_Projection._1" hidden="1">{#N/A,#N/A,FALSE,"Detail YTD"}</definedName>
    <definedName name="wrn.Detail_Projection._2" localSheetId="3" hidden="1">{#N/A,#N/A,FALSE,"Detail YTD"}</definedName>
    <definedName name="wrn.Detail_Projection._2" hidden="1">{#N/A,#N/A,FALSE,"Detail YTD"}</definedName>
    <definedName name="wrn.Detail_Projection._3" localSheetId="3" hidden="1">{#N/A,#N/A,FALSE,"Detail YTD"}</definedName>
    <definedName name="wrn.Detail_Projection._3" hidden="1">{#N/A,#N/A,FALSE,"Detail YTD"}</definedName>
    <definedName name="wrn.Detail_Projection._4" localSheetId="3" hidden="1">{#N/A,#N/A,FALSE,"Detail YTD"}</definedName>
    <definedName name="wrn.Detail_Projection._4" hidden="1">{#N/A,#N/A,FALSE,"Detail YTD"}</definedName>
    <definedName name="wrn.detail_US." localSheetId="3" hidden="1">{"summary1",#N/A,FALSE,"K";"summary2",#N/A,FALSE,"K";"USmarket",#N/A,FALSE,"K";"USearnings",#N/A,FALSE,"K"}</definedName>
    <definedName name="wrn.detail_US." hidden="1">{"summary1",#N/A,FALSE,"K";"summary2",#N/A,FALSE,"K";"USmarket",#N/A,FALSE,"K";"USearnings",#N/A,FALSE,"K"}</definedName>
    <definedName name="wrn.Detailed._.Calculations." localSheetId="3" hidden="1">{"IncDetail",#N/A,FALSE,"Inc";"BalDetail",#N/A,FALSE,"Bal";"GCFDetail",#N/A,FALSE,"GCF";"RcDsDetail",#N/A,FALSE,"RcDs"}</definedName>
    <definedName name="wrn.Detailed._.Calculations." hidden="1">{"IncDetail",#N/A,FALSE,"Inc";"BalDetail",#N/A,FALSE,"Bal";"GCFDetail",#N/A,FALSE,"GCF";"RcDsDetail",#N/A,FALSE,"RcDs"}</definedName>
    <definedName name="wrn.Detailed._.Model." localSheetId="4" hidden="1">{"P_L",#N/A,TRUE,"P&amp;L";"Rev",#N/A,TRUE,"Rev";"Staff",#N/A,TRUE,"Staff";"Exp",#N/A,TRUE,"Exp";"Capital",#N/A,TRUE,"Capital"}</definedName>
    <definedName name="wrn.Detailed._.Model." localSheetId="3" hidden="1">{"P_L",#N/A,TRUE,"P&amp;L";"Rev",#N/A,TRUE,"Rev";"Staff",#N/A,TRUE,"Staff";"Exp",#N/A,TRUE,"Exp";"Capital",#N/A,TRUE,"Capital"}</definedName>
    <definedName name="wrn.Detailed._.Model." hidden="1">{"P_L",#N/A,TRUE,"P&amp;L";"Rev",#N/A,TRUE,"Rev";"Staff",#N/A,TRUE,"Staff";"Exp",#N/A,TRUE,"Exp";"Capital",#N/A,TRUE,"Capital"}</definedName>
    <definedName name="wrn.Detailed._.Model._1" localSheetId="4" hidden="1">{"P_L",#N/A,TRUE,"P&amp;L";"Rev",#N/A,TRUE,"Rev";"Staff",#N/A,TRUE,"Staff";"Exp",#N/A,TRUE,"Exp";"Capital",#N/A,TRUE,"Capital"}</definedName>
    <definedName name="wrn.Detailed._.Model._1" localSheetId="3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localSheetId="3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lles._.total." localSheetId="3" hidden="1">{"total","abonados garantia",FALSE,"detalle19982007"}</definedName>
    <definedName name="wrn.detalles._.total." hidden="1">{"total","abonados garantia",FALSE,"detalle19982007"}</definedName>
    <definedName name="wrn.devdeal." localSheetId="3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localSheetId="3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localSheetId="3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localSheetId="3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localSheetId="3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localSheetId="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localSheetId="3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localSheetId="3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localSheetId="3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localSheetId="3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localSheetId="3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localSheetId="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localSheetId="3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localSheetId="3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localSheetId="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localSheetId="3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localSheetId="3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localSheetId="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localSheetId="3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localSheetId="3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localSheetId="3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localSheetId="3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localSheetId="3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localSheetId="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localSheetId="3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localSheetId="3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localSheetId="3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localSheetId="3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localSheetId="3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localSheetId="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localSheetId="3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localSheetId="3" hidden="1">{#N/A,#N/A,FALSE,"July 95";#N/A,#N/A,FALSE,"Aug 95";#N/A,#N/A,FALSE,"Sep 95";#N/A,#N/A,FALSE,"October 95"}</definedName>
    <definedName name="wrn.Development._.Hours." hidden="1">{#N/A,#N/A,FALSE,"July 95";#N/A,#N/A,FALSE,"Aug 95";#N/A,#N/A,FALSE,"Sep 95";#N/A,#N/A,FALSE,"October 95"}</definedName>
    <definedName name="wrn.Diagnostics.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localSheetId="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localSheetId="3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r." localSheetId="3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localSheetId="3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localSheetId="4" hidden="1">{"consolidated",#N/A,FALSE,"Sheet1";"cms",#N/A,FALSE,"Sheet1";"fse",#N/A,FALSE,"Sheet1"}</definedName>
    <definedName name="wrn.document." localSheetId="3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3" hidden="1">{"comps2",#N/A,FALSE,"AERO";"footnotes",#N/A,FALSE,"AERO"}</definedName>
    <definedName name="wrn.documentaero." hidden="1">{"comps2",#N/A,FALSE,"AERO";"footnotes",#N/A,FALSE,"AERO"}</definedName>
    <definedName name="wrn.documentation." localSheetId="4" hidden="1">{"documentation1",#N/A,FALSE,"Documentation";"documentation2",#N/A,FALSE,"Documentation"}</definedName>
    <definedName name="wrn.documentation." localSheetId="3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documenthand." localSheetId="3" hidden="1">{"comps",#N/A,FALSE,"HANDPACK";"footnotes",#N/A,FALSE,"HANDPACK"}</definedName>
    <definedName name="wrn.documenthand." hidden="1">{"comps",#N/A,FALSE,"HANDPACK";"footnotes",#N/A,FALSE,"HANDPACK"}</definedName>
    <definedName name="wrn.Dom." localSheetId="3" hidden="1">{"Dom_qty",#N/A,FALSE,"Domestic";"Dom_sell",#N/A,FALSE,"Domestic";"Dom_misc",#N/A,FALSE,"Domestic"}</definedName>
    <definedName name="wrn.Dom." hidden="1">{"Dom_qty",#N/A,FALSE,"Domestic";"Dom_sell",#N/A,FALSE,"Domestic";"Dom_misc",#N/A,FALSE,"Domestic"}</definedName>
    <definedName name="wrn.Draft." localSheetId="3" hidden="1">{"Draft",#N/A,FALSE,"Feb-96"}</definedName>
    <definedName name="wrn.Draft." hidden="1">{"Draft",#N/A,FALSE,"Feb-96"}</definedName>
    <definedName name="wrn.Drawing._.and._.Homo.result." localSheetId="3" hidden="1">{"Drawing&amp;Homo.result",#N/A,FALSE,"Greco Hom. and BOM"}</definedName>
    <definedName name="wrn.Drawing._.and._.Homo.result." hidden="1">{"Drawing&amp;Homo.result",#N/A,FALSE,"Greco Hom. and BOM"}</definedName>
    <definedName name="wrn.Drucken._.H.C.._.Starck." localSheetId="3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localSheetId="3" hidden="1">{#N/A,#N/A,FALSE,"1263 yr5"}</definedName>
    <definedName name="wrn.E.._.1263._.yr5." hidden="1">{#N/A,#N/A,FALSE,"1263 yr5"}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localSheetId="4" hidden="1">{#N/A,#N/A,FALSE,"2003_Input - P&amp;L"}</definedName>
    <definedName name="wrn.ebitda." localSheetId="3" hidden="1">{#N/A,#N/A,FALSE,"2003_Input - P&amp;L"}</definedName>
    <definedName name="wrn.ebitda." hidden="1">{#N/A,#N/A,FALSE,"2003_Input - P&amp;L"}</definedName>
    <definedName name="wrn.ebitda2" localSheetId="4" hidden="1">{#N/A,#N/A,FALSE,"2003_Input - P&amp;L"}</definedName>
    <definedName name="wrn.ebitda2" localSheetId="3" hidden="1">{#N/A,#N/A,FALSE,"2003_Input - P&amp;L"}</definedName>
    <definedName name="wrn.ebitda2" hidden="1">{#N/A,#N/A,FALSE,"2003_Input - P&amp;L"}</definedName>
    <definedName name="wrn.EBITRECS." localSheetId="4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localSheetId="3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 localSheetId="4" hidden="1">{"EVA",#N/A,FALSE,"EVA";"WACC",#N/A,FALSE,"WACC"}</definedName>
    <definedName name="wrn.Economic._.Value._.Added._.Analysis." localSheetId="3">{"EVA",#N/A,FALSE,"EVA";"WACC",#N/A,FALSE,"WACC"}</definedName>
    <definedName name="wrn.Economic._.Value._.Added._.Analysis.">{"EVA",#N/A,FALSE,"EVA";"WACC",#N/A,FALSE,"WACC"}</definedName>
    <definedName name="wrn.Economic._.Value._.Added._.Analysis._from_DBAB" localSheetId="3" hidden="1">{"EVA",#N/A,FALSE,"EVA";"WACC",#N/A,FALSE,"WACC"}</definedName>
    <definedName name="wrn.Economic._.Value._.Added._.Analysis._from_DBAB" hidden="1">{"EVA",#N/A,FALSE,"EVA";"WACC",#N/A,FALSE,"WACC"}</definedName>
    <definedName name="wrn.ecpall." localSheetId="3" hidden="1">{"ecpcash",#N/A,FALSE,"ECPann";"ecpinc",#N/A,FALSE,"ECPann";"ecpindia",#N/A,FALSE,"ECPann";"ecpmun",#N/A,FALSE,"ECPann";"ecpphoenix",#N/A,FALSE,"ECPann";"ecpothe",#N/A,FALSE,"ECPann";"ecpbalsht",#N/A,FALSE,"ECPann"}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localSheetId="3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localSheetId="3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localSheetId="3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localSheetId="3" hidden="1">{"Eilbericht_UBA",#N/A,FALSE,"EB"}</definedName>
    <definedName name="wrn.Eilbericht_UBA." hidden="1">{"Eilbericht_UBA",#N/A,FALSE,"EB"}</definedName>
    <definedName name="wrn.Eilbericht_UBA._1" localSheetId="3" hidden="1">{"Eilbericht_UBA",#N/A,FALSE,"EB"}</definedName>
    <definedName name="wrn.Eilbericht_UBA._1" hidden="1">{"Eilbericht_UBA",#N/A,FALSE,"EB"}</definedName>
    <definedName name="wrn.Eilbericht_UBA._2" localSheetId="3" hidden="1">{"Eilbericht_UBA",#N/A,FALSE,"EB"}</definedName>
    <definedName name="wrn.Eilbericht_UBA._2" hidden="1">{"Eilbericht_UBA",#N/A,FALSE,"EB"}</definedName>
    <definedName name="wrn.Eilbericht_UBA._3" localSheetId="3" hidden="1">{"Eilbericht_UBA",#N/A,FALSE,"EB"}</definedName>
    <definedName name="wrn.Eilbericht_UBA._3" hidden="1">{"Eilbericht_UBA",#N/A,FALSE,"EB"}</definedName>
    <definedName name="wrn.Eilbericht_UBA._4" localSheetId="3" hidden="1">{"Eilbericht_UBA",#N/A,FALSE,"EB"}</definedName>
    <definedName name="wrn.Eilbericht_UBA._4" hidden="1">{"Eilbericht_UBA",#N/A,FALSE,"EB"}</definedName>
    <definedName name="wrn.Eilbericht_UBA._5" localSheetId="3" hidden="1">{"Eilbericht_UBA",#N/A,FALSE,"EB"}</definedName>
    <definedName name="wrn.Eilbericht_UBA._5" hidden="1">{"Eilbericht_UBA",#N/A,FALSE,"EB"}</definedName>
    <definedName name="wrn.Emg._.report." localSheetId="3" hidden="1">{#N/A,#N/A,FALSE,"Emerging Mkt Fund"}</definedName>
    <definedName name="wrn.Emg._.report." hidden="1">{#N/A,#N/A,FALSE,"Emerging Mkt Fund"}</definedName>
    <definedName name="wrn.Ensemble_client." localSheetId="3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localSheetId="3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localSheetId="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localSheetId="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localSheetId="3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localSheetId="3" hidden="1">{"PnL",#N/A,FALSE,"Equip P&amp;L";"Responsibility",#N/A,FALSE,"Equip P&amp;L";"Cost Control",#N/A,FALSE,"Equip P&amp;L"}</definedName>
    <definedName name="wrn.Equipment." hidden="1">{"PnL",#N/A,FALSE,"Equip P&amp;L";"Responsibility",#N/A,FALSE,"Equip P&amp;L";"Cost Control",#N/A,FALSE,"Equip P&amp;L"}</definedName>
    <definedName name="wrn.equity._.comps." localSheetId="3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localSheetId="3" hidden="1">{"Ergebnisbericht_UBA",#N/A,FALSE,"MB"}</definedName>
    <definedName name="wrn.Ergebnisbericht_UBA." hidden="1">{"Ergebnisbericht_UBA",#N/A,FALSE,"MB"}</definedName>
    <definedName name="wrn.Ergebnisbericht_UBA._1" localSheetId="3" hidden="1">{"Ergebnisbericht_UBA",#N/A,FALSE,"MB"}</definedName>
    <definedName name="wrn.Ergebnisbericht_UBA._1" hidden="1">{"Ergebnisbericht_UBA",#N/A,FALSE,"MB"}</definedName>
    <definedName name="wrn.Ergebnisbericht_UBA._2" localSheetId="3" hidden="1">{"Ergebnisbericht_UBA",#N/A,FALSE,"MB"}</definedName>
    <definedName name="wrn.Ergebnisbericht_UBA._2" hidden="1">{"Ergebnisbericht_UBA",#N/A,FALSE,"MB"}</definedName>
    <definedName name="wrn.Ergebnisbericht_UBA._3" localSheetId="3" hidden="1">{"Ergebnisbericht_UBA",#N/A,FALSE,"MB"}</definedName>
    <definedName name="wrn.Ergebnisbericht_UBA._3" hidden="1">{"Ergebnisbericht_UBA",#N/A,FALSE,"MB"}</definedName>
    <definedName name="wrn.Ergebnisbericht_UBA._4" localSheetId="3" hidden="1">{"Ergebnisbericht_UBA",#N/A,FALSE,"MB"}</definedName>
    <definedName name="wrn.Ergebnisbericht_UBA._4" hidden="1">{"Ergebnisbericht_UBA",#N/A,FALSE,"MB"}</definedName>
    <definedName name="wrn.Ergebnisbericht_UBA._5" localSheetId="3" hidden="1">{"Ergebnisbericht_UBA",#N/A,FALSE,"MB"}</definedName>
    <definedName name="wrn.Ergebnisbericht_UBA._5" hidden="1">{"Ergebnisbericht_UBA",#N/A,FALSE,"MB"}</definedName>
    <definedName name="wrn.ET_SG." localSheetId="3" hidden="1">{#N/A,#N/A,FALSE,"Créances";#N/A,#N/A,FALSE,"Effectifs";#N/A,#N/A,FALSE,"SI"}</definedName>
    <definedName name="wrn.ET_SG." hidden="1">{#N/A,#N/A,FALSE,"Créances";#N/A,#N/A,FALSE,"Effectifs";#N/A,#N/A,FALSE,"SI"}</definedName>
    <definedName name="wrn.ETH." localSheetId="3" hidden="1">{"AnnMarg.",#N/A,FALSE,"ETHAN";"Q",#N/A,FALSE,"Qtrs."}</definedName>
    <definedName name="wrn.ETH." hidden="1">{"AnnMarg.",#N/A,FALSE,"ETHAN";"Q",#N/A,FALSE,"Qtrs."}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localSheetId="3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3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urope.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localSheetId="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localSheetId="4" hidden="1">{"SCH73",#N/A,FALSE,"eva";"SCH74",#N/A,FALSE,"eva";"SCH75",#N/A,FALSE,"eva"}</definedName>
    <definedName name="wrn.EVA." localSheetId="3" hidden="1">{"SCH73",#N/A,FALSE,"eva";"SCH74",#N/A,FALSE,"eva";"SCH75",#N/A,FALSE,"eva"}</definedName>
    <definedName name="wrn.EVA." hidden="1">{"SCH73",#N/A,FALSE,"eva";"SCH74",#N/A,FALSE,"eva";"SCH75",#N/A,FALSE,"eva"}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localSheetId="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localSheetId="3" hidden="1">{#N/A,#N/A,FALSE,"EW"}</definedName>
    <definedName name="wrn.EW." hidden="1">{#N/A,#N/A,FALSE,"EW"}</definedName>
    <definedName name="wrn.Exam._.Workpapers._.1." localSheetId="4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localSheetId="3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localSheetId="3" hidden="1">{"exec sum us",#N/A,FALSE,"Exec Sum";"exec sum ex",#N/A,FALSE,"Exec Sum";"exec summ other",#N/A,FALSE,"Exec Sum";"exec sum ww",#N/A,FALSE,"Exec Sum"}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localSheetId="3" hidden="1">{"exec sum ex",#N/A,FALSE,"Exec Sum"}</definedName>
    <definedName name="wrn.EXEC._.SUMM._.EX._.US." hidden="1">{"exec sum ex",#N/A,FALSE,"Exec Sum"}</definedName>
    <definedName name="wrn.EXEC._.SUMM._.OTHER." localSheetId="3" hidden="1">{"exec summ other",#N/A,FALSE,"Exec Sum"}</definedName>
    <definedName name="wrn.EXEC._.SUMM._.OTHER." hidden="1">{"exec summ other",#N/A,FALSE,"Exec Sum"}</definedName>
    <definedName name="wrn.EXEC._.SUMM._.US." localSheetId="3" hidden="1">{"exec sum us",#N/A,FALSE,"Exec Sum"}</definedName>
    <definedName name="wrn.EXEC._.SUMM._.US." hidden="1">{"exec sum us",#N/A,FALSE,"Exec Sum"}</definedName>
    <definedName name="wrn.EXEC._.SUMM._.WW." localSheetId="3" hidden="1">{"exec sum ww",#N/A,FALSE,"Exec Sum"}</definedName>
    <definedName name="wrn.EXEC._.SUMM._.WW." hidden="1">{"exec sum ww",#N/A,FALSE,"Exec Sum"}</definedName>
    <definedName name="wrn.execom." localSheetId="3" hidden="1">{"EXECOM QUARTER",#N/A,FALSE,"Execom";"EXECOM ANNUAL",#N/A,FALSE,"Execom";"EXECOM BUDGET2004",#N/A,FALSE,"Execom"}</definedName>
    <definedName name="wrn.execom." hidden="1">{"EXECOM QUARTER",#N/A,FALSE,"Execom";"EXECOM ANNUAL",#N/A,FALSE,"Execom";"EXECOM BUDGET2004",#N/A,FALSE,"Execom"}</definedName>
    <definedName name="wrn.EXHIBITS." localSheetId="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localSheetId="3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localSheetId="3" hidden="1">{"Exp_qty",#N/A,FALSE,"Export";"Exp_sell",#N/A,FALSE,"Export";"Exp_misc",#N/A,FALSE,"Export"}</definedName>
    <definedName name="wrn.Exp." hidden="1">{"Exp_qty",#N/A,FALSE,"Export";"Exp_sell",#N/A,FALSE,"Export";"Exp_misc",#N/A,FALSE,"Export"}</definedName>
    <definedName name="wrn.ExpCompSet." localSheetId="3" hidden="1">{"ExpCompSet",#N/A,FALSE,"Export Comp. Sets"}</definedName>
    <definedName name="wrn.ExpCompSet." hidden="1">{"ExpCompSet",#N/A,FALSE,"Export Comp. Sets"}</definedName>
    <definedName name="wrn.Expense._.Report." localSheetId="4" hidden="1">{#N/A,#N/A,FALSE,"TXNMEERFACE";#N/A,#N/A,FALSE,"TXNMEERBACK"}</definedName>
    <definedName name="wrn.Expense._.Report." localSheetId="3" hidden="1">{#N/A,#N/A,FALSE,"TXNMEERFACE";#N/A,#N/A,FALSE,"TXNMEERBACK"}</definedName>
    <definedName name="wrn.Expense._.Report." hidden="1">{#N/A,#N/A,FALSE,"TXNMEERFACE";#N/A,#N/A,FALSE,"TXNMEERBACK"}</definedName>
    <definedName name="wrn.Exports." localSheetId="3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localSheetId="3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3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localSheetId="3" hidden="1">{#N/A,#N/A,FALSE,"1263 Total"}</definedName>
    <definedName name="wrn.F.._.1263._.Total." hidden="1">{#N/A,#N/A,FALSE,"1263 Total"}</definedName>
    <definedName name="wrn.Falcons._.Divisions." localSheetId="4" hidden="1">{#N/A,#N/A,TRUE,"Fiber_Optic_Cable_Input ";#N/A,#N/A,TRUE,"Specialty_Fiber_Devices_Input";#N/A,#N/A,TRUE,"Optical_Fiber_Apparatus_Input"}</definedName>
    <definedName name="wrn.Falcons._.Divisions." localSheetId="3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4" hidden="1">{#N/A,#N/A,TRUE,"Falcons_Standalone";#N/A,#N/A,TRUE,"Target_Input";#N/A,#N/A,TRUE,"Target_Calendarized"}</definedName>
    <definedName name="wrn.Falcons._.Standalone." localSheetId="3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ar._.East._.Set." localSheetId="3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localSheetId="3" hidden="1">{"FCB_ALL",#N/A,FALSE,"FCB"}</definedName>
    <definedName name="wrn.FB" hidden="1">{"FCB_ALL",#N/A,FALSE,"FCB"}</definedName>
    <definedName name="wrn.fb." localSheetId="3" hidden="1">{"AnnMarg",#N/A,FALSE,"FALCON";"Q",#N/A,FALSE,"Qtrs."}</definedName>
    <definedName name="wrn.fb." hidden="1">{"AnnMarg",#N/A,FALSE,"FALCON";"Q",#N/A,FALSE,"Qtrs."}</definedName>
    <definedName name="wrn.fc." localSheetId="3" hidden="1">{"letter",#N/A,FALSE,"Letter";"amort",#N/A,FALSE,"Amort"}</definedName>
    <definedName name="wrn.fc." hidden="1">{"letter",#N/A,FALSE,"Letter";"amort",#N/A,FALSE,"Amort"}</definedName>
    <definedName name="wrn.fcb" localSheetId="3" hidden="1">{"FCB_ALL",#N/A,FALSE,"FCB"}</definedName>
    <definedName name="wrn.fcb" hidden="1">{"FCB_ALL",#N/A,FALSE,"FCB"}</definedName>
    <definedName name="wrn.FCB." localSheetId="4" hidden="1">{"FCB_ALL",#N/A,FALSE,"FCB"}</definedName>
    <definedName name="wrn.FCB." localSheetId="3" hidden="1">{"FCB_ALL",#N/A,FALSE,"FCB"}</definedName>
    <definedName name="wrn.FCB." hidden="1">{"FCB_ALL",#N/A,FALSE,"FCB"}</definedName>
    <definedName name="wrn.fcb._dcf" localSheetId="3" hidden="1">{"FCB_ALL",#N/A,FALSE,"FCB"}</definedName>
    <definedName name="wrn.fcb._dcf" hidden="1">{"FCB_ALL",#N/A,FALSE,"FCB"}</definedName>
    <definedName name="wrn.fcb2" localSheetId="4" hidden="1">{"FCB_ALL",#N/A,FALSE,"FCB"}</definedName>
    <definedName name="wrn.fcb2" localSheetId="3" hidden="1">{"FCB_ALL",#N/A,FALSE,"FCB"}</definedName>
    <definedName name="wrn.fcb2" hidden="1">{"FCB_ALL",#N/A,FALSE,"FCB"}</definedName>
    <definedName name="wrn.fcb2_dcf" localSheetId="3" hidden="1">{"FCB_ALL",#N/A,FALSE,"FCB"}</definedName>
    <definedName name="wrn.fcb2_dcf" hidden="1">{"FCB_ALL",#N/A,FALSE,"FCB"}</definedName>
    <definedName name="wrn.FCI._.Report." localSheetId="3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localSheetId="3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localSheetId="3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localSheetId="3" hidden="1">{"fdb1_Rapport_Report",#N/A,FALSE,"Report"}</definedName>
    <definedName name="wrn.fdb1_Imprime_Print." hidden="1">{"fdb1_Rapport_Report",#N/A,FALSE,"Report"}</definedName>
    <definedName name="wrn.fdb2_print_rpt." localSheetId="3" hidden="1">{"fdb2_print",#N/A,FALSE,"Report"}</definedName>
    <definedName name="wrn.fdb2_print_rpt." hidden="1">{"fdb2_print",#N/A,FALSE,"Report"}</definedName>
    <definedName name="wrn.FDII6_01PortReview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localSheetId="3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localSheetId="3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ebruary." localSheetId="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 localSheetId="3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localSheetId="3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4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localSheetId="3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localSheetId="3" hidden="1">{"Final",#N/A,FALSE,"Feb-96"}</definedName>
    <definedName name="wrn.Final." hidden="1">{"Final",#N/A,FALSE,"Feb-96"}</definedName>
    <definedName name="wrn.Final._.Copy." localSheetId="3" hidden="1">{#N/A,#N/A,TRUE,"Assumptions";#N/A,#N/A,TRUE,"Financial  Statements";#N/A,#N/A,TRUE,"Unl. Free CF Valuation ";#N/A,#N/A,TRUE,"Funding Schedule";#N/A,#N/A,TRUE,"High Yield &amp; Equity Schedule"}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localSheetId="3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localSheetId="3" hidden="1">{#N/A,#N/A,FALSE,"Summary";#N/A,#N/A,FALSE,"Process";#N/A,#N/A,FALSE,"Utility";#N/A,#N/A,FALSE,"Crude Tanks";#N/A,#N/A,FALSE,"Product"}</definedName>
    <definedName name="wrn.Finals." hidden="1">{#N/A,#N/A,FALSE,"Summary";#N/A,#N/A,FALSE,"Process";#N/A,#N/A,FALSE,"Utility";#N/A,#N/A,FALSE,"Crude Tanks";#N/A,#N/A,FALSE,"Product"}</definedName>
    <definedName name="wrn.Financial." localSheetId="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localSheetId="3" hidden="1">{#N/A,#N/A,TRUE,"Cover letter";#N/A,#N/A,TRUE,"Definitions";#N/A,#N/A,TRUE,"financial data";#N/A,#N/A,TRUE,"general data"}</definedName>
    <definedName name="wrn.financial._.assessment." hidden="1">{#N/A,#N/A,TRUE,"Cover letter";#N/A,#N/A,TRUE,"Definitions";#N/A,#N/A,TRUE,"financial data";#N/A,#N/A,TRUE,"general data"}</definedName>
    <definedName name="wrn.financial._.model." localSheetId="3" hidden="1">{#N/A,#N/A,FALSE,"Financials";#N/A,#N/A,FALSE,"B.S.";#N/A,#N/A,FALSE,"Costs";#N/A,#N/A,FALSE,"Fixed Assets";#N/A,#N/A,FALSE,"DCF";#N/A,#N/A,FALSE,"AVP"}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localSheetId="3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package." localSheetId="3" hidden="1">{#N/A,#N/A,FALSE,"BALANCE SHEET";#N/A,#N/A,FALSE,"IS";#N/A,#N/A,FALSE,"ISCOMPAR";#N/A,#N/A,FALSE,"ADD RETMAR";#N/A,#N/A,FALSE,"VARIOUS COMP";#N/A,#N/A,FALSE,"RATIOS";#N/A,#N/A,FALSE,"GRAPHS"}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localSheetId="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localSheetId="3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localSheetId="3" hidden="1">{"FINSUM",#N/A,FALSE,"SUMMARY"}</definedName>
    <definedName name="wrn.FINANCIAL._.SUMMARY." hidden="1">{"FINSUM",#N/A,FALSE,"SUMMARY"}</definedName>
    <definedName name="wrn.FINANCIAL._.SUMMARY._.ALL." localSheetId="3" hidden="1">{"fin sum us",#N/A,FALSE,"Financial Summ";"fin sum ex",#N/A,FALSE,"Financial Summ";"fin sum other",#N/A,FALSE,"Financial Summ";"fin sum ww",#N/A,FALSE,"Financial Summ"}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localSheetId="3" hidden="1">{"fin sum ex",#N/A,FALSE,"Financial Summ"}</definedName>
    <definedName name="wrn.FINANCIAL._.SUMMARY._.EX._.US." hidden="1">{"fin sum ex",#N/A,FALSE,"Financial Summ"}</definedName>
    <definedName name="wrn.FINANCIAL._.SUMMARY._.OTHER." localSheetId="3" hidden="1">{"fin sum other",#N/A,FALSE,"Financial Summ"}</definedName>
    <definedName name="wrn.FINANCIAL._.SUMMARY._.OTHER." hidden="1">{"fin sum other",#N/A,FALSE,"Financial Summ"}</definedName>
    <definedName name="wrn.FINANCIAL._.SUMMARY._.US." localSheetId="3" hidden="1">{"fin sum us",#N/A,FALSE,"Financial Summ"}</definedName>
    <definedName name="wrn.FINANCIAL._.SUMMARY._.US." hidden="1">{"fin sum us",#N/A,FALSE,"Financial Summ"}</definedName>
    <definedName name="wrn.FINANCIAL._.SUMMARY._.WW." localSheetId="3" hidden="1">{"fin sum ww",#N/A,FALSE,"Financial Summ"}</definedName>
    <definedName name="wrn.FINANCIAL._.SUMMARY._.WW." hidden="1">{"fin sum ww",#N/A,FALSE,"Financial Summ"}</definedName>
    <definedName name="wrn.FINANCIAL_STATATMENTS_DOLLAR." localSheetId="3" hidden="1">{#N/A,#N/A,FALSE,"Balance_sheet$";#N/A,#N/A,FALSE,"Statement_of_op$";#N/A,#N/A,FALSE,"Shareholders_equity$"}</definedName>
    <definedName name="wrn.FINANCIAL_STATATMENTS_DOLLAR." hidden="1">{#N/A,#N/A,FALSE,"Balance_sheet$";#N/A,#N/A,FALSE,"Statement_of_op$";#N/A,#N/A,FALSE,"Shareholders_equity$"}</definedName>
    <definedName name="wrn.FINANCIAL_STATMENTS_NIS." localSheetId="3" hidden="1">{#N/A,#N/A,FALSE,"Balance_sheetNIS";#N/A,#N/A,FALSE,"Statement_of_opNIS";#N/A,#N/A,FALSE,"Shareholders_equityNIS"}</definedName>
    <definedName name="wrn.FINANCIAL_STATMENTS_NIS." hidden="1">{#N/A,#N/A,FALSE,"Balance_sheetNIS";#N/A,#N/A,FALSE,"Statement_of_opNIS";#N/A,#N/A,FALSE,"Shareholders_equityNIS"}</definedName>
    <definedName name="wrn.Financials." localSheetId="4" hidden="1">{#N/A,#N/A,TRUE,"Income Statement";#N/A,#N/A,TRUE,"Balance Sheet";#N/A,#N/A,TRUE,"Cash Flow"}</definedName>
    <definedName name="wrn.Financials." localSheetId="3" hidden="1">{#N/A,#N/A,TRUE,"Income Statement";#N/A,#N/A,TRUE,"Balance Sheet";#N/A,#N/A,TRUE,"Cash Flow"}</definedName>
    <definedName name="wrn.Financials." hidden="1">{#N/A,#N/A,TRUE,"Income Statement";#N/A,#N/A,TRUE,"Balance Sheet";#N/A,#N/A,TRUE,"Cash Flow"}</definedName>
    <definedName name="wrn.Financials._.for._.PPM." localSheetId="4" hidden="1">{"Cover",#N/A,FALSE,"Cover";"Income Statement",#N/A,FALSE,"IncStmt";"Balance Sheet",#N/A,FALSE,"BalSht";"Cash Flow",#N/A,FALSE,"CashFlow";"Footnotes",#N/A,FALSE,"Footnotes"}</definedName>
    <definedName name="wrn.Financials._.for._.PPM." localSheetId="3" hidden="1">{"Cover",#N/A,FALSE,"Cover";"Income Statement",#N/A,FALSE,"IncStmt";"Balance Sheet",#N/A,FALSE,"BalSht";"Cash Flow",#N/A,FALSE,"CashFlow";"Footnotes",#N/A,FALSE,"Footnotes"}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localSheetId="4" hidden="1">{"Cover",#N/A,FALSE,"Cover";"Income Statement",#N/A,FALSE,"IncStmt";"Balance Sheet",#N/A,FALSE,"BalSht";"Cash Flow",#N/A,FALSE,"CashFlow";"Footnotes",#N/A,FALSE,"Footnotes"}</definedName>
    <definedName name="wrn.Financials._.for._.PPM._1" localSheetId="3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localSheetId="3" hidden="1">{"YTD",#N/A,FALSE,"Consolidated"}</definedName>
    <definedName name="wrn.Financials._.YTD." hidden="1">{"YTD",#N/A,FALSE,"Consolidated"}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localSheetId="3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localSheetId="3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localSheetId="3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localSheetId="3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localSheetId="3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localSheetId="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localSheetId="3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localSheetId="3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localSheetId="3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localSheetId="3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localSheetId="3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localSheetId="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localSheetId="3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localSheetId="3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localSheetId="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localSheetId="3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localSheetId="3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localSheetId="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localSheetId="3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localSheetId="3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localSheetId="3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localSheetId="3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localSheetId="3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localSheetId="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localSheetId="3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localSheetId="3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localSheetId="3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localSheetId="3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localSheetId="3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localSheetId="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localSheetId="3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localSheetId="3" hidden="1">{#N/A,#N/A,FALSE,"Finanzbedarfsrechnung"}</definedName>
    <definedName name="wrn.Finanzbedarfsrechnung." hidden="1">{#N/A,#N/A,FALSE,"Finanzbedarfsrechnung"}</definedName>
    <definedName name="wrn.finstat." localSheetId="4" hidden="1">{"ass",#N/A,FALSE,"finstat";"inc",#N/A,FALSE,"finstat";"bs",#N/A,FALSE,"finstat";"cf",#N/A,FALSE,"finstat";"ratios",#N/A,FALSE,"finstat"}</definedName>
    <definedName name="wrn.finstat." localSheetId="3" hidden="1">{"ass",#N/A,FALSE,"finstat";"inc",#N/A,FALSE,"finstat";"bs",#N/A,FALSE,"finstat";"cf",#N/A,FALSE,"finstat";"ratios",#N/A,FALSE,"finstat"}</definedName>
    <definedName name="wrn.finstat." hidden="1">{"ass",#N/A,FALSE,"finstat";"inc",#N/A,FALSE,"finstat";"bs",#N/A,FALSE,"finstat";"cf",#N/A,FALSE,"finstat";"ratios",#N/A,FALSE,"finstat"}</definedName>
    <definedName name="wrn.First._.Grap._.on._.Things." localSheetId="3" hidden="1">{#N/A,#N/A,FALSE,"Overview"}</definedName>
    <definedName name="wrn.First._.Grap._.on._.Things." hidden="1">{#N/A,#N/A,FALSE,"Overview"}</definedName>
    <definedName name="wrn.First._.Report." localSheetId="3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localSheetId="4" hidden="1">{#N/A,#N/A,FALSE,"sum-don";#N/A,#N/A,FALSE,"inc-don"}</definedName>
    <definedName name="wrn.first2." localSheetId="3" hidden="1">{#N/A,#N/A,FALSE,"sum-don";#N/A,#N/A,FALSE,"inc-don"}</definedName>
    <definedName name="wrn.first2." hidden="1">{#N/A,#N/A,FALSE,"sum-don";#N/A,#N/A,FALSE,"inc-don"}</definedName>
    <definedName name="wrn.first2._1" localSheetId="3" hidden="1">{#N/A,#N/A,FALSE,"sum-don";#N/A,#N/A,FALSE,"inc-don"}</definedName>
    <definedName name="wrn.first2._1" hidden="1">{#N/A,#N/A,FALSE,"sum-don";#N/A,#N/A,FALSE,"inc-don"}</definedName>
    <definedName name="wrn.first2._1_1" localSheetId="3" hidden="1">{#N/A,#N/A,FALSE,"sum-don";#N/A,#N/A,FALSE,"inc-don"}</definedName>
    <definedName name="wrn.first2._1_1" hidden="1">{#N/A,#N/A,FALSE,"sum-don";#N/A,#N/A,FALSE,"inc-don"}</definedName>
    <definedName name="wrn.first2._1_2" localSheetId="3" hidden="1">{#N/A,#N/A,FALSE,"sum-don";#N/A,#N/A,FALSE,"inc-don"}</definedName>
    <definedName name="wrn.first2._1_2" hidden="1">{#N/A,#N/A,FALSE,"sum-don";#N/A,#N/A,FALSE,"inc-don"}</definedName>
    <definedName name="wrn.first2._1_3" localSheetId="3" hidden="1">{#N/A,#N/A,FALSE,"sum-don";#N/A,#N/A,FALSE,"inc-don"}</definedName>
    <definedName name="wrn.first2._1_3" hidden="1">{#N/A,#N/A,FALSE,"sum-don";#N/A,#N/A,FALSE,"inc-don"}</definedName>
    <definedName name="wrn.first2._1_4" localSheetId="3" hidden="1">{#N/A,#N/A,FALSE,"sum-don";#N/A,#N/A,FALSE,"inc-don"}</definedName>
    <definedName name="wrn.first2._1_4" hidden="1">{#N/A,#N/A,FALSE,"sum-don";#N/A,#N/A,FALSE,"inc-don"}</definedName>
    <definedName name="wrn.first2._1_5" localSheetId="3" hidden="1">{#N/A,#N/A,FALSE,"sum-don";#N/A,#N/A,FALSE,"inc-don"}</definedName>
    <definedName name="wrn.first2._1_5" hidden="1">{#N/A,#N/A,FALSE,"sum-don";#N/A,#N/A,FALSE,"inc-don"}</definedName>
    <definedName name="wrn.first2._2" localSheetId="3" hidden="1">{#N/A,#N/A,FALSE,"sum-don";#N/A,#N/A,FALSE,"inc-don"}</definedName>
    <definedName name="wrn.first2._2" hidden="1">{#N/A,#N/A,FALSE,"sum-don";#N/A,#N/A,FALSE,"inc-don"}</definedName>
    <definedName name="wrn.first2._2_1" localSheetId="3" hidden="1">{#N/A,#N/A,FALSE,"sum-don";#N/A,#N/A,FALSE,"inc-don"}</definedName>
    <definedName name="wrn.first2._2_1" hidden="1">{#N/A,#N/A,FALSE,"sum-don";#N/A,#N/A,FALSE,"inc-don"}</definedName>
    <definedName name="wrn.first2._2_2" localSheetId="3" hidden="1">{#N/A,#N/A,FALSE,"sum-don";#N/A,#N/A,FALSE,"inc-don"}</definedName>
    <definedName name="wrn.first2._2_2" hidden="1">{#N/A,#N/A,FALSE,"sum-don";#N/A,#N/A,FALSE,"inc-don"}</definedName>
    <definedName name="wrn.first2._2_3" localSheetId="3" hidden="1">{#N/A,#N/A,FALSE,"sum-don";#N/A,#N/A,FALSE,"inc-don"}</definedName>
    <definedName name="wrn.first2._2_3" hidden="1">{#N/A,#N/A,FALSE,"sum-don";#N/A,#N/A,FALSE,"inc-don"}</definedName>
    <definedName name="wrn.first2._2_4" localSheetId="3" hidden="1">{#N/A,#N/A,FALSE,"sum-don";#N/A,#N/A,FALSE,"inc-don"}</definedName>
    <definedName name="wrn.first2._2_4" hidden="1">{#N/A,#N/A,FALSE,"sum-don";#N/A,#N/A,FALSE,"inc-don"}</definedName>
    <definedName name="wrn.first2._2_5" localSheetId="3" hidden="1">{#N/A,#N/A,FALSE,"sum-don";#N/A,#N/A,FALSE,"inc-don"}</definedName>
    <definedName name="wrn.first2._2_5" hidden="1">{#N/A,#N/A,FALSE,"sum-don";#N/A,#N/A,FALSE,"inc-don"}</definedName>
    <definedName name="wrn.first2._3" localSheetId="3" hidden="1">{#N/A,#N/A,FALSE,"sum-don";#N/A,#N/A,FALSE,"inc-don"}</definedName>
    <definedName name="wrn.first2._3" hidden="1">{#N/A,#N/A,FALSE,"sum-don";#N/A,#N/A,FALSE,"inc-don"}</definedName>
    <definedName name="wrn.first2._3_1" localSheetId="3" hidden="1">{#N/A,#N/A,FALSE,"sum-don";#N/A,#N/A,FALSE,"inc-don"}</definedName>
    <definedName name="wrn.first2._3_1" hidden="1">{#N/A,#N/A,FALSE,"sum-don";#N/A,#N/A,FALSE,"inc-don"}</definedName>
    <definedName name="wrn.first2._3_2" localSheetId="3" hidden="1">{#N/A,#N/A,FALSE,"sum-don";#N/A,#N/A,FALSE,"inc-don"}</definedName>
    <definedName name="wrn.first2._3_2" hidden="1">{#N/A,#N/A,FALSE,"sum-don";#N/A,#N/A,FALSE,"inc-don"}</definedName>
    <definedName name="wrn.first2._3_3" localSheetId="3" hidden="1">{#N/A,#N/A,FALSE,"sum-don";#N/A,#N/A,FALSE,"inc-don"}</definedName>
    <definedName name="wrn.first2._3_3" hidden="1">{#N/A,#N/A,FALSE,"sum-don";#N/A,#N/A,FALSE,"inc-don"}</definedName>
    <definedName name="wrn.first2._3_4" localSheetId="3" hidden="1">{#N/A,#N/A,FALSE,"sum-don";#N/A,#N/A,FALSE,"inc-don"}</definedName>
    <definedName name="wrn.first2._3_4" hidden="1">{#N/A,#N/A,FALSE,"sum-don";#N/A,#N/A,FALSE,"inc-don"}</definedName>
    <definedName name="wrn.first2._3_5" localSheetId="3" hidden="1">{#N/A,#N/A,FALSE,"sum-don";#N/A,#N/A,FALSE,"inc-don"}</definedName>
    <definedName name="wrn.first2._3_5" hidden="1">{#N/A,#N/A,FALSE,"sum-don";#N/A,#N/A,FALSE,"inc-don"}</definedName>
    <definedName name="wrn.first2._4" localSheetId="3" hidden="1">{#N/A,#N/A,FALSE,"sum-don";#N/A,#N/A,FALSE,"inc-don"}</definedName>
    <definedName name="wrn.first2._4" hidden="1">{#N/A,#N/A,FALSE,"sum-don";#N/A,#N/A,FALSE,"inc-don"}</definedName>
    <definedName name="wrn.first2._4_1" localSheetId="3" hidden="1">{#N/A,#N/A,FALSE,"sum-don";#N/A,#N/A,FALSE,"inc-don"}</definedName>
    <definedName name="wrn.first2._4_1" hidden="1">{#N/A,#N/A,FALSE,"sum-don";#N/A,#N/A,FALSE,"inc-don"}</definedName>
    <definedName name="wrn.first2._4_2" localSheetId="3" hidden="1">{#N/A,#N/A,FALSE,"sum-don";#N/A,#N/A,FALSE,"inc-don"}</definedName>
    <definedName name="wrn.first2._4_2" hidden="1">{#N/A,#N/A,FALSE,"sum-don";#N/A,#N/A,FALSE,"inc-don"}</definedName>
    <definedName name="wrn.first2._4_3" localSheetId="3" hidden="1">{#N/A,#N/A,FALSE,"sum-don";#N/A,#N/A,FALSE,"inc-don"}</definedName>
    <definedName name="wrn.first2._4_3" hidden="1">{#N/A,#N/A,FALSE,"sum-don";#N/A,#N/A,FALSE,"inc-don"}</definedName>
    <definedName name="wrn.first2._4_4" localSheetId="3" hidden="1">{#N/A,#N/A,FALSE,"sum-don";#N/A,#N/A,FALSE,"inc-don"}</definedName>
    <definedName name="wrn.first2._4_4" hidden="1">{#N/A,#N/A,FALSE,"sum-don";#N/A,#N/A,FALSE,"inc-don"}</definedName>
    <definedName name="wrn.first2._4_5" localSheetId="3" hidden="1">{#N/A,#N/A,FALSE,"sum-don";#N/A,#N/A,FALSE,"inc-don"}</definedName>
    <definedName name="wrn.first2._4_5" hidden="1">{#N/A,#N/A,FALSE,"sum-don";#N/A,#N/A,FALSE,"inc-don"}</definedName>
    <definedName name="wrn.first2._5" localSheetId="3" hidden="1">{#N/A,#N/A,FALSE,"sum-don";#N/A,#N/A,FALSE,"inc-don"}</definedName>
    <definedName name="wrn.first2._5" hidden="1">{#N/A,#N/A,FALSE,"sum-don";#N/A,#N/A,FALSE,"inc-don"}</definedName>
    <definedName name="wrn.first2._5_1" localSheetId="3" hidden="1">{#N/A,#N/A,FALSE,"sum-don";#N/A,#N/A,FALSE,"inc-don"}</definedName>
    <definedName name="wrn.first2._5_1" hidden="1">{#N/A,#N/A,FALSE,"sum-don";#N/A,#N/A,FALSE,"inc-don"}</definedName>
    <definedName name="wrn.first2._5_2" localSheetId="3" hidden="1">{#N/A,#N/A,FALSE,"sum-don";#N/A,#N/A,FALSE,"inc-don"}</definedName>
    <definedName name="wrn.first2._5_2" hidden="1">{#N/A,#N/A,FALSE,"sum-don";#N/A,#N/A,FALSE,"inc-don"}</definedName>
    <definedName name="wrn.first2._5_3" localSheetId="3" hidden="1">{#N/A,#N/A,FALSE,"sum-don";#N/A,#N/A,FALSE,"inc-don"}</definedName>
    <definedName name="wrn.first2._5_3" hidden="1">{#N/A,#N/A,FALSE,"sum-don";#N/A,#N/A,FALSE,"inc-don"}</definedName>
    <definedName name="wrn.first2._5_4" localSheetId="3" hidden="1">{#N/A,#N/A,FALSE,"sum-don";#N/A,#N/A,FALSE,"inc-don"}</definedName>
    <definedName name="wrn.first2._5_4" hidden="1">{#N/A,#N/A,FALSE,"sum-don";#N/A,#N/A,FALSE,"inc-don"}</definedName>
    <definedName name="wrn.first2._5_5" localSheetId="3" hidden="1">{#N/A,#N/A,FALSE,"sum-don";#N/A,#N/A,FALSE,"inc-don"}</definedName>
    <definedName name="wrn.first2._5_5" hidden="1">{#N/A,#N/A,FALSE,"sum-don";#N/A,#N/A,FALSE,"inc-don"}</definedName>
    <definedName name="wrn.first3." localSheetId="4" hidden="1">{#N/A,#N/A,FALSE,"Summary";#N/A,#N/A,FALSE,"proj1";#N/A,#N/A,FALSE,"proj2"}</definedName>
    <definedName name="wrn.first3." localSheetId="3" hidden="1">{#N/A,#N/A,FALSE,"Summary";#N/A,#N/A,FALSE,"proj1";#N/A,#N/A,FALSE,"proj2"}</definedName>
    <definedName name="wrn.first3." hidden="1">{#N/A,#N/A,FALSE,"Summary";#N/A,#N/A,FALSE,"proj1";#N/A,#N/A,FALSE,"proj2"}</definedName>
    <definedName name="wrn.first3._1" localSheetId="3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localSheetId="3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localSheetId="3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localSheetId="3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localSheetId="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localSheetId="3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localSheetId="3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localSheetId="3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localSheetId="3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localSheetId="3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localSheetId="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localSheetId="3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localSheetId="3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localSheetId="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localSheetId="3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localSheetId="3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localSheetId="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localSheetId="3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localSheetId="3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localSheetId="3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localSheetId="3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localSheetId="3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localSheetId="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localSheetId="3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localSheetId="3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localSheetId="3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localSheetId="3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localSheetId="3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localSheetId="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localSheetId="3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localSheetId="4" hidden="1">{#N/A,#N/A,FALSE,"Summary";#N/A,#N/A,FALSE,"proj1";#N/A,#N/A,FALSE,"proj2";#N/A,#N/A,FALSE,"DCF"}</definedName>
    <definedName name="wrn.first4." localSheetId="3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rst4._1" localSheetId="3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localSheetId="3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localSheetId="3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localSheetId="3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localSheetId="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localSheetId="3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localSheetId="3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localSheetId="3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localSheetId="3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localSheetId="3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localSheetId="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localSheetId="3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localSheetId="3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localSheetId="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localSheetId="3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localSheetId="3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localSheetId="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localSheetId="3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localSheetId="3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localSheetId="3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localSheetId="3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localSheetId="3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localSheetId="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localSheetId="3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localSheetId="3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localSheetId="3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localSheetId="3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localSheetId="3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localSheetId="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localSheetId="3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localSheetId="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localSheetId="4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" localSheetId="3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localSheetId="3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localSheetId="3" hidden="1">{"Five Year Record",#N/A,FALSE,"Front and Back"}</definedName>
    <definedName name="wrn.Five._.Year._.Record." hidden="1">{"Five Year Record",#N/A,FALSE,"Front and Back"}</definedName>
    <definedName name="wrn.FLAG._.Report." localSheetId="3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localSheetId="3" hidden="1">{#N/A,#N/A,FALSE,"JKFLASH2";#N/A,#N/A,FALSE,"Page 4";#N/A,#N/A,FALSE,"page 3"}</definedName>
    <definedName name="wrn.Flash." hidden="1">{#N/A,#N/A,FALSE,"JKFLASH2";#N/A,#N/A,FALSE,"Page 4";#N/A,#N/A,FALSE,"page 3"}</definedName>
    <definedName name="wrn.Flash._.Result." localSheetId="3" hidden="1">{"Flash Result",#N/A,FALSE,"Flash Result"}</definedName>
    <definedName name="wrn.Flash._.Result." hidden="1">{"Flash Result",#N/A,FALSE,"Flash Result"}</definedName>
    <definedName name="wrn.fleck." localSheetId="3" hidden="1">{"first",#N/A,FALSE,"FLEXPAC2";"second",#N/A,FALSE,"FLEXPAC2"}</definedName>
    <definedName name="wrn.fleck." hidden="1">{"first",#N/A,FALSE,"FLEXPAC2";"second",#N/A,FALSE,"FLEXPAC2"}</definedName>
    <definedName name="wrn.fleckcompac." localSheetId="3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UX._.REPORT." localSheetId="3" hidden="1">{#N/A,#N/A,FALSE,"FLUX"}</definedName>
    <definedName name="wrn.FLUX._.REPORT." hidden="1">{#N/A,#N/A,FALSE,"FLUX"}</definedName>
    <definedName name="wrn.FOC._.Detail." localSheetId="4" hidden="1">{#N/A,#N/A,TRUE,"FOC_Product_Assumptions"}</definedName>
    <definedName name="wrn.FOC._.Detail." localSheetId="3" hidden="1">{#N/A,#N/A,TRUE,"FOC_Product_Assumptions"}</definedName>
    <definedName name="wrn.FOC._.Detail." hidden="1">{#N/A,#N/A,TRUE,"FOC_Product_Assumptions"}</definedName>
    <definedName name="wrn.Forecast." localSheetId="3" hidden="1">{#N/A,#N/A,FALSE,"Quarterly BS 01";#N/A,#N/A,FALSE,"Cons Balsheet01";#N/A,#N/A,FALSE,"Quarterly CF 01";#N/A,#N/A,FALSE,"Cash Flow 01";#N/A,#N/A,FALSE,"EARNINGS 01"}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localSheetId="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localSheetId="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localSheetId="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localSheetId="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localSheetId="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localSheetId="4" hidden="1">{"RB QY $",#N/A,FALSE,"Fin STMT";"RB QY Stats",#N/A,FALSE,"Fin STMT";"RB 00 $",#N/A,FALSE,"Fin STMT";"RB 00 Stats",#N/A,FALSE,"Fin STMT";"RB 01 $",#N/A,FALSE,"Fin STMT";"RB 01 Stats",#N/A,FALSE,"Fin STMT"}</definedName>
    <definedName name="wrn.Forecast._.Red._.Book." localSheetId="3" hidden="1">{"RB QY $",#N/A,FALSE,"Fin STMT";"RB QY Stats",#N/A,FALSE,"Fin STMT";"RB 00 $",#N/A,FALSE,"Fin STMT";"RB 00 Stats",#N/A,FALSE,"Fin STMT";"RB 01 $",#N/A,FALSE,"Fin STMT";"RB 01 Stats",#N/A,FALSE,"Fin STMT"}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localSheetId="4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Report." localSheetId="3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localSheetId="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localSheetId="3" hidden="1">{#N/A,#N/A,FALSE,"COMP"}</definedName>
    <definedName name="wrn.FORM1." hidden="1">{#N/A,#N/A,FALSE,"COMP"}</definedName>
    <definedName name="wrn.forms." localSheetId="4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localSheetId="3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localSheetId="3" hidden="1">{#N/A,#N/A,TRUE,"financial data";#N/A,#N/A,TRUE,"general data";#N/A,#N/A,TRUE,"order fulfillment"}</definedName>
    <definedName name="wrn.forms._.only." hidden="1">{#N/A,#N/A,TRUE,"financial data";#N/A,#N/A,TRUE,"general data";#N/A,#N/A,TRUE,"order fulfillment"}</definedName>
    <definedName name="wrn.formulas." localSheetId="3" hidden="1">{"formulas",#N/A,FALSE,"Key Indicators"}</definedName>
    <definedName name="wrn.formulas." hidden="1">{"formulas",#N/A,FALSE,"Key Indicators"}</definedName>
    <definedName name="wrn.FOUR._.CASES." localSheetId="4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localSheetId="3" hidden="1">{#N/A,#N/A,FALSE,"FREE"}</definedName>
    <definedName name="wrn.FREE." hidden="1">{#N/A,#N/A,FALSE,"FREE"}</definedName>
    <definedName name="wrn.Freq_Res." localSheetId="3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iendly." localSheetId="3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3" hidden="1">{"Front Page",#N/A,FALSE,"Front and Back"}</definedName>
    <definedName name="wrn.Front._.Page." hidden="1">{"Front Page",#N/A,FALSE,"Front and Back"}</definedName>
    <definedName name="wrn.FSCT._.PCKG." localSheetId="3" hidden="1">{#N/A,#N/A,FALSE,"P&amp;L";#N/A,#N/A,FALSE,"Capital";#N/A,#N/A,FALSE,"Summary";#N/A,#N/A,FALSE,"VAR Rec";#N/A,#N/A,FALSE,"EBIT Rec"}</definedName>
    <definedName name="wrn.FSCT._.PCKG." hidden="1">{#N/A,#N/A,FALSE,"P&amp;L";#N/A,#N/A,FALSE,"Capital";#N/A,#N/A,FALSE,"Summary";#N/A,#N/A,FALSE,"VAR Rec";#N/A,#N/A,FALSE,"EBIT Rec"}</definedName>
    <definedName name="wrn.FSs." localSheetId="3" hidden="1">{#N/A,#N/A,FALSE,"BAL";#N/A,#N/A,FALSE,"ANN IS";#N/A,#N/A,FALSE,"ANN CF";#N/A,#N/A,FALSE,"ANN SE"}</definedName>
    <definedName name="wrn.FSs." hidden="1">{#N/A,#N/A,FALSE,"BAL";#N/A,#N/A,FALSE,"ANN IS";#N/A,#N/A,FALSE,"ANN CF";#N/A,#N/A,FALSE,"ANN SE"}</definedName>
    <definedName name="wrn.FTS." localSheetId="3" hidden="1">{"FTS",#N/A,FALSE,"E"}</definedName>
    <definedName name="wrn.FTS." hidden="1">{"FTS",#N/A,FALSE,"E"}</definedName>
    <definedName name="wrn.FTS._.PLANT._.BREAKUP." localSheetId="3" hidden="1">{"PLANT BREAKUP",#N/A,FALSE,"E"}</definedName>
    <definedName name="wrn.FTS._.PLANT._.BREAKUP." hidden="1">{"PLANT BREAKUP",#N/A,FALSE,"E"}</definedName>
    <definedName name="wrn.Ful._.Set." localSheetId="3" hidden="1">{"Bsheet",#N/A,FALSE,"Details";"P&amp;L",#N/A,FALSE,"Details";"Schedule",#N/A,FALSE,"Details";"Details",#N/A,FALSE,"Details"}</definedName>
    <definedName name="wrn.Ful._.Set." hidden="1">{"Bsheet",#N/A,FALSE,"Details";"P&amp;L",#N/A,FALSE,"Details";"Schedule",#N/A,FALSE,"Details";"Details",#N/A,FALSE,"Details"}</definedName>
    <definedName name="wrn.Full." localSheetId="4" hidden="1">{"Comp1",#N/A,FALSE,"COMP";"Comp2",#N/A,FALSE,"COMP";"Comp3",#N/A,FALSE,"COMP";"Comp4",#N/A,FALSE,"COMP"}</definedName>
    <definedName name="wrn.Full." localSheetId="3">{"Comp1",#N/A,FALSE,"COMP";"Comp2",#N/A,FALSE,"COMP";"Comp3",#N/A,FALSE,"COMP";"Comp4",#N/A,FALSE,"COMP"}</definedName>
    <definedName name="wrn.Full.">{"Comp1",#N/A,FALSE,"COMP";"Comp2",#N/A,FALSE,"COMP";"Comp3",#N/A,FALSE,"COMP";"Comp4",#N/A,FALSE,"COMP"}</definedName>
    <definedName name="wrn.Full._.Earnings._.Model." localSheetId="3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localSheetId="3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localSheetId="4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" localSheetId="3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localSheetId="4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localSheetId="3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3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3" hidden="1">{#N/A,#N/A,FALSE,"COVER";#N/A,#N/A,FALSE,"VALUATION";#N/A,#N/A,FALSE,"FORECAST";#N/A,#N/A,FALSE,"FY ANALYSIS ";#N/A,#N/A,FALSE," HY ANALYSIS"}</definedName>
    <definedName name="wrn.Full._.Report._1" hidden="1">{#N/A,#N/A,FALSE,"COVER";#N/A,#N/A,FALSE,"VALUATION";#N/A,#N/A,FALSE,"FORECAST";#N/A,#N/A,FALSE,"FY ANALYSIS ";#N/A,#N/A,FALSE," HY ANALYSIS"}</definedName>
    <definedName name="wrn.full._.report._1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3" hidden="1">{#N/A,#N/A,FALSE,"COVER";#N/A,#N/A,FALSE,"VALUATION";#N/A,#N/A,FALSE,"FORECAST";#N/A,#N/A,FALSE,"FY ANALYSIS ";#N/A,#N/A,FALSE," HY ANALYSIS"}</definedName>
    <definedName name="wrn.Full._.Report._2" hidden="1">{#N/A,#N/A,FALSE,"COVER";#N/A,#N/A,FALSE,"VALUATION";#N/A,#N/A,FALSE,"FORECAST";#N/A,#N/A,FALSE,"FY ANALYSIS ";#N/A,#N/A,FALSE," HY ANALYSIS"}</definedName>
    <definedName name="wrn.full._.report._2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localSheetId="3" hidden="1">{#N/A,#N/A,FALSE,"COVER";#N/A,#N/A,FALSE,"VALUATION";#N/A,#N/A,FALSE,"FORECAST";#N/A,#N/A,FALSE,"FY ANALYSIS ";#N/A,#N/A,FALSE," HY ANALYSIS"}</definedName>
    <definedName name="wrn.Full._.Report._3" hidden="1">{#N/A,#N/A,FALSE,"COVER";#N/A,#N/A,FALSE,"VALUATION";#N/A,#N/A,FALSE,"FORECAST";#N/A,#N/A,FALSE,"FY ANALYSIS ";#N/A,#N/A,FALSE," HY ANALYSIS"}</definedName>
    <definedName name="wrn.full._.report._3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localSheetId="3" hidden="1">{#N/A,#N/A,FALSE,"COVER";#N/A,#N/A,FALSE,"VALUATION";#N/A,#N/A,FALSE,"FORECAST";#N/A,#N/A,FALSE,"FY ANALYSIS ";#N/A,#N/A,FALSE," HY ANALYSIS"}</definedName>
    <definedName name="wrn.Full._.Report._4" hidden="1">{#N/A,#N/A,FALSE,"COVER";#N/A,#N/A,FALSE,"VALUATION";#N/A,#N/A,FALSE,"FORECAST";#N/A,#N/A,FALSE,"FY ANALYSIS ";#N/A,#N/A,FALSE," HY ANALYSIS"}</definedName>
    <definedName name="wrn.full._.report._4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localSheetId="3" hidden="1">{#N/A,#N/A,FALSE,"COVER";#N/A,#N/A,FALSE,"VALUATION";#N/A,#N/A,FALSE,"FORECAST";#N/A,#N/A,FALSE,"FY ANALYSIS ";#N/A,#N/A,FALSE," HY ANALYSIS"}</definedName>
    <definedName name="wrn.Full._.Report._5" hidden="1">{#N/A,#N/A,FALSE,"COVER";#N/A,#N/A,FALSE,"VALUATION";#N/A,#N/A,FALSE,"FORECAST";#N/A,#N/A,FALSE,"FY ANALYSIS ";#N/A,#N/A,FALSE," HY ANALYSIS"}</definedName>
    <definedName name="wrn.full._.report._5_1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localSheetId="3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localSheetId="3" hidden="1">{"JanToDec",#N/A,FALSE,"Forecast"}</definedName>
    <definedName name="wrn.Full._.Year._.By._.Month." hidden="1">{"JanToDec",#N/A,FALSE,"Forecast"}</definedName>
    <definedName name="wrn.full._1" localSheetId="3" hidden="1">{"vi1",#N/A,FALSE,"Pagcc";"vi2",#N/A,FALSE,"Pagcc";"vi3",#N/A,FALSE,"Pagcc";"vi4",#N/A,FALSE,"Pagcc";"vi5",#N/A,FALSE,"Pagcc";#N/A,#N/A,FALSE,"Contribution"}</definedName>
    <definedName name="wrn.full._1" hidden="1">{"vi1",#N/A,FALSE,"Pagcc";"vi2",#N/A,FALSE,"Pagcc";"vi3",#N/A,FALSE,"Pagcc";"vi4",#N/A,FALSE,"Pagcc";"vi5",#N/A,FALSE,"Pagcc";#N/A,#N/A,FALSE,"Contribution"}</definedName>
    <definedName name="wrn.full._1_1" localSheetId="3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localSheetId="3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localSheetId="3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localSheetId="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localSheetId="3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localSheetId="3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localSheetId="3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localSheetId="3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localSheetId="3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localSheetId="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localSheetId="3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localSheetId="3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localSheetId="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localSheetId="3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localSheetId="3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localSheetId="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localSheetId="3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localSheetId="3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localSheetId="3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localSheetId="3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localSheetId="3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localSheetId="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localSheetId="3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localSheetId="3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localSheetId="3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localSheetId="3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localSheetId="3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localSheetId="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localSheetId="3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localSheetId="4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_PACKAGE." localSheetId="3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localSheetId="3" hidden="1">{#N/A,#N/A,FALSE,"Summary";#N/A,#N/A,FALSE,"CF";#N/A,#N/A,FALSE,"P&amp;L";#N/A,#N/A,FALSE,"BS";#N/A,#N/A,FALSE,"Returns";#N/A,#N/A,FALSE,"Assumptions";#N/A,#N/A,FALSE,"Analysis"}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localSheetId="3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localSheetId="3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localSheetId="3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localSheetId="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localSheetId="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localSheetId="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localSheetId="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localSheetId="3" hidden="1">{#N/A,#N/A,TRUE,"FD IV Portfolio Summary ";#N/A,#N/A,TRUE,"Western";#N/A,#N/A,TRUE,"Kranson";#N/A,#N/A,TRUE,"Product";#N/A,#N/A,TRUE,"Precise";#N/A,#N/A,TRUE,"WNA"}</definedName>
    <definedName name="wrn.Fund._.IV._.Adv.._.Brd.._.June._.2000." hidden="1">{#N/A,#N/A,TRUE,"FD IV Portfolio Summary ";#N/A,#N/A,TRUE,"Western";#N/A,#N/A,TRUE,"Kranson";#N/A,#N/A,TRUE,"Product";#N/A,#N/A,TRUE,"Precise";#N/A,#N/A,TRUE,"WNA"}</definedName>
    <definedName name="wrn.Funnel._.Report." localSheetId="3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Y00._.Summary." localSheetId="3" hidden="1">{"FY00",#N/A,FALSE,"Sheet1"}</definedName>
    <definedName name="wrn.FY00._.Summary." hidden="1">{"FY00",#N/A,FALSE,"Sheet1"}</definedName>
    <definedName name="wrn.FY01._.Target." localSheetId="3" hidden="1">{"FY01 TARGET",#N/A,FALSE,"Sheet1"}</definedName>
    <definedName name="wrn.FY01._.Target." hidden="1">{"FY01 TARGET",#N/A,FALSE,"Sheet1"}</definedName>
    <definedName name="wrn.FY01_Fin_Stmts." localSheetId="3" hidden="1">{"FY01_Assets",#N/A,FALSE,"Fin Stmt Budget";"FY01_Liabilities",#N/A,FALSE,"Fin Stmt Budget";"FY01_Inc_Stmt",#N/A,FALSE,"Fin Stmt Budget";"FY01_SOCF",#N/A,FALSE,"Fin Stmt Budget"}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localSheetId="3" hidden="1">{"FY02_Assets",#N/A,FALSE,"Fin Stmt Budget";"FY02_Liabilities",#N/A,FALSE,"Fin Stmt Budget";"FY02_Inc_Stmt",#N/A,FALSE,"Fin Stmt Budget";"FY02_SOCF",#N/A,FALSE,"Fin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localSheetId="3" hidden="1">{"FY03_Assets",#N/A,FALSE,"Fin Stmt Budget";"FY03_Liabilities",#N/A,FALSE,"Fin Stmt Budget";"FY03_Inc_Stmt",#N/A,FALSE,"Fin Stmt Budget";"FY03_SOCF",#N/A,FALSE,"Fin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localSheetId="3" hidden="1">{"FY04_Assets",#N/A,FALSE,"Fin Stmt Budget";"FY04_Liabilities",#N/A,FALSE,"Fin Stmt Budget";"FY04_Inc_Stmt",#N/A,FALSE,"Fin Stmt Budget";"FY04_SOCF",#N/A,FALSE,"Fin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localSheetId="3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localSheetId="3" hidden="1">{"FY01_Assets",#N/A,FALSE,"Fin Stmt Budget";"FY01_Liabilities",#N/A,FALSE,"Fin Stmt Budget";"FY01_Inc_Stmt",#N/A,FALSE,"Fin Stmt Budget";"FY01_SOCF",#N/A,FALSE,"Fin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localSheetId="3" hidden="1">{"FY04_Assets",#N/A,FALSE,"Fin Stmt Budget";"FY04_Liabilities",#N/A,FALSE,"Fin Stmt Budget";"FY04_Inc_Stmt",#N/A,FALSE,"Fin Stmt Budget";"FY04_SOCF",#N/A,FALSE,"Fin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localSheetId="4" hidden="1">{"membersFY2000",#N/A,TRUE,"Sheet13";"IncomeFY2000",#N/A,TRUE,"Sheet13";"GAAP2000",#N/A,TRUE,"Sheet13";"CashFY2000",#N/A,TRUE,"Sheet13";"BSFY2000",#N/A,TRUE,"Sheet13"}</definedName>
    <definedName name="wrn.FY2000." localSheetId="3" hidden="1">{"membersFY2000",#N/A,TRUE,"Sheet13";"IncomeFY2000",#N/A,TRUE,"Sheet13";"GAAP2000",#N/A,TRUE,"Sheet13";"CashFY2000",#N/A,TRUE,"Sheet13";"BSFY2000",#N/A,TRUE,"Sheet13"}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localSheetId="3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localSheetId="3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localSheetId="3" hidden="1">{#N/A,#N/A,FALSE,"Umsatz 99";#N/A,#N/A,FALSE,"ER 99 "}</definedName>
    <definedName name="wrn.GB._.99." hidden="1">{#N/A,#N/A,FALSE,"Umsatz 99";#N/A,#N/A,FALSE,"ER 99 "}</definedName>
    <definedName name="wrn.GB._.CH.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localSheetId="3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localSheetId="3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EER_report." localSheetId="3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localSheetId="3" hidden="1">{#N/A,#N/A,FALSE,"Inc";#N/A,#N/A,FALSE,"Prod";#N/A,#N/A,FALSE,"QInc";#N/A,#N/A,FALSE,"QProd"}</definedName>
    <definedName name="wrn.Genentech._.Model." hidden="1">{#N/A,#N/A,FALSE,"Inc";#N/A,#N/A,FALSE,"Prod";#N/A,#N/A,FALSE,"QInc";#N/A,#N/A,FALSE,"QProd"}</definedName>
    <definedName name="wrn.General." localSheetId="3" hidden="1">{"a93thrua03",#N/A,FALSE;"q93vsq94",#N/A,FALSE}</definedName>
    <definedName name="wrn.General." hidden="1">{"a93thrua03",#N/A,FALSE;"q93vsq94",#N/A,FALSE}</definedName>
    <definedName name="wrn.GENERAL._.INPUT._.SCREEN." localSheetId="3" hidden="1">{"General Input",#N/A,FALSE,"General Input"}</definedName>
    <definedName name="wrn.GENERAL._.INPUT._.SCREEN." hidden="1">{"General Input",#N/A,FALSE,"General Input"}</definedName>
    <definedName name="wrn.General._.OTC." localSheetId="3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OTC._1" localSheetId="3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localSheetId="3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localSheetId="3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localSheetId="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localSheetId="3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Pharm._1" localSheetId="3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localSheetId="3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localSheetId="3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localSheetId="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localSheetId="3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eneral._.Total._1" localSheetId="3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localSheetId="3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localSheetId="3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localSheetId="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localSheetId="3" hidden="1">{#N/A,#N/A,FALSE,"Inc";#N/A,#N/A,FALSE,"QInc";#N/A,#N/A,FALSE,"Pro";#N/A,#N/A,FALSE,"QPro"}</definedName>
    <definedName name="wrn.Genzyme._.model." hidden="1">{#N/A,#N/A,FALSE,"Inc";#N/A,#N/A,FALSE,"QInc";#N/A,#N/A,FALSE,"Pro";#N/A,#N/A,FALSE,"QPro"}</definedName>
    <definedName name="wrn.Geographic._.Trends." localSheetId="3" hidden="1">{"Geographic P1",#N/A,FALSE,"Division &amp; Geog"}</definedName>
    <definedName name="wrn.Geographic._.Trends." hidden="1">{"Geographic P1",#N/A,FALSE,"Division &amp; Geog"}</definedName>
    <definedName name="wrn.GGR._.Network._.Exhibit." localSheetId="3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localSheetId="4" hidden="1">{"Gilat BV - activ",#N/A,FALSE,"Gilat BV";"Gilat BV - passiv",#N/A,FALSE,"Gilat BV";"Gilat BV - P&amp;L",#N/A,FALSE,"Gilat BV";"Gilat BV - P.N.",#N/A,FALSE,"Gilat BV";"Gilat BV - feed",#N/A,FALSE,"Gilat BV"}</definedName>
    <definedName name="wrn.Gilat._.BV." localSheetId="3" hidden="1">{"Gilat BV - activ",#N/A,FALSE,"Gilat BV";"Gilat BV - passiv",#N/A,FALSE,"Gilat BV";"Gilat BV - P&amp;L",#N/A,FALSE,"Gilat BV";"Gilat BV - P.N.",#N/A,FALSE,"Gilat BV";"Gilat BV - feed",#N/A,FALSE,"Gilat BV"}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localSheetId="4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lorida." localSheetId="3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localSheetId="4" hidden="1">{"Gilat France - activ",#N/A,FALSE,"France";"Gilat Frnace - passiv",#N/A,FALSE,"France";"Gilat Frnace - P&amp;L",#N/A,FALSE,"France";"Gilat France - P.N.",#N/A,FALSE,"France"}</definedName>
    <definedName name="wrn.Gilat._.France." localSheetId="3" hidden="1">{"Gilat France - activ",#N/A,FALSE,"France";"Gilat Frnace - passiv",#N/A,FALSE,"France";"Gilat Frnace - P&amp;L",#N/A,FALSE,"France";"Gilat France - P.N.",#N/A,FALSE,"France"}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localSheetId="4" hidden="1">{"Gilat HK - activ",#N/A,FALSE,"Gilat Hong-Kong";"Gilat HK - passiv",#N/A,FALSE,"Gilat Hong-Kong";"Gilat HK - P&amp;L",#N/A,FALSE,"Gilat Hong-Kong";"Gilat HK - P.N.",#N/A,FALSE,"Gilat Hong-Kong"}</definedName>
    <definedName name="wrn.Gilat._.HK." localSheetId="3" hidden="1">{"Gilat HK - activ",#N/A,FALSE,"Gilat Hong-Kong";"Gilat HK - passiv",#N/A,FALSE,"Gilat Hong-Kong";"Gilat HK - P&amp;L",#N/A,FALSE,"Gilat Hong-Kong";"Gilat HK - P.N.",#N/A,FALSE,"Gilat Hong-Kong"}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localSheetId="4" hidden="1">{"Gilat Inc - activ",#N/A,FALSE,"Gilat Inc";"Gilat Inc - Passiv",#N/A,FALSE,"Gilat Inc";"Gilat Inc - P&amp;L",#N/A,FALSE,"Gilat Inc";"Gilat Inc - P.N.",#N/A,FALSE,"Gilat Inc"}</definedName>
    <definedName name="wrn.Gilat._.Inc." localSheetId="3" hidden="1">{"Gilat Inc - activ",#N/A,FALSE,"Gilat Inc";"Gilat Inc - Passiv",#N/A,FALSE,"Gilat Inc";"Gilat Inc - P&amp;L",#N/A,FALSE,"Gilat Inc";"Gilat Inc - P.N.",#N/A,FALSE,"Gilat Inc"}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localSheetId="4" hidden="1">{"Gilat Israel - activ",#N/A,FALSE,"Gilat Israel";"Gilat Israel - passiv",#N/A,FALSE,"Gilat Israel";"Gilat Israel - P&amp;L",#N/A,FALSE,"Gilat Israel";"Gilat Israel - P.N.",#N/A,FALSE,"Gilat Israel"}</definedName>
    <definedName name="wrn.Gilat._.Israel._.SOLO." localSheetId="3" hidden="1">{"Gilat Israel - activ",#N/A,FALSE,"Gilat Israel";"Gilat Israel - passiv",#N/A,FALSE,"Gilat Israel";"Gilat Israel - P&amp;L",#N/A,FALSE,"Gilat Israel";"Gilat Israel - P.N.",#N/A,FALSE,"Gilat Israel"}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localSheetId="3" hidden="1">{#N/A,#N/A,FALSE,"GIS"}</definedName>
    <definedName name="wrn.GIS." hidden="1">{#N/A,#N/A,FALSE,"GIS"}</definedName>
    <definedName name="wrn.glc." localSheetId="3" hidden="1">{"glcbs",#N/A,FALSE,"GLCBS";"glccsbs",#N/A,FALSE,"GLCCSBS";"glcis",#N/A,FALSE,"GLCIS";"glccsis",#N/A,FALSE,"GLCCSIS";"glcrat1",#N/A,FALSE,"GLC-ratios1"}</definedName>
    <definedName name="wrn.glc." hidden="1">{"glcbs",#N/A,FALSE,"GLCBS";"glccsbs",#N/A,FALSE,"GLCCSBS";"glcis",#N/A,FALSE,"GLCIS";"glccsis",#N/A,FALSE,"GLCCSIS";"glcrat1",#N/A,FALSE,"GLC-ratios1"}</definedName>
    <definedName name="wrn.glcpromonte." localSheetId="3" hidden="1">{"glc1",#N/A,FALSE,"GLC";"glc2",#N/A,FALSE,"GLC";"glc3",#N/A,FALSE,"GLC";"glc4",#N/A,FALSE,"GLC";"glc5",#N/A,FALSE,"GLC"}</definedName>
    <definedName name="wrn.glcpromonte." hidden="1">{"glc1",#N/A,FALSE,"GLC";"glc2",#N/A,FALSE,"GLC";"glc3",#N/A,FALSE,"GLC";"glc4",#N/A,FALSE,"GLC";"glc5",#N/A,FALSE,"GLC"}</definedName>
    <definedName name="wrn.Globale." localSheetId="3" hidden="1">{#N/A,#N/A,TRUE,"Scenari";#N/A,#N/A,TRUE,"Wacc";#N/A,#N/A,TRUE,"DCF";#N/A,#N/A,TRUE,"TV";#N/A,#N/A,TRUE,"Ctrl";#N/A,#N/A,TRUE,"EVA ";#N/A,#N/A,TRUE,"Mista"}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localSheetId="3" hidden="1">{"GOING FORWARD",#N/A,FALSE,"02-04 Qtr per Div"}</definedName>
    <definedName name="wrn.going._.forward." hidden="1">{"GOING FORWARD",#N/A,FALSE,"02-04 Qtr per Div"}</definedName>
    <definedName name="wrn.Good._.Stuff." localSheetId="3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localSheetId="3" hidden="1">{"GRAF. C.A.",#N/A,TRUE,"GRAFICOS";"GRAF. VOLUM.",#N/A,TRUE,"GRAFICOS";"GRAF. M.B.",#N/A,TRUE,"GRAFICOS"}</definedName>
    <definedName name="wrn.GRAFICOS." hidden="1">{"GRAF. C.A.",#N/A,TRUE,"GRAFICOS";"GRAF. VOLUM.",#N/A,TRUE,"GRAFICOS";"GRAF. M.B.",#N/A,TRUE,"GRAFICOS"}</definedName>
    <definedName name="wrn.GRAPHS." localSheetId="3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aphs._1" localSheetId="3" hidden="1">{"Frequency Graph",#N/A,FALSE,"Trend";"Loss Cost Graph",#N/A,FALSE,"Trend";"Severity Trend Graph",#N/A,FALSE,"Trend"}</definedName>
    <definedName name="wrn.Graphs._1" hidden="1">{"Frequency Graph",#N/A,FALSE,"Trend";"Loss Cost Graph",#N/A,FALSE,"Trend";"Severity Trend Graph",#N/A,FALSE,"Trend"}</definedName>
    <definedName name="wrn.Graphs._1_1" localSheetId="3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localSheetId="3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localSheetId="3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localSheetId="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localSheetId="3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localSheetId="3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localSheetId="3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localSheetId="3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localSheetId="3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localSheetId="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localSheetId="3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localSheetId="3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localSheetId="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localSheetId="3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localSheetId="3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localSheetId="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localSheetId="3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localSheetId="3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localSheetId="3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localSheetId="3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localSheetId="3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localSheetId="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localSheetId="3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localSheetId="3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localSheetId="3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localSheetId="3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localSheetId="3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localSheetId="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localSheetId="3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localSheetId="4" hidden="1">{"gross_margin1",#N/A,FALSE,"Gross Margin Detail";"gross_margin2",#N/A,FALSE,"Gross Margin Detail"}</definedName>
    <definedName name="wrn.gross._.margin._.detail." localSheetId="3" hidden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roup." localSheetId="3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localSheetId="3" hidden="1">{#N/A,#N/A,FALSE,"Rev Grwth";#N/A,#N/A,FALSE,"Op Inc Grwth";#N/A,#N/A,FALSE,"Net Grwth";#N/A,#N/A,FALSE,"EPS Growth"}</definedName>
    <definedName name="wrn.Growth." hidden="1">{#N/A,#N/A,FALSE,"Rev Grwth";#N/A,#N/A,FALSE,"Op Inc Grwth";#N/A,#N/A,FALSE,"Net Grwth";#N/A,#N/A,FALSE,"EPS Growth"}</definedName>
    <definedName name="wrn.gth." localSheetId="3" hidden="1">{#N/A,#N/A,FALSE,"Title Page";#N/A,#N/A,FALSE,"Summary Sheet"}</definedName>
    <definedName name="wrn.gth." hidden="1">{#N/A,#N/A,FALSE,"Title Page";#N/A,#N/A,FALSE,"Summary Sheet"}</definedName>
    <definedName name="wrn.gti._.qtrly._.stats." localSheetId="3" hidden="1">{"GTI monthly IS",#N/A,FALSE,"gti";#N/A,#N/A,FALSE,"gti"}</definedName>
    <definedName name="wrn.gti._.qtrly._.stats." hidden="1">{"GTI monthly IS",#N/A,FALSE,"gti";#N/A,#N/A,FALSE,"gti"}</definedName>
    <definedName name="wrn.GTO._.FINANCIALS." localSheetId="4" hidden="1">{"Cover - GTO",#N/A,FALSE,"COVER";"GTO-BS",#N/A,FALSE,"BAL";"GTO-IS",#N/A,FALSE,"OVERHEAD"}</definedName>
    <definedName name="wrn.GTO._.FINANCIALS." localSheetId="3" hidden="1">{"Cover - GTO",#N/A,FALSE,"COVER";"GTO-BS",#N/A,FALSE,"BAL";"GTO-IS",#N/A,FALSE,"OVERHEAD"}</definedName>
    <definedName name="wrn.GTO._.FINANCIALS." hidden="1">{"Cover - GTO",#N/A,FALSE,"COVER";"GTO-BS",#N/A,FALSE,"BAL";"GTO-IS",#N/A,FALSE,"OVERHEAD"}</definedName>
    <definedName name="wrn.GuV." localSheetId="3" hidden="1">{#N/A,#N/A,FALSE,"Layout GuV"}</definedName>
    <definedName name="wrn.GuV." hidden="1">{#N/A,#N/A,FALSE,"Layout GuV"}</definedName>
    <definedName name="wrn.GVT." localSheetId="4" hidden="1">{"GVT - activ",#N/A,FALSE,"GVT";"GVT - passiv",#N/A,FALSE,"GVT";"GVT - P&amp;L",#N/A,FALSE,"GVT";"GVT - P.N.",#N/A,FALSE,"GVT";"GVT - feed",#N/A,FALSE,"GVT"}</definedName>
    <definedName name="wrn.GVT." localSheetId="3" hidden="1">{"GVT - activ",#N/A,FALSE,"GVT";"GVT - passiv",#N/A,FALSE,"GVT";"GVT - P&amp;L",#N/A,FALSE,"GVT";"GVT - P.N.",#N/A,FALSE,"GVT";"GVT - feed",#N/A,FALSE,"GVT"}</definedName>
    <definedName name="wrn.GVT." hidden="1">{"GVT - activ",#N/A,FALSE,"GVT";"GVT - passiv",#N/A,FALSE,"GVT";"GVT - P&amp;L",#N/A,FALSE,"GVT";"GVT - P.N.",#N/A,FALSE,"GVT";"GVT - feed",#N/A,FALSE,"GVT"}</definedName>
    <definedName name="wrn.HAMMOND.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localSheetId="3" hidden="1">{#N/A,#N/A,FALSE,"Income Statement";#N/A,#N/A,FALSE,"Annual Income Statement";#N/A,#N/A,FALSE,"Balance Sheet";#N/A,#N/A,FALSE,"Cash Flow"}</definedName>
    <definedName name="wrn.handout." hidden="1">{#N/A,#N/A,FALSE,"Income Statement";#N/A,#N/A,FALSE,"Annual Income Statement";#N/A,#N/A,FALSE,"Balance Sheet";#N/A,#N/A,FALSE,"Cash Flow"}</definedName>
    <definedName name="wrn.HEAT." localSheetId="4" hidden="1">{#N/A,#N/A,FALSE,"Heat";#N/A,#N/A,FALSE,"DCF";#N/A,#N/A,FALSE,"LBO";#N/A,#N/A,FALSE,"A";#N/A,#N/A,FALSE,"C";#N/A,#N/A,FALSE,"impd";#N/A,#N/A,FALSE,"Accr-Dilu"}</definedName>
    <definedName name="wrn.HEAT." localSheetId="3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EAT._1" localSheetId="3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localSheetId="3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localSheetId="3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localSheetId="3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localSheetId="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localSheetId="3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localSheetId="3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localSheetId="3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localSheetId="3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localSheetId="3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localSheetId="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localSheetId="3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localSheetId="3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localSheetId="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localSheetId="3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localSheetId="3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localSheetId="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localSheetId="3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localSheetId="3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localSheetId="3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localSheetId="3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localSheetId="3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localSheetId="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localSheetId="3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localSheetId="3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localSheetId="3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localSheetId="3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localSheetId="3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localSheetId="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localSheetId="3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localSheetId="3" hidden="1">{"HELIUM PRICING",#N/A,FALSE,"HELIUM"}</definedName>
    <definedName name="wrn.HELIUM._.PRICING." hidden="1">{"HELIUM PRICING",#N/A,FALSE,"HELIUM"}</definedName>
    <definedName name="wrn.HELIUM._.REVENUE." localSheetId="3" hidden="1">{"HELIUM REVENUE",#N/A,FALSE,"HELIUM"}</definedName>
    <definedName name="wrn.HELIUM._.REVENUE." hidden="1">{"HELIUM REVENUE",#N/A,FALSE,"HELIUM"}</definedName>
    <definedName name="wrn.HELIUM._.VOLUME." localSheetId="3" hidden="1">{"HELIUM VOLUME",#N/A,FALSE,"HELIUM"}</definedName>
    <definedName name="wrn.HELIUM._.VOLUME." hidden="1">{"HELIUM VOLUME",#N/A,FALSE,"HELIUM"}</definedName>
    <definedName name="wrn.HEW.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localSheetId="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localSheetId="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localSheetId="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localSheetId="4" hidden="1">{"historical acquirer",#N/A,FALSE,"Historical Performance";"historical target",#N/A,FALSE,"Historical Performance"}</definedName>
    <definedName name="wrn.historical._.performance." localSheetId="3" hidden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istorical._.rev._.backup." localSheetId="3" hidden="1">{"rev_history_revenueDetail",#N/A,FALSE,"historical rev us";"rev_history_minutesDetail",#N/A,FALSE,"historical rev us"}</definedName>
    <definedName name="wrn.historical._.rev._.backup." hidden="1">{"rev_history_revenueDetail",#N/A,FALSE,"historical rev us";"rev_history_minutesDetail",#N/A,FALSE,"historical rev us"}</definedName>
    <definedName name="wrn.HNZ." localSheetId="3" hidden="1">{#N/A,#N/A,FALSE,"HNZ"}</definedName>
    <definedName name="wrn.HNZ." hidden="1">{#N/A,#N/A,FALSE,"HNZ"}</definedName>
    <definedName name="wrn.HRMONTH." localSheetId="4" hidden="1">{"SCH81",#N/A,FALSE,"SCH81";"SCH82",#N/A,FALSE,"SCH82"}</definedName>
    <definedName name="wrn.HRMONTH." localSheetId="3" hidden="1">{"SCH81",#N/A,FALSE,"SCH81";"SCH82",#N/A,FALSE,"SCH82"}</definedName>
    <definedName name="wrn.HRMONTH." hidden="1">{"SCH81",#N/A,FALSE,"SCH81";"SCH82",#N/A,FALSE,"SCH82"}</definedName>
    <definedName name="wrn.HRT." localSheetId="3" hidden="1">{"HRT",#N/A,FALSE,"HRT"}</definedName>
    <definedName name="wrn.HRT." hidden="1">{"HRT",#N/A,FALSE,"HRT"}</definedName>
    <definedName name="wrn.HW." localSheetId="3" hidden="1">{"HW",#N/A,FALSE,"1998"}</definedName>
    <definedName name="wrn.HW." hidden="1">{"HW",#N/A,FALSE,"1998"}</definedName>
    <definedName name="wrn.Hydraulic." localSheetId="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localSheetId="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localSheetId="3" hidden="1">{"ICD Details",#N/A,FALSE,"Current Yr";"ICD Details",#N/A,FALSE,"Budget";"ICD Details",#N/A,FALSE,"Prior Year"}</definedName>
    <definedName name="wrn.ICD." hidden="1">{"ICD Details",#N/A,FALSE,"Current Yr";"ICD Details",#N/A,FALSE,"Budget";"ICD Details",#N/A,FALSE,"Prior Year"}</definedName>
    <definedName name="wrn.ICD._.Balance._.Sheet." localSheetId="3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localSheetId="3" hidden="1">{#N/A,#N/A,TRUE,"Portada";#N/A,#N/A,TRUE,"Indice"}</definedName>
    <definedName name="wrn.IEID." hidden="1">{#N/A,#N/A,TRUE,"Portada";#N/A,#N/A,TRUE,"Indice"}</definedName>
    <definedName name="wrn.II._.PortRev33102." localSheetId="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localSheetId="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localSheetId="4" hidden="1">{"inc",#N/A,FALSE,"finstat"}</definedName>
    <definedName name="wrn.inc." localSheetId="3" hidden="1">{"inc",#N/A,FALSE,"finstat"}</definedName>
    <definedName name="wrn.inc." hidden="1">{"inc",#N/A,FALSE,"finstat"}</definedName>
    <definedName name="wrn.Income." localSheetId="4" hidden="1">{"Income",#N/A,FALSE,"Recap IS"}</definedName>
    <definedName name="wrn.Income." localSheetId="3" hidden="1">{"Income",#N/A,FALSE,"Recap IS"}</definedName>
    <definedName name="wrn.Income." hidden="1">{"Income",#N/A,FALSE,"Recap IS"}</definedName>
    <definedName name="wrn.Income._.and._.Cogs." localSheetId="4" hidden="1">{"Income sources",#N/A,FALSE,"budget Format - Peachtree"}</definedName>
    <definedName name="wrn.Income._.and._.Cogs." localSheetId="3" hidden="1">{"Income sources",#N/A,FALSE,"budget Format - Peachtree"}</definedName>
    <definedName name="wrn.Income._.and._.Cogs." hidden="1">{"Income sources",#N/A,FALSE,"budget Format - Peachtree"}</definedName>
    <definedName name="wrn.Income._.Statement." localSheetId="3" hidden="1">{#N/A,#N/A,FALSE,"Report Print"}</definedName>
    <definedName name="wrn.Income._.Statement." hidden="1">{#N/A,#N/A,FALSE,"Report Print"}</definedName>
    <definedName name="wrn.Income._.Statement_Operating." localSheetId="3" hidden="1">{"Print",#N/A,FALSE,"Income Statement - Operating";"Print",#N/A,FALSE,"Income Statement - %Revenue";"Print",#N/A,FALSE,"Year-over-Year Growth";"Print",#N/A,FALSE,"Sequential Growth"}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localSheetId="4" hidden="1">{"Income",#N/A,FALSE,"Recap IS"}</definedName>
    <definedName name="wrn.Income._1" localSheetId="3" hidden="1">{"Income",#N/A,FALSE,"Recap IS"}</definedName>
    <definedName name="wrn.Income._1" hidden="1">{"Income",#N/A,FALSE,"Recap IS"}</definedName>
    <definedName name="wrn.INCOME1." localSheetId="3" hidden="1">{#N/A,#N/A,FALSE,"FINAL"}</definedName>
    <definedName name="wrn.INCOME1." hidden="1">{#N/A,#N/A,FALSE,"FINAL"}</definedName>
    <definedName name="wrn.income2" localSheetId="3" hidden="1">{#N/A,#N/A,FALSE,"FINAL"}</definedName>
    <definedName name="wrn.income2" hidden="1">{#N/A,#N/A,FALSE,"FINAL"}</definedName>
    <definedName name="wrn.INCOME2." localSheetId="3" hidden="1">{#N/A,#N/A,FALSE,"FINAL"}</definedName>
    <definedName name="wrn.INCOME2." hidden="1">{#N/A,#N/A,FALSE,"FINAL"}</definedName>
    <definedName name="WRN.INCOME3." localSheetId="3" hidden="1">{#N/A,#N/A,FALSE,"FINAL"}</definedName>
    <definedName name="WRN.INCOME3." hidden="1">{#N/A,#N/A,FALSE,"FINAL"}</definedName>
    <definedName name="WRN.INCOME4" localSheetId="3" hidden="1">{#N/A,#N/A,FALSE,"FINAL"}</definedName>
    <definedName name="WRN.INCOME4" hidden="1">{#N/A,#N/A,FALSE,"FINAL"}</definedName>
    <definedName name="wrn.incomestmt." localSheetId="3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localSheetId="3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EPS._1" localSheetId="3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localSheetId="3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localSheetId="3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localSheetId="3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localSheetId="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localSheetId="3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localSheetId="3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localSheetId="3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localSheetId="3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localSheetId="3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localSheetId="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localSheetId="3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localSheetId="3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localSheetId="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localSheetId="3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localSheetId="3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localSheetId="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localSheetId="3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localSheetId="3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localSheetId="3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localSheetId="3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localSheetId="3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localSheetId="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localSheetId="3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localSheetId="3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localSheetId="3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localSheetId="3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localSheetId="3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localSheetId="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localSheetId="3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localSheetId="3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localSheetId="3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localSheetId="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localSheetId="3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localSheetId="3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3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localSheetId="3" hidden="1">{"données",#N/A,FALSE,"Input"}</definedName>
    <definedName name="wrn.Input." hidden="1">{"données",#N/A,FALSE,"Input"}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localSheetId="3" hidden="1">{#N/A,#N/A,FALSE,"inputs";#N/A,#N/A,FALSE,"inputs"}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localSheetId="4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" localSheetId="3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localSheetId="4" hidden="1">{"internal is",#N/A,FALSE,"Model"}</definedName>
    <definedName name="wrn.Internal._.is." localSheetId="3" hidden="1">{"internal is",#N/A,FALSE,"Model"}</definedName>
    <definedName name="wrn.Internal._.is." hidden="1">{"internal is",#N/A,FALSE,"Model"}</definedName>
    <definedName name="wrn.Internal._.is._1" localSheetId="3" hidden="1">{"internal is",#N/A,FALSE,"Model"}</definedName>
    <definedName name="wrn.Internal._.is._1" hidden="1">{"internal is",#N/A,FALSE,"Model"}</definedName>
    <definedName name="wrn.Internal._.is._1_1" localSheetId="3" hidden="1">{"internal is",#N/A,FALSE,"Model"}</definedName>
    <definedName name="wrn.Internal._.is._1_1" hidden="1">{"internal is",#N/A,FALSE,"Model"}</definedName>
    <definedName name="wrn.Internal._.is._1_2" localSheetId="3" hidden="1">{"internal is",#N/A,FALSE,"Model"}</definedName>
    <definedName name="wrn.Internal._.is._1_2" hidden="1">{"internal is",#N/A,FALSE,"Model"}</definedName>
    <definedName name="wrn.Internal._.is._1_3" localSheetId="3" hidden="1">{"internal is",#N/A,FALSE,"Model"}</definedName>
    <definedName name="wrn.Internal._.is._1_3" hidden="1">{"internal is",#N/A,FALSE,"Model"}</definedName>
    <definedName name="wrn.Internal._.is._1_4" localSheetId="3" hidden="1">{"internal is",#N/A,FALSE,"Model"}</definedName>
    <definedName name="wrn.Internal._.is._1_4" hidden="1">{"internal is",#N/A,FALSE,"Model"}</definedName>
    <definedName name="wrn.Internal._.is._1_5" localSheetId="3" hidden="1">{"internal is",#N/A,FALSE,"Model"}</definedName>
    <definedName name="wrn.Internal._.is._1_5" hidden="1">{"internal is",#N/A,FALSE,"Model"}</definedName>
    <definedName name="wrn.Internal._.is._2" localSheetId="3" hidden="1">{"internal is",#N/A,FALSE,"Model"}</definedName>
    <definedName name="wrn.Internal._.is._2" hidden="1">{"internal is",#N/A,FALSE,"Model"}</definedName>
    <definedName name="wrn.Internal._.is._2_1" localSheetId="3" hidden="1">{"internal is",#N/A,FALSE,"Model"}</definedName>
    <definedName name="wrn.Internal._.is._2_1" hidden="1">{"internal is",#N/A,FALSE,"Model"}</definedName>
    <definedName name="wrn.Internal._.is._2_2" localSheetId="3" hidden="1">{"internal is",#N/A,FALSE,"Model"}</definedName>
    <definedName name="wrn.Internal._.is._2_2" hidden="1">{"internal is",#N/A,FALSE,"Model"}</definedName>
    <definedName name="wrn.Internal._.is._2_3" localSheetId="3" hidden="1">{"internal is",#N/A,FALSE,"Model"}</definedName>
    <definedName name="wrn.Internal._.is._2_3" hidden="1">{"internal is",#N/A,FALSE,"Model"}</definedName>
    <definedName name="wrn.Internal._.is._2_4" localSheetId="3" hidden="1">{"internal is",#N/A,FALSE,"Model"}</definedName>
    <definedName name="wrn.Internal._.is._2_4" hidden="1">{"internal is",#N/A,FALSE,"Model"}</definedName>
    <definedName name="wrn.Internal._.is._2_5" localSheetId="3" hidden="1">{"internal is",#N/A,FALSE,"Model"}</definedName>
    <definedName name="wrn.Internal._.is._2_5" hidden="1">{"internal is",#N/A,FALSE,"Model"}</definedName>
    <definedName name="wrn.Internal._.is._3" localSheetId="3" hidden="1">{"internal is",#N/A,FALSE,"Model"}</definedName>
    <definedName name="wrn.Internal._.is._3" hidden="1">{"internal is",#N/A,FALSE,"Model"}</definedName>
    <definedName name="wrn.Internal._.is._3_1" localSheetId="3" hidden="1">{"internal is",#N/A,FALSE,"Model"}</definedName>
    <definedName name="wrn.Internal._.is._3_1" hidden="1">{"internal is",#N/A,FALSE,"Model"}</definedName>
    <definedName name="wrn.Internal._.is._3_2" localSheetId="3" hidden="1">{"internal is",#N/A,FALSE,"Model"}</definedName>
    <definedName name="wrn.Internal._.is._3_2" hidden="1">{"internal is",#N/A,FALSE,"Model"}</definedName>
    <definedName name="wrn.Internal._.is._3_3" localSheetId="3" hidden="1">{"internal is",#N/A,FALSE,"Model"}</definedName>
    <definedName name="wrn.Internal._.is._3_3" hidden="1">{"internal is",#N/A,FALSE,"Model"}</definedName>
    <definedName name="wrn.Internal._.is._3_4" localSheetId="3" hidden="1">{"internal is",#N/A,FALSE,"Model"}</definedName>
    <definedName name="wrn.Internal._.is._3_4" hidden="1">{"internal is",#N/A,FALSE,"Model"}</definedName>
    <definedName name="wrn.Internal._.is._3_5" localSheetId="3" hidden="1">{"internal is",#N/A,FALSE,"Model"}</definedName>
    <definedName name="wrn.Internal._.is._3_5" hidden="1">{"internal is",#N/A,FALSE,"Model"}</definedName>
    <definedName name="wrn.Internal._.is._4" localSheetId="3" hidden="1">{"internal is",#N/A,FALSE,"Model"}</definedName>
    <definedName name="wrn.Internal._.is._4" hidden="1">{"internal is",#N/A,FALSE,"Model"}</definedName>
    <definedName name="wrn.Internal._.is._4_1" localSheetId="3" hidden="1">{"internal is",#N/A,FALSE,"Model"}</definedName>
    <definedName name="wrn.Internal._.is._4_1" hidden="1">{"internal is",#N/A,FALSE,"Model"}</definedName>
    <definedName name="wrn.Internal._.is._4_2" localSheetId="3" hidden="1">{"internal is",#N/A,FALSE,"Model"}</definedName>
    <definedName name="wrn.Internal._.is._4_2" hidden="1">{"internal is",#N/A,FALSE,"Model"}</definedName>
    <definedName name="wrn.Internal._.is._4_3" localSheetId="3" hidden="1">{"internal is",#N/A,FALSE,"Model"}</definedName>
    <definedName name="wrn.Internal._.is._4_3" hidden="1">{"internal is",#N/A,FALSE,"Model"}</definedName>
    <definedName name="wrn.Internal._.is._4_4" localSheetId="3" hidden="1">{"internal is",#N/A,FALSE,"Model"}</definedName>
    <definedName name="wrn.Internal._.is._4_4" hidden="1">{"internal is",#N/A,FALSE,"Model"}</definedName>
    <definedName name="wrn.Internal._.is._4_5" localSheetId="3" hidden="1">{"internal is",#N/A,FALSE,"Model"}</definedName>
    <definedName name="wrn.Internal._.is._4_5" hidden="1">{"internal is",#N/A,FALSE,"Model"}</definedName>
    <definedName name="wrn.Internal._.is._5" localSheetId="3" hidden="1">{"internal is",#N/A,FALSE,"Model"}</definedName>
    <definedName name="wrn.Internal._.is._5" hidden="1">{"internal is",#N/A,FALSE,"Model"}</definedName>
    <definedName name="wrn.Internal._.is._5_1" localSheetId="3" hidden="1">{"internal is",#N/A,FALSE,"Model"}</definedName>
    <definedName name="wrn.Internal._.is._5_1" hidden="1">{"internal is",#N/A,FALSE,"Model"}</definedName>
    <definedName name="wrn.Internal._.is._5_2" localSheetId="3" hidden="1">{"internal is",#N/A,FALSE,"Model"}</definedName>
    <definedName name="wrn.Internal._.is._5_2" hidden="1">{"internal is",#N/A,FALSE,"Model"}</definedName>
    <definedName name="wrn.Internal._.is._5_3" localSheetId="3" hidden="1">{"internal is",#N/A,FALSE,"Model"}</definedName>
    <definedName name="wrn.Internal._.is._5_3" hidden="1">{"internal is",#N/A,FALSE,"Model"}</definedName>
    <definedName name="wrn.Internal._.is._5_4" localSheetId="3" hidden="1">{"internal is",#N/A,FALSE,"Model"}</definedName>
    <definedName name="wrn.Internal._.is._5_4" hidden="1">{"internal is",#N/A,FALSE,"Model"}</definedName>
    <definedName name="wrn.Internal._.is._5_5" localSheetId="3" hidden="1">{"internal is",#N/A,FALSE,"Model"}</definedName>
    <definedName name="wrn.Internal._.is._5_5" hidden="1">{"internal is",#N/A,FALSE,"Model"}</definedName>
    <definedName name="wrn.Internal._.Report._.for._.Martha." localSheetId="4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localSheetId="3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localSheetId="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localSheetId="3" hidden="1">{"International Total",#N/A,FALSE,"Sheet1";"Mexico (5)",#N/A,FALSE,"Sheet1";"Mexico (37)",#N/A,FALSE,"Sheet1";"Puerto Rico (10)",#N/A,FALSE,"Sheet1"}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localSheetId="3" hidden="1">{"Reported Interpolated Dev Factors",#N/A,FALSE,"Interpolation";"Paid Interpolated Dev Factors",#N/A,FALSE,"Interpolation";"Reported Claim Interpolated Dev Factors",#N/A,FALSE,"Interpolation"}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localSheetId="3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localSheetId="3" hidden="1">{#N/A,#N/A,FALSE,"Sitio A";#N/A,#N/A,FALSE,"Rack Acceso  102.05";#N/A,#N/A,FALSE,"Rack DSX 102.06";#N/A,#N/A,FALSE,"DSX";#N/A,#N/A,FALSE,"Fuse Panel 102.05";#N/A,#N/A,FALSE,"Fuse Panel 102.06"}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localSheetId="3" hidden="1">{#N/A,#N/A,FALSE,"Presentation by Unit";#N/A,#N/A,FALSE,"Presentation by BD";#N/A,#N/A,FALSE,"Presentation Split by Biggest U";#N/A,#N/A,FALSE,"Presentation Split by Area";#N/A,#N/A,FALSE,"Presentation Split by BD"}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localSheetId="3" hidden="1">{"Term Sheet",#N/A,FALSE,"Term Sheet";"Value Summary",#N/A,FALSE,"Value Sum";"Debt Coverage",#N/A,FALSE,"Debt Coverage"}</definedName>
    <definedName name="wrn.Investor._.Terms." hidden="1">{"Term Sheet",#N/A,FALSE,"Term Sheet";"Value Summary",#N/A,FALSE,"Value Sum";"Debt Coverage",#N/A,FALSE,"Debt Coverage"}</definedName>
    <definedName name="wrn.Investor._.Terms._1" localSheetId="3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localSheetId="3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localSheetId="3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localSheetId="3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localSheetId="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localSheetId="3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localSheetId="3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localSheetId="3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localSheetId="3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localSheetId="3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localSheetId="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localSheetId="3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localSheetId="3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localSheetId="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localSheetId="3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localSheetId="3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localSheetId="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localSheetId="3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localSheetId="3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localSheetId="3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localSheetId="3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localSheetId="3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localSheetId="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localSheetId="3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localSheetId="3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localSheetId="3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localSheetId="3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localSheetId="3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localSheetId="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localSheetId="3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localSheetId="3" hidden="1">{#N/A,#N/A,TRUE,"FEA_SUMMARY (2)";"Investors_Financials",#N/A,TRUE,"FEA_Financials";"Investors_Personnel",#N/A,TRUE,"Personnel_Assumptions"}</definedName>
    <definedName name="wrn.Investors." hidden="1">{#N/A,#N/A,TRUE,"FEA_SUMMARY (2)";"Investors_Financials",#N/A,TRUE,"FEA_Financials";"Investors_Personnel",#N/A,TRUE,"Personnel_Assumptions"}</definedName>
    <definedName name="wrn.IPC._.Fits." localSheetId="3" hidden="1">{"Reported Loss Inverse Power Curve",#N/A,FALSE,"IPC";"Paid Inverse Power Curve",#N/A,FALSE,"IPC";"Reported Claim Inverse Power Curve",#N/A,FALSE,"IPC"}</definedName>
    <definedName name="wrn.IPC._.Fits." hidden="1">{"Reported Loss Inverse Power Curve",#N/A,FALSE,"IPC";"Paid Inverse Power Curve",#N/A,FALSE,"IPC";"Reported Claim Inverse Power Curve",#N/A,FALSE,"IPC"}</definedName>
    <definedName name="wrn.IPC._.Fits._1" localSheetId="3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localSheetId="3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localSheetId="3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localSheetId="3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localSheetId="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localSheetId="3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localSheetId="3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localSheetId="3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localSheetId="3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localSheetId="3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localSheetId="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localSheetId="3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localSheetId="3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localSheetId="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localSheetId="3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localSheetId="3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localSheetId="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localSheetId="3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localSheetId="3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localSheetId="3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localSheetId="3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localSheetId="3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localSheetId="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localSheetId="3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localSheetId="3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localSheetId="3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localSheetId="3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localSheetId="3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localSheetId="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localSheetId="3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localSheetId="3" hidden="1">{#N/A,#N/A,FALSE,"Report Print"}</definedName>
    <definedName name="wrn.IPIX." hidden="1">{#N/A,#N/A,FALSE,"Report Print"}</definedName>
    <definedName name="wrn.IPO." localSheetId="3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localSheetId="3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localSheetId="3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localSheetId="4" hidden="1">{#N/A,#N/A,FALSE,"puboff";#N/A,#N/A,FALSE,"valuation";#N/A,#N/A,FALSE,"finanalsis";#N/A,#N/A,FALSE,"split";#N/A,#N/A,FALSE,"ownership"}</definedName>
    <definedName name="wrn.ipovalue." localSheetId="3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povalue._1" localSheetId="3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localSheetId="3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localSheetId="3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localSheetId="3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localSheetId="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localSheetId="3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localSheetId="3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localSheetId="3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localSheetId="3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localSheetId="3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localSheetId="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localSheetId="3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localSheetId="3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localSheetId="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localSheetId="3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localSheetId="3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localSheetId="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localSheetId="3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localSheetId="3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localSheetId="3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localSheetId="3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localSheetId="3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localSheetId="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localSheetId="3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localSheetId="3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localSheetId="3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localSheetId="3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localSheetId="3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localSheetId="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localSheetId="3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localSheetId="3" hidden="1">{"is detail ww",#N/A,FALSE,"IS DETAIL";"is detail other",#N/A,FALSE,"IS DETAIL";"is detail ex",#N/A,FALSE,"IS DETAIL";"is detail us",#N/A,FALSE,"IS DETAIL"}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localSheetId="3" hidden="1">{"is detail ex",#N/A,FALSE,"IS DETAIL"}</definedName>
    <definedName name="wrn.IS._.DETAIL._.EX._.US." hidden="1">{"is detail ex",#N/A,FALSE,"IS DETAIL"}</definedName>
    <definedName name="wrn.IS._.DETAIL._.OTHER." localSheetId="3" hidden="1">{"is detail other",#N/A,FALSE,"IS DETAIL"}</definedName>
    <definedName name="wrn.IS._.DETAIL._.OTHER." hidden="1">{"is detail other",#N/A,FALSE,"IS DETAIL"}</definedName>
    <definedName name="wrn.IS._.DETAIL._.US." localSheetId="3" hidden="1">{"is detail us",#N/A,FALSE,"IS DETAIL"}</definedName>
    <definedName name="wrn.IS._.DETAIL._.US." hidden="1">{"is detail us",#N/A,FALSE,"IS DETAIL"}</definedName>
    <definedName name="wrn.IS._.DETAIL._.WW." localSheetId="3" hidden="1">{"is detail ww",#N/A,FALSE,"IS DETAIL"}</definedName>
    <definedName name="wrn.IS._.DETAIL._.WW." hidden="1">{"is detail ww",#N/A,FALSE,"IS DETAIL"}</definedName>
    <definedName name="wrn.IS._.SUMMARY._.ALL." localSheetId="3" hidden="1">{"is sum ww",#N/A,FALSE,"IS SUM";"is sum other",#N/A,FALSE,"IS SUM";"is sum ex",#N/A,FALSE,"IS SUM";"is sum us",#N/A,FALSE,"IS SUM"}</definedName>
    <definedName name="wrn.IS._.SUMMARY._.ALL." hidden="1">{"is sum ww",#N/A,FALSE,"IS SUM";"is sum other",#N/A,FALSE,"IS SUM";"is sum ex",#N/A,FALSE,"IS SUM";"is sum us",#N/A,FALSE,"IS SUM"}</definedName>
    <definedName name="wrn.IS._.SUMMARY._.EX._.US." localSheetId="3" hidden="1">{"is sum ex",#N/A,FALSE,"IS SUM"}</definedName>
    <definedName name="wrn.IS._.SUMMARY._.EX._.US." hidden="1">{"is sum ex",#N/A,FALSE,"IS SUM"}</definedName>
    <definedName name="wrn.IS._.SUMMARY._.OTHER." localSheetId="3" hidden="1">{"is sum other",#N/A,FALSE,"IS SUM"}</definedName>
    <definedName name="wrn.IS._.SUMMARY._.OTHER." hidden="1">{"is sum other",#N/A,FALSE,"IS SUM"}</definedName>
    <definedName name="wrn.IS._.SUMMARY._.US." localSheetId="3" hidden="1">{"is sum us",#N/A,FALSE,"IS SUM"}</definedName>
    <definedName name="wrn.IS._.SUMMARY._.US." hidden="1">{"is sum us",#N/A,FALSE,"IS SUM"}</definedName>
    <definedName name="wrn.IS._.SUMMARY._.WW." localSheetId="3" hidden="1">{"is sum ww",#N/A,FALSE,"IS SUM"}</definedName>
    <definedName name="wrn.IS._.SUMMARY._.WW." hidden="1">{"is sum ww",#N/A,FALSE,"IS SUM"}</definedName>
    <definedName name="wrn.ISAnnualModel." localSheetId="3" hidden="1">{"AnnModel",#N/A,FALSE,"IS"}</definedName>
    <definedName name="wrn.ISAnnualModel." hidden="1">{"AnnModel",#N/A,FALSE,"IS"}</definedName>
    <definedName name="wrn.ISBL." localSheetId="3" hidden="1">{#N/A,#N/A,FALSE,"ISBL"}</definedName>
    <definedName name="wrn.ISBL." hidden="1">{#N/A,#N/A,FALSE,"ISBL"}</definedName>
    <definedName name="wrn.ISCG._.model." localSheetId="4" hidden="1">{#N/A,#N/A,FALSE,"Second";#N/A,#N/A,FALSE,"ownership";#N/A,#N/A,FALSE,"Valuation";#N/A,#N/A,FALSE,"Eqiv";#N/A,#N/A,FALSE,"Mults";#N/A,#N/A,FALSE,"ISCG Graphics"}</definedName>
    <definedName name="wrn.ISCG._.model." localSheetId="3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localSheetId="3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localSheetId="3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localSheetId="3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localSheetId="3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localSheetId="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localSheetId="3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localSheetId="3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localSheetId="3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localSheetId="3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localSheetId="3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localSheetId="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localSheetId="3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localSheetId="3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localSheetId="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localSheetId="3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localSheetId="3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localSheetId="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localSheetId="3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localSheetId="3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localSheetId="3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localSheetId="3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localSheetId="3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localSheetId="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localSheetId="3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localSheetId="3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localSheetId="3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localSheetId="3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localSheetId="3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localSheetId="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localSheetId="3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localSheetId="3" hidden="1">{"QtrModel",#N/A,FALSE,"IS"}</definedName>
    <definedName name="wrn.ISQtrModel." hidden="1">{"QtrModel",#N/A,FALSE,"IS"}</definedName>
    <definedName name="wrn.ISRAEL." localSheetId="3" hidden="1">{#N/A,#N/A,FALSE,"TECH CENTRE RXDU66";#N/A,#N/A,FALSE,"ASU VAAX66";#N/A,#N/A,FALSE,"TCM VAKX66"}</definedName>
    <definedName name="wrn.ISRAEL." hidden="1">{#N/A,#N/A,FALSE,"TECH CENTRE RXDU66";#N/A,#N/A,FALSE,"ASU VAAX66";#N/A,#N/A,FALSE,"TCM VAKX66"}</definedName>
    <definedName name="wrn.Italy." localSheetId="3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localSheetId="3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localSheetId="3" hidden="1">{"INTRON98",#N/A,FALSE,"REVCDLR";"SKB98",#N/A,FALSE,"REVCDLR";"merck98",#N/A,FALSE,"REVCDLR"}</definedName>
    <definedName name="wrn.JAN98." hidden="1">{"INTRON98",#N/A,FALSE,"REVCDLR";"SKB98",#N/A,FALSE,"REVCDLR";"merck98",#N/A,FALSE,"REVCDLR"}</definedName>
    <definedName name="wrn.JANI._.REBATES." localSheetId="3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ANUARY." localSheetId="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localSheetId="3" hidden="1">{"test1",#N/A,FALSE,"Report Master";"test2",#N/A,FALSE,"Divisons"}</definedName>
    <definedName name="wrn.Jeff." hidden="1">{"test1",#N/A,FALSE,"Report Master";"test2",#N/A,FALSE,"Divisons"}</definedName>
    <definedName name="wrn.Jeff._.Standalone." localSheetId="4" hidden="1">{#N/A,#N/A,TRUE,"Acquirer_Cases_Input";#N/A,#N/A,TRUE,"Acquirer_Input";#N/A,#N/A,TRUE,"Acquirer"}</definedName>
    <definedName name="wrn.Jeff._.Standalone." localSheetId="3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G._.FE._.Dollar." localSheetId="3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3" hidden="1">{"JG FE Top",#N/A,FALSE,"JG FE ¥";"JG FE Bottom",#N/A,FALSE,"JG FE ¥"}</definedName>
    <definedName name="wrn.JG._.FE._.Yen." hidden="1">{"JG FE Top",#N/A,FALSE,"JG FE ¥";"JG FE Bottom",#N/A,FALSE,"JG FE ¥"}</definedName>
    <definedName name="wrn.jjj1" localSheetId="3" hidden="1">{#N/A,#N/A,FALSE,"Detailed";#N/A,#N/A,FALSE,"Total";#N/A,#N/A,FALSE,"Detailed (2)"}</definedName>
    <definedName name="wrn.jjj1" hidden="1">{#N/A,#N/A,FALSE,"Detailed";#N/A,#N/A,FALSE,"Total";#N/A,#N/A,FALSE,"Detailed (2)"}</definedName>
    <definedName name="wrn.jjj1_1" localSheetId="3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localSheetId="3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localSheetId="3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localSheetId="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localSheetId="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localSheetId="3" hidden="1">{#N/A,#N/A,FALSE,"Hi";#N/A,#N/A,FALSE,"Lo";#N/A,#N/A,FALSE,"Mkt. Cap";#N/A,#N/A,FALSE,"Alpha"}</definedName>
    <definedName name="wrn.Just._.Sorts." hidden="1">{#N/A,#N/A,FALSE,"Hi";#N/A,#N/A,FALSE,"Lo";#N/A,#N/A,FALSE,"Mkt. Cap";#N/A,#N/A,FALSE,"Alpha"}</definedName>
    <definedName name="wrn.k" localSheetId="3" hidden="1">{#N/A,#N/A,FALSE,"AD_Purchase";#N/A,#N/A,FALSE,"Credit";#N/A,#N/A,FALSE,"PF Acquisition";#N/A,#N/A,FALSE,"PF Offering"}</definedName>
    <definedName name="wrn.k" hidden="1">{#N/A,#N/A,FALSE,"AD_Purchase";#N/A,#N/A,FALSE,"Credit";#N/A,#N/A,FALSE,"PF Acquisition";#N/A,#N/A,FALSE,"PF Offering"}</definedName>
    <definedName name="wrn.K." localSheetId="3" hidden="1">{#N/A,#N/A,FALSE,"K"}</definedName>
    <definedName name="wrn.K." hidden="1">{#N/A,#N/A,FALSE,"K"}</definedName>
    <definedName name="wrn.K3._.Annual." localSheetId="3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localSheetId="3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ATE." localSheetId="4" hidden="1">{"BALANCE SHEET",#N/A,FALSE,"FINANCIALS";"INCOME",#N/A,FALSE,"FINANCIALS";"RETAINED EARNINGS",#N/A,FALSE,"FINANCIALS";"SOCFP",#N/A,FALSE,"FINANCIALS";"TRIAL BALANCE",#N/A,FALSE,"FINANCIALS"}</definedName>
    <definedName name="wrn.KATE." localSheetId="3" hidden="1">{"BALANCE SHEET",#N/A,FALSE,"FINANCIALS";"INCOME",#N/A,FALSE,"FINANCIALS";"RETAINED EARNINGS",#N/A,FALSE,"FINANCIALS";"SOCFP",#N/A,FALSE,"FINANCIALS";"TRIAL BALANCE",#N/A,FALSE,"FINANCIALS"}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localSheetId="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localSheetId="3" hidden="1">{#N/A,#N/A,FALSE,"Model";#N/A,#N/A,FALSE,"CapitalCosts"}</definedName>
    <definedName name="wrn.Key._.Pages." hidden="1">{#N/A,#N/A,FALSE,"Model";#N/A,#N/A,FALSE,"CapitalCosts"}</definedName>
    <definedName name="wrn.KEYFIN." localSheetId="4" hidden="1">{"SCH49",#N/A,FALSE,"eva"}</definedName>
    <definedName name="wrn.KEYFIN." localSheetId="3" hidden="1">{"SCH49",#N/A,FALSE,"eva"}</definedName>
    <definedName name="wrn.KEYFIN." hidden="1">{"SCH49",#N/A,FALSE,"eva"}</definedName>
    <definedName name="wrn.KKW." localSheetId="3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localSheetId="3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localSheetId="3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localSheetId="3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localSheetId="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localSheetId="3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localSheetId="3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localSheetId="3" hidden="1">{#N/A,#N/A,TRUE,"Financial";#N/A,#N/A,TRUE,"Credit";#N/A,#N/A,TRUE,"Receivables Aging";#N/A,#N/A,TRUE,"Inventory Projections"}</definedName>
    <definedName name="wrn.KPIs." hidden="1">{#N/A,#N/A,TRUE,"Financial";#N/A,#N/A,TRUE,"Credit";#N/A,#N/A,TRUE,"Receivables Aging";#N/A,#N/A,TRUE,"Inventory Projections"}</definedName>
    <definedName name="wrn.kriall." localSheetId="3" hidden="1">{"kricash",#N/A,FALSE,"INC";"kriinc",#N/A,FALSE,"INC";"krimiami",#N/A,FALSE,"INC";"kriother",#N/A,FALSE,"INC";"kripapers",#N/A,FALSE,"INC"}</definedName>
    <definedName name="wrn.kriall." hidden="1">{"kricash",#N/A,FALSE,"INC";"kriinc",#N/A,FALSE,"INC";"krimiami",#N/A,FALSE,"INC";"kriother",#N/A,FALSE,"INC";"kripapers",#N/A,FALSE,"INC"}</definedName>
    <definedName name="wrn.l15." localSheetId="4" hidden="1">{"a",#N/A,FALSE,"גיליון1";"b",#N/A,FALSE,"גיליון1"}</definedName>
    <definedName name="wrn.l15." localSheetId="3" hidden="1">{"a",#N/A,FALSE,"גיליון1";"b",#N/A,FALSE,"גיליון1"}</definedName>
    <definedName name="wrn.l15." hidden="1">{"a",#N/A,FALSE,"גיליון1";"b",#N/A,FALSE,"גיליון1"}</definedName>
    <definedName name="wrn.LA._.SA." localSheetId="3" hidden="1">{"PnL",#N/A,FALSE,"Gas LA SA P&amp;L";"Responsibility",#N/A,FALSE,"Gas LA SA P&amp;L";"Cost Control",#N/A,FALSE,"Gas LA SA P&amp;L";"Program List",#N/A,FALSE,"Gas LA SA P&amp;L"}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localSheetId="3" hidden="1">{#N/A,#N/A,FALSE,"Sheet1"}</definedName>
    <definedName name="wrn.landscape._.template." hidden="1">{#N/A,#N/A,FALSE,"Sheet1"}</definedName>
    <definedName name="wrn.Large._.and._.Small._.on._.One._.Page." localSheetId="4" hidden="1">{"Large and Small on One Page",#N/A,FALSE,"Comparable companies"}</definedName>
    <definedName name="wrn.Large._.and._.Small._.on._.One._.Page." localSheetId="3" hidden="1">{"Large and Small on One Page",#N/A,FALSE,"Comparable companies"}</definedName>
    <definedName name="wrn.Large._.and._.Small._.on._.One._.Page." hidden="1">{"Large and Small on One Page",#N/A,FALSE,"Comparable companies"}</definedName>
    <definedName name="wrn.Latest._.Look." localSheetId="3" hidden="1">{"Trend February",#N/A,FALSE,"Wkly_Rpt"}</definedName>
    <definedName name="wrn.Latest._.Look." hidden="1">{"Trend February",#N/A,FALSE,"Wkly_Rpt"}</definedName>
    <definedName name="wrn.lbo." localSheetId="3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localSheetId="3" hidden="1">{"LBO Summary",#N/A,FALSE,"Summary"}</definedName>
    <definedName name="wrn.LBO._.Summary." hidden="1">{"LBO Summary",#N/A,FALSE,"Summary"}</definedName>
    <definedName name="wrn.lbo2." localSheetId="3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3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localSheetId="3" hidden="1">{"long",#N/A,FALSE,"ESC"}</definedName>
    <definedName name="wrn.legal." hidden="1">{"long",#N/A,FALSE,"ESC"}</definedName>
    <definedName name="wrn.Lender._.Summary." localSheetId="3" hidden="1">{"Summary",#N/A,FALSE,"Finmodel";"Division 1 Operations",#N/A,FALSE,"Finmodel";"Financials",#N/A,FALSE,"Finmodel";"Covenant Analysis",#N/A,FALSE,"Finmodel"}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localSheetId="3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localSheetId="3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localSheetId="3" hidden="1">{#N/A,#N/A,FALSE,"Inc";#N/A,#N/A,FALSE,"QInc";#N/A,#N/A,FALSE,"Pro";#N/A,#N/A,FALSE,"QPro"}</definedName>
    <definedName name="wrn.Ligand._.Model." hidden="1">{#N/A,#N/A,FALSE,"Inc";#N/A,#N/A,FALSE,"QInc";#N/A,#N/A,FALSE,"Pro";#N/A,#N/A,FALSE,"QPro"}</definedName>
    <definedName name="wrn.LJD._.Review._.1." localSheetId="3" hidden="1">{"LJD 1",#N/A,FALSE,"Master";"LJD 2",#N/A,FALSE,"Sheet2";"LJD 3",#N/A,FALSE,"Sheet1";"LJD 4",#N/A,FALSE,"Sheet3";"LJD 5",#N/A,FALSE,"Sheet4"}</definedName>
    <definedName name="wrn.LJD._.Review._.1." hidden="1">{"LJD 1",#N/A,FALSE,"Master";"LJD 2",#N/A,FALSE,"Sheet2";"LJD 3",#N/A,FALSE,"Sheet1";"LJD 4",#N/A,FALSE,"Sheet3";"LJD 5",#N/A,FALSE,"Sheet4"}</definedName>
    <definedName name="wrn.Long._.Report.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localSheetId="3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localSheetId="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localSheetId="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localSheetId="3" hidden="1">{"LPNL1",#N/A,FALSE,"EntitiesWithReclasses";"LPNL2",#N/A,FALSE,"EntitiesWithReclasses";"LPNL3",#N/A,FALSE,"EntitiesWithReclasses"}</definedName>
    <definedName name="wrn.LPNL." hidden="1">{"LPNL1",#N/A,FALSE,"EntitiesWithReclasses";"LPNL2",#N/A,FALSE,"EntitiesWithReclasses";"LPNL3",#N/A,FALSE,"EntitiesWithReclasses"}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localSheetId="4" hidden="1">{"cash_marc",#N/A,FALSE,"dec95cr.xls"}</definedName>
    <definedName name="wrn.m_cash." localSheetId="3" hidden="1">{"cash_marc",#N/A,FALSE,"dec95cr.xls"}</definedName>
    <definedName name="wrn.m_cash." hidden="1">{"cash_marc",#N/A,FALSE,"dec95cr.xls"}</definedName>
    <definedName name="wrn.Main._.Fields." localSheetId="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localSheetId="3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localSheetId="4" hidden="1">{"Assumptions",#N/A,TRUE,"Assumptions";"Income",#N/A,TRUE,"Income";"Balance",#N/A,TRUE,"Balance"}</definedName>
    <definedName name="wrn.Maine." localSheetId="3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._1" localSheetId="3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localSheetId="3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localSheetId="3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localSheetId="3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localSheetId="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localSheetId="3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localSheetId="3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localSheetId="3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localSheetId="3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localSheetId="3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localSheetId="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localSheetId="3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localSheetId="3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localSheetId="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localSheetId="3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localSheetId="3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localSheetId="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localSheetId="3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localSheetId="3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localSheetId="3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localSheetId="3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localSheetId="3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localSheetId="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localSheetId="3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localSheetId="3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localSheetId="3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localSheetId="3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localSheetId="3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localSheetId="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localSheetId="3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localSheetId="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localSheetId="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localSheetId="4" hidden="1">{"MGMT_Adj_Excl_Mktg_1",#N/A,TRUE,"Mgmt. Adj.";"MGMT_Adj_Excl_Mktg_2",#N/A,TRUE,"Mgmt. Adj.";"MGMT_ADJ_Incl_Mktg_1",#N/A,TRUE,"Mgmt. Adj.";"MGMT_Adj_Incl_Mktg_2",#N/A,TRUE,"Mgmt. Adj."}</definedName>
    <definedName name="wrn.Management._.Adjustment." localSheetId="3" hidden="1">{"MGMT_Adj_Excl_Mktg_1",#N/A,TRUE,"Mgmt. Adj.";"MGMT_Adj_Excl_Mktg_2",#N/A,TRUE,"Mgmt. Adj.";"MGMT_ADJ_Incl_Mktg_1",#N/A,TRUE,"Mgmt. Adj.";"MGMT_Adj_Incl_Mktg_2",#N/A,TRUE,"Mgmt. Adj."}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localSheetId="3" hidden="1">{"MANAGEMENT COSTS",#N/A,FALSE,"C.CENTRE"}</definedName>
    <definedName name="wrn.MANAGEMENT._.COSTS." hidden="1">{"MANAGEMENT COSTS",#N/A,FALSE,"C.CENTRE"}</definedName>
    <definedName name="wrn.Management._.Report." localSheetId="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3" hidden="1">{"CONS MProductH",#N/A,FALSE,"Cons Comparison";"CONS YTD MProductH",#N/A,FALSE,"Cons Comparison";"SAS MProductH",#N/A,FALSE,"Ocean Comparison";"SAS YTD MProductH",#N/A,FALSE,"Ocean Comparison";"UV MProductH",#N/A,FALSE,"UV Comparison";"UV YTD MProductH",#N/A,FALSE,"UV Comparison";"CMS MProductH",#N/A,FALSE,"CMS Comparison";"CMS YTD MProductH",#N/A,FALSE,"CMS Comparison";"POLARIS MProductH",#N/A,FALSE,"Polaris Comparison";"POLARIS YTD MProductH",#N/A,FALSE,"Polaris Comparison";"CORP MProductH",#N/A,FALSE,"Corp Comparison";"CORP YTD MProductH",#N/A,FALSE,"Corp Comparison";"ELIM MProductH",#N/A,FALSE,"Eliminating Comparison";"ELIM YTD MProductH",#N/A,FALSE,"Eliminating Comparison"}</definedName>
    <definedName name="wrn.March." hidden="1">{"CONS MProductH",#N/A,FALSE,"Cons Comparison";"CONS YTD MProductH",#N/A,FALSE,"Cons Comparison";"SAS MProductH",#N/A,FALSE,"Ocean Comparison";"SAS YTD MProductH",#N/A,FALSE,"Ocean Comparison";"UV MProductH",#N/A,FALSE,"UV Comparison";"UV YTD MProductH",#N/A,FALSE,"UV Comparison";"CMS MProductH",#N/A,FALSE,"CMS Comparison";"CMS YTD MProductH",#N/A,FALSE,"CMS Comparison";"POLARIS MProductH",#N/A,FALSE,"Polaris Comparison";"POLARIS YTD MProductH",#N/A,FALSE,"Polaris Comparison";"CORP MProductH",#N/A,FALSE,"Corp Comparison";"CORP YTD MProductH",#N/A,FALSE,"Corp Comparison";"ELIM MProductH",#N/A,FALSE,"Eliminating Comparison";"ELIM YTD MProductH",#N/A,FALSE,"Eliminating Comparison"}</definedName>
    <definedName name="wrn.Margins." localSheetId="3" hidden="1">{#N/A,#N/A,FALSE,"Margins - GrossR&amp;D";#N/A,#N/A,FALSE,"Margins - sg&amp;a";#N/A,#N/A,FALSE,"Margins - Oper-net"}</definedName>
    <definedName name="wrn.Margins." hidden="1">{#N/A,#N/A,FALSE,"Margins - GrossR&amp;D";#N/A,#N/A,FALSE,"Margins - sg&amp;a";#N/A,#N/A,FALSE,"Margins - Oper-net"}</definedName>
    <definedName name="wrn.market._.share." localSheetId="3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localSheetId="3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_.SUMMARY." localSheetId="3" hidden="1">{"Marketing Summary",#N/A,FALSE,"Marketing Spending"}</definedName>
    <definedName name="wrn.MARKETING._.SUMMARY." hidden="1">{"Marketing Summary",#N/A,FALSE,"Marketing Spending"}</definedName>
    <definedName name="wrn.Massimo.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localSheetId="3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localSheetId="3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AY." localSheetId="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localSheetId="3" hidden="1">{#N/A,#N/A,FALSE,"MCCRK"}</definedName>
    <definedName name="wrn.MCCRK." hidden="1">{#N/A,#N/A,FALSE,"MCCRK"}</definedName>
    <definedName name="wrn.MDS1." localSheetId="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localSheetId="3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localSheetId="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localSheetId="3" hidden="1">{"firs",#N/A,FALSE,"Sheet1";"second",#N/A,FALSE,"Sheet1"}</definedName>
    <definedName name="wrn.member." hidden="1">{"firs",#N/A,FALSE,"Sheet1";"second",#N/A,FALSE,"Sheet1"}</definedName>
    <definedName name="wrn.memo." localSheetId="3" hidden="1">{#N/A,#N/A,TRUE,"financial";#N/A,#N/A,TRUE,"plants"}</definedName>
    <definedName name="wrn.memo." hidden="1">{#N/A,#N/A,TRUE,"financial";#N/A,#N/A,TRUE,"plants"}</definedName>
    <definedName name="wrn.Mensual." localSheetId="3" hidden="1">{"Portada",#N/A,FALSE,"Pres";"PL",#N/A,FALSE,"P&amp;L";"SFC",#N/A,FALSE,"SFC";"CE",#N/A,FALSE,"Capital Employed";"M+1",#N/A,FALSE,"Prev. (M+1)";"TRI",#N/A,FALSE,"Prev. Trim."}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localSheetId="4" hidden="1">{#N/A,#N/A,FALSE,"IPO";#N/A,#N/A,FALSE,"DCF";#N/A,#N/A,FALSE,"LBO";#N/A,#N/A,FALSE,"MULT_VAL";#N/A,#N/A,FALSE,"Status Quo";#N/A,#N/A,FALSE,"Recap"}</definedName>
    <definedName name="wrn.merge." localSheetId="3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._1" localSheetId="3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localSheetId="3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localSheetId="3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localSheetId="3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localSheetId="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localSheetId="3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localSheetId="3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localSheetId="3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localSheetId="3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localSheetId="3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localSheetId="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localSheetId="3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localSheetId="3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localSheetId="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localSheetId="3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localSheetId="3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localSheetId="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localSheetId="3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localSheetId="3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localSheetId="3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localSheetId="3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localSheetId="3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localSheetId="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localSheetId="3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localSheetId="3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localSheetId="3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localSheetId="3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localSheetId="3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localSheetId="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localSheetId="3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localSheetId="3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localSheetId="3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localSheetId="3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localSheetId="3" hidden="1">{"Commentary",#N/A,FALSE,"May"}</definedName>
    <definedName name="wrn.MF._.commentary._.on._.variance." hidden="1">{"Commentary",#N/A,FALSE,"May"}</definedName>
    <definedName name="wrn.MF._.with._.BA._.detail." localSheetId="3" hidden="1">{"BA detail",#N/A,FALSE,"Q3YTD "}</definedName>
    <definedName name="wrn.MF._.with._.BA._.detail." hidden="1">{"BA detail",#N/A,FALSE,"Q3YTD "}</definedName>
    <definedName name="wrn.MHHD." localSheetId="3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localSheetId="3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localSheetId="3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localSheetId="3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localSheetId="3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localSheetId="3" hidden="1">{"quarter",#N/A,FALSE,"MOB"}</definedName>
    <definedName name="wrn.MOBIL." hidden="1">{"quarter",#N/A,FALSE,"MOB"}</definedName>
    <definedName name="wrn.model." localSheetId="4" hidden="1">{"page1",#N/A,FALSE,"GIRLBO";"page2",#N/A,FALSE,"GIRLBO";"page3",#N/A,FALSE,"GIRLBO";"page4",#N/A,FALSE,"GIRLBO";"page5",#N/A,FALSE,"GIRLBO"}</definedName>
    <definedName name="wrn.model." localSheetId="3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del._.Level._.3." localSheetId="3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localSheetId="3" hidden="1">{"page1",#N/A,FALSE,"GIRLBO";"page2",#N/A,FALSE,"GIRLBO";"page3",#N/A,FALSE,"GIRLBO";"page4",#N/A,FALSE,"GIRLBO";"page5",#N/A,FALSE,"GIRLBO"}</definedName>
    <definedName name="wrn.model._1" hidden="1">{"page1",#N/A,FALSE,"GIRLBO";"page2",#N/A,FALSE,"GIRLBO";"page3",#N/A,FALSE,"GIRLBO";"page4",#N/A,FALSE,"GIRLBO";"page5",#N/A,FALSE,"GIRLBO"}</definedName>
    <definedName name="wrn.model._1_1" localSheetId="3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localSheetId="3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localSheetId="3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localSheetId="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localSheetId="3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localSheetId="3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localSheetId="3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localSheetId="3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localSheetId="3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localSheetId="3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localSheetId="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localSheetId="3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localSheetId="3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localSheetId="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localSheetId="3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localSheetId="3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localSheetId="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localSheetId="3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localSheetId="3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localSheetId="3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localSheetId="3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localSheetId="3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localSheetId="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localSheetId="3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localSheetId="3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localSheetId="3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localSheetId="3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localSheetId="3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localSheetId="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localSheetId="3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localSheetId="3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localSheetId="3" hidden="1">{#N/A,#N/A,FALSE,"Summary";#N/A,#N/A,FALSE,"Projections";#N/A,#N/A,FALSE,"Mkt Mults";#N/A,#N/A,FALSE,"DCF";#N/A,#N/A,FALSE,"Accr Dil";#N/A,#N/A,FALSE,"PIC LBO";#N/A,#N/A,FALSE,"MULT10_4";#N/A,#N/A,FALSE,"CBI LBO"}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localSheetId="3" hidden="1">{"cable_one",#N/A,FALSE,"cable 96-02";"cable_two",#N/A,FALSE,"cable 96-02";"Newrev_one",#N/A,FALSE,"New rev 97 - 02";"Newrev_two",#N/A,FALSE,"New rev 97 - 02"}</definedName>
    <definedName name="wrn.Models." hidden="1">{"cable_one",#N/A,FALSE,"cable 96-02";"cable_two",#N/A,FALSE,"cable 96-02";"Newrev_one",#N/A,FALSE,"New rev 97 - 02";"Newrev_two",#N/A,FALSE,"New rev 97 - 02"}</definedName>
    <definedName name="wrn.Monotherapy." localSheetId="3" hidden="1">{"mono",#N/A,FALSE,"Mono-therapy"}</definedName>
    <definedName name="wrn.Monotherapy." hidden="1">{"mono",#N/A,FALSE,"Mono-therapy"}</definedName>
    <definedName name="wrn.Month._.Report._.Package." localSheetId="3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" localSheetId="4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localSheetId="3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localSheetId="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localSheetId="3" hidden="1">{"1999 by month",#N/A,FALSE,"Total_Company"}</definedName>
    <definedName name="wrn.Monthly._.Data." hidden="1">{"1999 by month",#N/A,FALSE,"Total_Company"}</definedName>
    <definedName name="wrn.MONTHLY._.INVENTORY._.SCHEDULE." localSheetId="4" hidden="1">{#N/A,#N/A,FALSE,"Sheet1";#N/A,#N/A,FALSE,"Sheet2";#N/A,#N/A,FALSE,"Sheet3";#N/A,#N/A,FALSE,"Sheet4";#N/A,#N/A,FALSE,"Sheet5";#N/A,#N/A,FALSE,"Sheet6"}</definedName>
    <definedName name="wrn.MONTHLY._.INVENTORY._.SCHEDULE." localSheetId="3" hidden="1">{#N/A,#N/A,FALSE,"Sheet1";#N/A,#N/A,FALSE,"Sheet2";#N/A,#N/A,FALSE,"Sheet3";#N/A,#N/A,FALSE,"Sheet4";#N/A,#N/A,FALSE,"Sheet5";#N/A,#N/A,FALSE,"Sheet6"}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localSheetId="3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localSheetId="3" hidden="1">{"table",#N/A,FALSE,"COVER";"income_statement",#N/A,FALSE,"COVER"}</definedName>
    <definedName name="wrn.monthly._.package." hidden="1">{"table",#N/A,FALSE,"COVER";"income_statement",#N/A,FALSE,"COVER"}</definedName>
    <definedName name="wrn.Monthly._.Projections." localSheetId="4" hidden="1">{"members99",#N/A,TRUE,"Sheet13";"Income99",#N/A,TRUE,"Sheet13";"Cash99",#N/A,TRUE,"Sheet13";"BS99",#N/A,TRUE,"Sheet13"}</definedName>
    <definedName name="wrn.Monthly._.Projections." localSheetId="3" hidden="1">{"members99",#N/A,TRUE,"Sheet13";"Income99",#N/A,TRUE,"Sheet13";"Cash99",#N/A,TRUE,"Sheet13";"BS99",#N/A,TRUE,"Sheet13"}</definedName>
    <definedName name="wrn.Monthly._.Projections." hidden="1">{"members99",#N/A,TRUE,"Sheet13";"Income99",#N/A,TRUE,"Sheet13";"Cash99",#N/A,TRUE,"Sheet13";"BS99",#N/A,TRUE,"Sheet13"}</definedName>
    <definedName name="wrn.Monthly._.Report." localSheetId="3" hidden="1">{#N/A,#N/A,FALSE,"Quarterly BS";#N/A,#N/A,FALSE,"Balance Sheet";#N/A,#N/A,FALSE,"Quarterly CF";#N/A,#N/A,FALSE,"Cash Flow";#N/A,#N/A,FALSE,"EARNINGS"}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localSheetId="3" hidden="1">{#N/A,#N/A,FALSE,"CUR";#N/A,#N/A,FALSE,"YTD"}</definedName>
    <definedName name="wrn.Monthly._.Reports." hidden="1">{#N/A,#N/A,FALSE,"CUR";#N/A,#N/A,FALSE,"YTD"}</definedName>
    <definedName name="wrn.Monthly._.result._.Global._.IT." localSheetId="3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localSheetId="3" hidden="1">{#N/A,#N/A,FALSE,"REV RPT";#N/A,#N/A,FALSE,"AFF COMP";#N/A,#N/A,FALSE,"REP COMM";#N/A,#N/A,FALSE,"REVBYADV";#N/A,#N/A,FALSE,"DAYPART";#N/A,#N/A,FALSE,"FLASH"}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localSheetId="3" hidden="1">{#N/A,#N/A,FALSE,"SUMMARY";#N/A,#N/A,FALSE,"MTD";#N/A,#N/A,FALSE,"YTD";#N/A,#N/A,FALSE,"Forecast"}</definedName>
    <definedName name="wrn.monthly._.review." hidden="1">{#N/A,#N/A,FALSE,"SUMMARY";#N/A,#N/A,FALSE,"MTD";#N/A,#N/A,FALSE,"YTD";#N/A,#N/A,FALSE,"Forecast"}</definedName>
    <definedName name="wrn.monthly._.to._.issue." localSheetId="3" hidden="1">{#N/A,#N/A,FALSE,"SUMMARY";#N/A,#N/A,FALSE,"MTD";#N/A,#N/A,FALSE,"YTD";#N/A,#N/A,FALSE,"Forecast";#N/A,#N/A,FALSE,"Debt Structure";#N/A,#N/A,FALSE,"RATINGS"}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localSheetId="3" hidden="1">{"ISP1Y1",#N/A,TRUE,"Template";"ISP2Y1",#N/A,TRUE,"Template";"BSY1",#N/A,TRUE,"Template";"ICFY1",#N/A,TRUE,"Template";"TPY1",#N/A,TRUE,"Template";"CtrlY1",#N/A,TRUE,"Template"}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localSheetId="3" hidden="1">{"ISP1Y2",#N/A,TRUE,"Template";"ISP2Y2",#N/A,TRUE,"Template";"BSY2",#N/A,TRUE,"Template";"ICFY2",#N/A,TRUE,"Template";"TPY2",#N/A,TRUE,"Template";"CtrlY2",#N/A,TRUE,"Template"}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localSheetId="3" hidden="1">{#N/A,#N/A,FALSE,"Monthly"}</definedName>
    <definedName name="wrn.Monthly1" hidden="1">{#N/A,#N/A,FALSE,"Monthly"}</definedName>
    <definedName name="wrn.monthlyunits." localSheetId="4" hidden="1">{"monthlyunits",#N/A,FALSE,"openings"}</definedName>
    <definedName name="wrn.monthlyunits." localSheetId="3" hidden="1">{"monthlyunits",#N/A,FALSE,"openings"}</definedName>
    <definedName name="wrn.monthlyunits." hidden="1">{"monthlyunits",#N/A,FALSE,"openings"}</definedName>
    <definedName name="wrn.Months._.1999." localSheetId="4" hidden="1">{"Monthly 1999 Stats",#N/A,FALSE,"Months";"Monthly 1999 IS",#N/A,FALSE,"Months"}</definedName>
    <definedName name="wrn.Months._.1999." localSheetId="3" hidden="1">{"Monthly 1999 Stats",#N/A,FALSE,"Months";"Monthly 1999 IS",#N/A,FALSE,"Months"}</definedName>
    <definedName name="wrn.Months._.1999." hidden="1">{"Monthly 1999 Stats",#N/A,FALSE,"Months";"Monthly 1999 IS",#N/A,FALSE,"Months"}</definedName>
    <definedName name="wrn.Months._.2000." localSheetId="4" hidden="1">{"Monthly 2000 Stats",#N/A,FALSE,"Months";"Monthly 2000 IS",#N/A,FALSE,"Months"}</definedName>
    <definedName name="wrn.Months._.2000." localSheetId="3" hidden="1">{"Monthly 2000 Stats",#N/A,FALSE,"Months";"Monthly 2000 IS",#N/A,FALSE,"Months"}</definedName>
    <definedName name="wrn.Months._.2000." hidden="1">{"Monthly 2000 Stats",#N/A,FALSE,"Months";"Monthly 2000 IS",#N/A,FALSE,"Months"}</definedName>
    <definedName name="wrn.Months._.2001." localSheetId="4" hidden="1">{"Monthly 2001 Stats",#N/A,FALSE,"Months";"Monthly 2001 IS",#N/A,FALSE,"Months"}</definedName>
    <definedName name="wrn.Months._.2001." localSheetId="3" hidden="1">{"Monthly 2001 Stats",#N/A,FALSE,"Months";"Monthly 2001 IS",#N/A,FALSE,"Months"}</definedName>
    <definedName name="wrn.Months._.2001." hidden="1">{"Monthly 2001 Stats",#N/A,FALSE,"Months";"Monthly 2001 IS",#N/A,FALSE,"Months"}</definedName>
    <definedName name="wrn.Months._.2002." localSheetId="4" hidden="1">{"Monthly 2002 Stats",#N/A,FALSE,"Months";"Monthly 2002 IS",#N/A,FALSE,"Months"}</definedName>
    <definedName name="wrn.Months._.2002." localSheetId="3" hidden="1">{"Monthly 2002 Stats",#N/A,FALSE,"Months";"Monthly 2002 IS",#N/A,FALSE,"Months"}</definedName>
    <definedName name="wrn.Months._.2002." hidden="1">{"Monthly 2002 Stats",#N/A,FALSE,"Months";"Monthly 2002 IS",#N/A,FALSE,"Months"}</definedName>
    <definedName name="wrn.Months._.2003." localSheetId="4" hidden="1">{"Monthly 2003 Stats",#N/A,FALSE,"Months";"Monthly 2003 IS",#N/A,FALSE,"Months"}</definedName>
    <definedName name="wrn.Months._.2003." localSheetId="3" hidden="1">{"Monthly 2003 Stats",#N/A,FALSE,"Months";"Monthly 2003 IS",#N/A,FALSE,"Months"}</definedName>
    <definedName name="wrn.Months._.2003." hidden="1">{"Monthly 2003 Stats",#N/A,FALSE,"Months";"Monthly 2003 IS",#N/A,FALSE,"Months"}</definedName>
    <definedName name="wrn.Most._.Likely._.Scenarios." localSheetId="3" hidden="1">{#N/A,"Mine Allocated, Keep AC",FALSE,"Stream INPUTS";#N/A,"All Preferred, Sell AC",FALSE,"Stream INPUTS";#N/A,"Step Up, Sell AC",FALSE,"Stream INPUTS";#N/A,"All Preferred, BRONCO buys AC",FALSE,"Stream INPUTS"}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localSheetId="3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localSheetId="3" hidden="1">{"MTD CONSOL IS",#N/A,FALSE,"CONSOL";"MTD CONSOL BS",#N/A,FALSE,"CONSOL";"MTD CONSOL CF",#N/A,FALSE,"CONSOL";"MTD CONSOL COGS",#N/A,FALSE,"CONSOL";"MTD CONSOL SGA",#N/A,FALSE,"CONSOL"}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localSheetId="3" hidden="1">{"MTD CTT IS",#N/A,FALSE,"CTT";"MTD CTT BS",#N/A,FALSE,"CTT";"MTD CTT CF",#N/A,FALSE,"CTT";"MTD CTT COGS",#N/A,FALSE,"CTT";"MTD CTT SGA",#N/A,FALSE,"CTT"}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localSheetId="3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localSheetId="3" hidden="1">{"MTD IS",#N/A,FALSE,"WLLC";"MTDBS",#N/A,FALSE,"WLLC";"MTDCF",#N/A,FALSE,"WLLC";"MTDCOGS",#N/A,FALSE,"WLLC";"MTDSGA",#N/A,FALSE,"WLLC"}</definedName>
    <definedName name="wrn.MTD._.WLLC._.STMTS." hidden="1">{"MTD IS",#N/A,FALSE,"WLLC";"MTDBS",#N/A,FALSE,"WLLC";"MTDCF",#N/A,FALSE,"WLLC";"MTDCOGS",#N/A,FALSE,"WLLC";"MTDSGA",#N/A,FALSE,"WLLC"}</definedName>
    <definedName name="wrn.MTD._.WLLC._.VS._.BUD." localSheetId="3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localSheetId="3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localSheetId="3" hidden="1">{"TXO2N2_SLS",#N/A,FALSE,"MTHLYSLES";"TXH2_SLS",#N/A,FALSE,"MTHLYSLES";"LOUIS_SLS",#N/A,FALSE,"MTHLYSLES";"H2_SLS",#N/A,FALSE,"MTHLYSLES";"O2N2_SLS",#N/A,FALSE,"MTHLYSLES";"PACKAGE_SLS",#N/A,FALSE,"MTHLYSLES"}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localSheetId="3" hidden="1">{"TEXO2N2_VOL",#N/A,FALSE,"MTHLYVOL";"TEXH2_VOL",#N/A,FALSE,"MTHLYVOL";"LOUIS_VOL",#N/A,FALSE,"MTHLYVOL";"H2_VOL",#N/A,FALSE,"MTHLYVOL";"O2N2_VOL",#N/A,FALSE,"MTHLYVOL";"PACKAGE_VOL",#N/A,FALSE,"MTHLYVOL"}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localSheetId="3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localSheetId="4" hidden="1">{#N/A,#N/A,FALSE,"91NOLCB";#N/A,#N/A,FALSE,"92NOLCB";#N/A,#N/A,FALSE,"93NOLCB"}</definedName>
    <definedName name="wrn.N.O.L.." localSheetId="3" hidden="1">{#N/A,#N/A,FALSE,"91NOLCB";#N/A,#N/A,FALSE,"92NOLCB";#N/A,#N/A,FALSE,"93NOLCB"}</definedName>
    <definedName name="wrn.N.O.L.." hidden="1">{#N/A,#N/A,FALSE,"91NOLCB";#N/A,#N/A,FALSE,"92NOLCB";#N/A,#N/A,FALSE,"93NOLCB"}</definedName>
    <definedName name="wrn.NA." localSheetId="3" hidden="1">{#N/A,#N/A,FALSE,"NA"}</definedName>
    <definedName name="wrn.NA." hidden="1">{#N/A,#N/A,FALSE,"NA"}</definedName>
    <definedName name="wrn.NA._.Model._.T._.and._.B." localSheetId="3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3" hidden="1">{"NA Top",#N/A,FALSE,"NA-ULV";"NA Bottom",#N/A,FALSE,"NA-ULV"}</definedName>
    <definedName name="wrn.NA_ULV._.Tand._.B." hidden="1">{"NA Top",#N/A,FALSE,"NA-ULV";"NA Bottom",#N/A,FALSE,"NA-ULV"}</definedName>
    <definedName name="wrn.NCPC." localSheetId="4" hidden="1">{"_811",#N/A,FALSE,"NCPC Expenses";"_813",#N/A,FALSE,"NCPC Expenses";"_814",#N/A,FALSE,"NCPC Expenses"}</definedName>
    <definedName name="wrn.NCPC." localSheetId="3" hidden="1">{"_811",#N/A,FALSE,"NCPC Expenses";"_813",#N/A,FALSE,"NCPC Expenses";"_814",#N/A,FALSE,"NCPC Expenses"}</definedName>
    <definedName name="wrn.NCPC." hidden="1">{"_811",#N/A,FALSE,"NCPC Expenses";"_813",#N/A,FALSE,"NCPC Expenses";"_814",#N/A,FALSE,"NCPC Expenses"}</definedName>
    <definedName name="wrn.NET._.TRADE._.SALES." localSheetId="3" hidden="1">{"Net Trade Sales",#N/A,FALSE,"Net Trade Sales"}</definedName>
    <definedName name="wrn.NET._.TRADE._.SALES." hidden="1">{"Net Trade Sales",#N/A,FALSE,"Net Trade Sales"}</definedName>
    <definedName name="wrn.NetSalesNetIncome." localSheetId="3" hidden="1">{"Baker",#N/A,FALSE,"NS_NI95";"Kohler Month",#N/A,FALSE,"NS_NI95"}</definedName>
    <definedName name="wrn.NetSalesNetIncome." hidden="1">{"Baker",#N/A,FALSE,"NS_NI95";"Kohler Month",#N/A,FALSE,"NS_NI95"}</definedName>
    <definedName name="wrn.netsalesnetincome2" localSheetId="3" hidden="1">{"Baker",#N/A,FALSE,"NS_NI95";"Kohler Month",#N/A,FALSE,"NS_NI95"}</definedName>
    <definedName name="wrn.netsalesnetincome2" hidden="1">{"Baker",#N/A,FALSE,"NS_NI95";"Kohler Month",#N/A,FALSE,"NS_NI95"}</definedName>
    <definedName name="wrn.New." localSheetId="4" hidden="1">{"Con. New Accts",#N/A,FALSE,"NEW ACCOUNTS BUDGET";"Zel. New Accts",#N/A,FALSE,"NEW ACCOUNTS BUDGET";"Bay New Accts",#N/A,FALSE,"NEW ACCOUNTS BUDGET"}</definedName>
    <definedName name="wrn.New." localSheetId="3" hidden="1">{"Con. New Accts",#N/A,FALSE,"NEW ACCOUNTS BUDGET";"Zel. New Accts",#N/A,FALSE,"NEW ACCOUNTS BUDGET";"Bay New Accts",#N/A,FALSE,"NEW ACCOUNTS BUDGET"}</definedName>
    <definedName name="wrn.New." hidden="1">{"Con. New Accts",#N/A,FALSE,"NEW ACCOUNTS BUDGET";"Zel. New Accts",#N/A,FALSE,"NEW ACCOUNTS BUDGET";"Bay New Accts",#N/A,FALSE,"NEW ACCOUNTS BUDGET"}</definedName>
    <definedName name="wrn.New._.business." localSheetId="4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business." localSheetId="3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localSheetId="4" hidden="1">{#N/A,#N/A,TRUE,"TS";#N/A,#N/A,TRUE,"Combo";#N/A,#N/A,TRUE,"FAIR";#N/A,#N/A,TRUE,"RBC";#N/A,#N/A,TRUE,"xxxx"}</definedName>
    <definedName name="wrn.newest." localSheetId="3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ewest._1" localSheetId="3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localSheetId="3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localSheetId="3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localSheetId="3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localSheetId="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localSheetId="3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localSheetId="3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localSheetId="3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localSheetId="3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localSheetId="3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localSheetId="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localSheetId="3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localSheetId="3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localSheetId="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localSheetId="3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localSheetId="3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localSheetId="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localSheetId="3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localSheetId="3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localSheetId="3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localSheetId="3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localSheetId="3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localSheetId="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localSheetId="3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localSheetId="3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localSheetId="3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localSheetId="3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localSheetId="3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localSheetId="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localSheetId="3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 localSheetId="3">{"DCF","UPSIDE CASE",FALSE,"Sheet1";"DCF","BASE CASE",FALSE,"Sheet1";"DCF","DOWNSIDE CASE",FALSE,"Sheet1"}</definedName>
    <definedName name="wrn.newoutput">{"DCF","UPSIDE CASE",FALSE,"Sheet1";"DCF","BASE CASE",FALSE,"Sheet1";"DCF","DOWNSIDE CASE",FALSE,"Sheet1"}</definedName>
    <definedName name="wrn.NewRept.xls." localSheetId="3" hidden="1">{#N/A,#N/A,TRUE,"Sheet1";#N/A,#N/A,TRUE,"Sheet2";#N/A,#N/A,TRUE,"Sheet3";#N/A,#N/A,TRUE,"Sheet4";#N/A,#N/A,TRUE,"Sheet5";#N/A,#N/A,TRUE,"Sheet6";#N/A,#N/A,TRUE,"Sheet7"}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localSheetId="3" hidden="1">{#N/A,#N/A,FALSE,"Pre-Release";#N/A,#N/A,FALSE,"Greenlight"}</definedName>
    <definedName name="wrn.Nicholas._.Report." hidden="1">{#N/A,#N/A,FALSE,"Pre-Release";#N/A,#N/A,FALSE,"Greenlight"}</definedName>
    <definedName name="wrn.Non._.Div._.Balance._.Sheet." localSheetId="3" hidden="1">{#N/A,"NONDV",FALSE,"BSHIST.XLS"}</definedName>
    <definedName name="wrn.Non._.Div._.Balance._.Sheet." hidden="1">{#N/A,"NONDV",FALSE,"BSHIST.XLS"}</definedName>
    <definedName name="wrn.North._.America." localSheetId="3" hidden="1">{"PnL",#N/A,FALSE,"Gas NA P&amp;L";"Responsibility",#N/A,FALSE,"Gas NA P&amp;L";"Cost Control",#N/A,FALSE,"Gas NA P&amp;L";"Program List",#N/A,FALSE,"Gas NA P&amp;L"}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localSheetId="3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Notes." localSheetId="4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" localSheetId="3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localSheetId="4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tes._.September._.30._.2000._.BL." localSheetId="3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localSheetId="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localSheetId="3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nytaann." localSheetId="3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localSheetId="3" hidden="1">{"oct_res_comm",#N/A,FALSE,"VarToBud"}</definedName>
    <definedName name="wrn.oct_res_comm." hidden="1">{"oct_res_comm",#N/A,FALSE,"VarToBud"}</definedName>
    <definedName name="wrn.OCTOBER." localSheetId="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localSheetId="3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localSheetId="4" hidden="1">{#N/A,#N/A,FALSE,"ROFFLTR"}</definedName>
    <definedName name="wrn.Officers._.Letter." localSheetId="3" hidden="1">{#N/A,#N/A,FALSE,"ROFFLTR"}</definedName>
    <definedName name="wrn.Officers._.Letter." hidden="1">{#N/A,#N/A,FALSE,"ROFFLTR"}</definedName>
    <definedName name="wrn.Ofir." localSheetId="4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localSheetId="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localSheetId="3" hidden="1">{"Olk by Qtr Full",#N/A,FALSE,"Tot PalmPalm";"Olk by Qtr Full",#N/A,FALSE,"Tot Device";"Olk by Qtr Full",#N/A,FALSE,"Platform";"Olk by Qtr Full",#N/A,FALSE,"Palm.Net";"Olk by Qtr Full",#N/A,FALSE,"Elim"}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localSheetId="4" hidden="1">{"sum",#N/A,TRUE,"Summary";"Omn",#N/A,TRUE,"Summary";"om_cost",#N/A,TRUE,"Summary";"conv_cost",#N/A,TRUE,"Summary";"input1",#N/A,TRUE,"Summary";"input2",#N/A,TRUE,"Summary"}</definedName>
    <definedName name="wrn.omnius." localSheetId="3" hidden="1">{"sum",#N/A,TRUE,"Summary";"Omn",#N/A,TRUE,"Summary";"om_cost",#N/A,TRUE,"Summary";"conv_cost",#N/A,TRUE,"Summary";"input1",#N/A,TRUE,"Summary";"input2",#N/A,TRUE,"Summary"}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localSheetId="3" hidden="1">{#N/A,#N/A,TRUE,"Cover letter";#N/A,#N/A,TRUE,"Definitions";#N/A,#N/A,TRUE,"financial data";#N/A,#N/A,TRUE,"general data";#N/A,#N/A,TRUE,"order fulfillment"}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localSheetId="3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cology._1" localSheetId="3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localSheetId="3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localSheetId="3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localSheetId="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localSheetId="3" hidden="1">{"page1",#N/A,FALSE,"A";"page2",#N/A,FALSE,"A"}</definedName>
    <definedName name="wrn.one." hidden="1">{"page1",#N/A,FALSE,"A";"page2",#N/A,FALSE,"A"}</definedName>
    <definedName name="wrn.ONIS._.Model." localSheetId="3" hidden="1">{#N/A,#N/A,FALSE,"IS";#N/A,#N/A,FALSE,"One pager";#N/A,#N/A,FALSE,"Revenue Detail"}</definedName>
    <definedName name="wrn.ONIS._.Model." hidden="1">{#N/A,#N/A,FALSE,"IS";#N/A,#N/A,FALSE,"One pager";#N/A,#N/A,FALSE,"Revenue Detail"}</definedName>
    <definedName name="wrn.ONTK." localSheetId="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localSheetId="3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localSheetId="3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localSheetId="3" hidden="1">{"SchA1",#N/A,FALSE,"Schedules";"SchA2",#N/A,FALSE,"Schedules"}</definedName>
    <definedName name="WRN.ORINT._.SCHA" hidden="1">{"SchA1",#N/A,FALSE,"Schedules";"SchA2",#N/A,FALSE,"Schedules"}</definedName>
    <definedName name="wrn.orint._.schb." localSheetId="3" hidden="1">{"SchB1",#N/A,FALSE,"Schedules";"SchB2",#N/A,FALSE,"Schedules"}</definedName>
    <definedName name="wrn.orint._.schb." hidden="1">{"SchB1",#N/A,FALSE,"Schedules";"SchB2",#N/A,FALSE,"Schedules"}</definedName>
    <definedName name="wrn.OSBL." localSheetId="3" hidden="1">{#N/A,#N/A,FALSE,"OSBL"}</definedName>
    <definedName name="wrn.OSBL." hidden="1">{#N/A,#N/A,FALSE,"OSBL"}</definedName>
    <definedName name="wrn.OTC._.Market._.Report." localSheetId="3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C._.Market._.Report._1" localSheetId="3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localSheetId="3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localSheetId="3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localSheetId="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localSheetId="3" hidden="1">{"OTHER ADMIN COSTS",#N/A,FALSE,"C.CENTRE"}</definedName>
    <definedName name="wrn.OTHER._.ADMIN._.COSTS." hidden="1">{"OTHER ADMIN COSTS",#N/A,FALSE,"C.CENTRE"}</definedName>
    <definedName name="wrn.Other._.Pharm." localSheetId="3" hidden="1">{#N/A,#N/A,FALSE,"Other";#N/A,#N/A,FALSE,"Ace";#N/A,#N/A,FALSE,"Derm"}</definedName>
    <definedName name="wrn.Other._.Pharm." hidden="1">{#N/A,#N/A,FALSE,"Other";#N/A,#N/A,FALSE,"Ace";#N/A,#N/A,FALSE,"Derm"}</definedName>
    <definedName name="wrn.Other._.Pharm._1" localSheetId="3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localSheetId="3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localSheetId="3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localSheetId="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localSheetId="3" hidden="1">{"OTHER REVENUE",#N/A,FALSE,"OTHERS"}</definedName>
    <definedName name="wrn.OTHER._.REVENUE." hidden="1">{"OTHER REVENUE",#N/A,FALSE,"OTHERS"}</definedName>
    <definedName name="wrn.OTROS_DATOS." localSheetId="3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localSheetId="4" hidden="1">{#N/A,#N/A,FALSE,"Consol P&amp;L ";#N/A,#N/A,FALSE,"CP P&amp;L";#N/A,#N/A,FALSE,"ADS P&amp;L";#N/A,#N/A,FALSE,"Corp P&amp;L"}</definedName>
    <definedName name="wrn.Outlook." localSheetId="3" hidden="1">{#N/A,#N/A,FALSE,"Consol P&amp;L ";#N/A,#N/A,FALSE,"CP P&amp;L";#N/A,#N/A,FALSE,"ADS P&amp;L";#N/A,#N/A,FALSE,"Corp P&amp;L"}</definedName>
    <definedName name="wrn.Outlook." hidden="1">{#N/A,#N/A,FALSE,"Consol P&amp;L ";#N/A,#N/A,FALSE,"CP P&amp;L";#N/A,#N/A,FALSE,"ADS P&amp;L";#N/A,#N/A,FALSE,"Corp P&amp;L"}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3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OUTPUT._1" localSheetId="3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localSheetId="3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2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localSheetId="3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3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localSheetId="3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_4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localSheetId="3" hidden="1">{"DCF","UPSIDE CASE",FALSE,"Sheet1";"DCF","BASE CASE",FALSE,"Sheet1";"DCF","DOWNSIDE CASE",FALSE,"Sheet1"}</definedName>
    <definedName name="wrn.OUTPUT._5" hidden="1">{"DCF","UPSIDE CASE",FALSE,"Sheet1";"DCF","BASE CASE",FALSE,"Sheet1";"DCF","DOWNSIDE CASE",FALSE,"Sheet1"}</definedName>
    <definedName name="wrn.Output._5_1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localSheetId="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localSheetId="3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verhead2000." localSheetId="4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" localSheetId="3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localSheetId="3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_1" localSheetId="3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localSheetId="3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localSheetId="3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localSheetId="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localSheetId="3" hidden="1">{#N/A,#N/A,FALSE,"RMS Base (allocated)";#N/A,#N/A,FALSE,"Humana";#N/A,#N/A,FALSE,"NJRM";#N/A,#N/A,FALSE,"GSNS";#N/A,#N/A,FALSE,"Total"}</definedName>
    <definedName name="wrn.P_and_L." hidden="1">{#N/A,#N/A,FALSE,"RMS Base (allocated)";#N/A,#N/A,FALSE,"Humana";#N/A,#N/A,FALSE,"NJRM";#N/A,#N/A,FALSE,"GSNS";#N/A,#N/A,FALSE,"Total"}</definedName>
    <definedName name="wrn.packer._.1." localSheetId="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localSheetId="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localSheetId="3" hidden="1">{#N/A,#N/A,FALSE,"PAF"}</definedName>
    <definedName name="wrn.PAF." hidden="1">{#N/A,#N/A,FALSE,"PAF"}</definedName>
    <definedName name="wrn.PAGE._.1." localSheetId="4" hidden="1">{#N/A,#N/A,FALSE,"Job Sched"}</definedName>
    <definedName name="wrn.PAGE._.1." localSheetId="3" hidden="1">{#N/A,#N/A,FALSE,"Job Sched"}</definedName>
    <definedName name="wrn.PAGE._.1." hidden="1">{#N/A,#N/A,FALSE,"Job Sched"}</definedName>
    <definedName name="wrn.PAGE._.2." localSheetId="4" hidden="1">{"PAGE 2",#N/A,FALSE,"WEST_OT"}</definedName>
    <definedName name="wrn.PAGE._.2." localSheetId="3" hidden="1">{"PAGE 2",#N/A,FALSE,"WEST_OT"}</definedName>
    <definedName name="wrn.PAGE._.2." hidden="1">{"PAGE 2",#N/A,FALSE,"WEST_OT"}</definedName>
    <definedName name="wrn.PAGE._.3." localSheetId="4" hidden="1">{"PAGE 2",#N/A,FALSE,"WEST_OT"}</definedName>
    <definedName name="wrn.PAGE._.3." localSheetId="3" hidden="1">{"PAGE 2",#N/A,FALSE,"WEST_OT"}</definedName>
    <definedName name="wrn.PAGE._.3." hidden="1">{"PAGE 2",#N/A,FALSE,"WEST_OT"}</definedName>
    <definedName name="wrn.Paging._.Compco." localSheetId="3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ging._.Compco._1" localSheetId="3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localSheetId="3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localSheetId="3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localSheetId="3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localSheetId="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localSheetId="3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localSheetId="3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localSheetId="3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localSheetId="3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localSheetId="3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localSheetId="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localSheetId="3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localSheetId="3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localSheetId="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localSheetId="3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localSheetId="3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localSheetId="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localSheetId="3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localSheetId="3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localSheetId="3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localSheetId="3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localSheetId="3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localSheetId="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localSheetId="3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localSheetId="3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localSheetId="3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localSheetId="3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localSheetId="3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localSheetId="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localSheetId="3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localSheetId="3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localSheetId="4" hidden="1">{"Large Comps",#N/A,FALSE,"Comparable companies";"Small Comps",#N/A,FALSE,"Comparable companies"}</definedName>
    <definedName name="wrn.Passport._.Financials._.Individual._.Pages." localSheetId="3" hidden="1">{"Large Comps",#N/A,FALSE,"Comparable companies";"Small Comps",#N/A,FALSE,"Comparable companies"}</definedName>
    <definedName name="wrn.Passport._.Financials._.Individual._.Pages." hidden="1">{"Large Comps",#N/A,FALSE,"Comparable companies";"Small Comps",#N/A,FALSE,"Comparable companies"}</definedName>
    <definedName name="wrn.PAYBACK." localSheetId="3" hidden="1">{"payback",#N/A,FALSE,"TV_Payback"}</definedName>
    <definedName name="wrn.PAYBACK." hidden="1">{"payback",#N/A,FALSE,"TV_Payback"}</definedName>
    <definedName name="wrn.PBIT_DEV.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localSheetId="3" hidden="1">{#N/A,#N/A,FALSE,"QTD";#N/A,#N/A,FALSE,"Lic Fees";#N/A,#N/A,FALSE,"Unapproved";#N/A,#N/A,FALSE,"Wkly Notes"}</definedName>
    <definedName name="wrn.Performance." hidden="1">{#N/A,#N/A,FALSE,"QTD";#N/A,#N/A,FALSE,"Lic Fees";#N/A,#N/A,FALSE,"Unapproved";#N/A,#N/A,FALSE,"Wkly Notes"}</definedName>
    <definedName name="wrn.Period._.1._.Financial._.Statements." localSheetId="3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localSheetId="3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localSheetId="3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localSheetId="3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localSheetId="3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localSheetId="3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localSheetId="3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localSheetId="3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localSheetId="3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localSheetId="3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localSheetId="3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localSheetId="3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localSheetId="3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localSheetId="4" hidden="1">{"Personnel 1",#N/A,TRUE,"Nov01";"Personnel 2",#N/A,TRUE,"Nov01";"Personnel 3",#N/A,TRUE,"Nov01";"Personnel 4",#N/A,TRUE,"Nov01"}</definedName>
    <definedName name="wrn.Personnel._.Forecast._.Nov01." localSheetId="3" hidden="1">{"Personnel 1",#N/A,TRUE,"Nov01";"Personnel 2",#N/A,TRUE,"Nov01";"Personnel 3",#N/A,TRUE,"Nov01";"Personnel 4",#N/A,TRUE,"Nov01"}</definedName>
    <definedName name="wrn.Personnel._.Forecast._.Nov01." hidden="1">{"Personnel 1",#N/A,TRUE,"Nov01";"Personnel 2",#N/A,TRUE,"Nov01";"Personnel 3",#N/A,TRUE,"Nov01";"Personnel 4",#N/A,TRUE,"Nov01"}</definedName>
    <definedName name="wrn.PFDBalance._.Sheet." localSheetId="3" hidden="1">{#N/A,"PURPER",FALSE,"BSHIST.XLS";#N/A,"PURADD",FALSE,"BSHIST.XLS";#N/A,"PURSPP",FALSE,"BSHIST.XLS";#N/A,"CTGIND",FALSE,"BSHIST.XLS";#N/A,"ANCHOR",FALSE,"BSHIST.XLS";#N/A,"SPADD",FALSE,"BSHIST.XLS"}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localSheetId="3" hidden="1">{"Summary",#N/A,TRUE,"Finmodel";"Returns Analysis",#N/A,TRUE,"Finmodel"}</definedName>
    <definedName name="wrn.PFR." hidden="1">{"Summary",#N/A,TRUE,"Finmodel";"Returns Analysis",#N/A,TRUE,"Finmodel"}</definedName>
    <definedName name="wrn.PGW." localSheetId="3" hidden="1">{#N/A,#N/A,FALSE,"PGW"}</definedName>
    <definedName name="wrn.PGW." hidden="1">{#N/A,#N/A,FALSE,"PGW"}</definedName>
    <definedName name="wrn.Pharm._.Market._.Report." localSheetId="3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._.Market._.Report._1" localSheetId="3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localSheetId="3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localSheetId="3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localSheetId="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localSheetId="3" hidden="1">{"PL",#N/A,FALSE,"Flash PL"}</definedName>
    <definedName name="wrn.PL." hidden="1">{"PL",#N/A,FALSE,"Flash PL"}</definedName>
    <definedName name="wrn.PL._.guldens." localSheetId="3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localSheetId="3" hidden="1">{"Placer Dome Mines",#N/A,FALSE,"PDG";"Placer Dome Summary",#N/A,FALSE,"PDG"}</definedName>
    <definedName name="wrn.Placer._.Dome." hidden="1">{"Placer Dome Mines",#N/A,FALSE,"PDG";"Placer Dome Summary",#N/A,FALSE,"PDG"}</definedName>
    <definedName name="wrn.PLAN." localSheetId="3" hidden="1">{"AZO Inter BS",#N/A,FALSE,"Sheet1";"AZO Mexico BS",#N/A,FALSE,"Sheet1";"AZO PR BS",#N/A,FALSE,"Sheet1"}</definedName>
    <definedName name="wrn.PLAN." hidden="1">{"AZO Inter BS",#N/A,FALSE,"Sheet1";"AZO Mexico BS",#N/A,FALSE,"Sheet1";"AZO PR BS",#N/A,FALSE,"Sheet1"}</definedName>
    <definedName name="wrn.PLANNING." localSheetId="3" hidden="1">{"PLANNING",#N/A,FALSE,"A"}</definedName>
    <definedName name="wrn.PLANNING." hidden="1">{"PLANNING",#N/A,FALSE,"A"}</definedName>
    <definedName name="wrn.plbscf." localSheetId="3" hidden="1">{"p_l",#N/A,FALSE,"Summary Accounts"}</definedName>
    <definedName name="wrn.plbscf." hidden="1">{"p_l",#N/A,FALSE,"Summary Accounts"}</definedName>
    <definedName name="wrn.PLX." localSheetId="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localSheetId="3" hidden="1">{#N/A,#N/A,FALSE,"profile ";#N/A,#N/A,FALSE,"rank";#N/A,#N/A,FALSE,"overbase";#N/A,#N/A,FALSE,"overcash";#N/A,#N/A,FALSE,"overtfp";#N/A,#N/A,FALSE,"overtcc"}</definedName>
    <definedName name="wrn.polaroid." hidden="1">{#N/A,#N/A,FALSE,"profile ";#N/A,#N/A,FALSE,"rank";#N/A,#N/A,FALSE,"overbase";#N/A,#N/A,FALSE,"overcash";#N/A,#N/A,FALSE,"overtfp";#N/A,#N/A,FALSE,"overtcc"}</definedName>
    <definedName name="wrn.Polymers." localSheetId="3" hidden="1">{"Polymers Details",#N/A,FALSE,"Current Yr";"Polymer Details",#N/A,FALSE,"Budget";"Polymer Details",#N/A,FALSE,"Prior Year"}</definedName>
    <definedName name="wrn.Polymers." hidden="1">{"Polymers Details",#N/A,FALSE,"Current Yr";"Polymer Details",#N/A,FALSE,"Budget";"Polymer Details",#N/A,FALSE,"Prior Year"}</definedName>
    <definedName name="wrn.Polymers._.Balance._.Sheet." localSheetId="3" hidden="1">{#N/A,"POLY",FALSE,"BSHIST.XLS";#N/A,"EMUL",FALSE,"BSHIST.XLS";#N/A,"PVOH",FALSE,"BSHIST.XLS";#N/A,"ACET",FALSE,"BSHIST.XLS"}</definedName>
    <definedName name="wrn.Polymers._.Balance._.Sheet." hidden="1">{#N/A,"POLY",FALSE,"BSHIST.XLS";#N/A,"EMUL",FALSE,"BSHIST.XLS";#N/A,"PVOH",FALSE,"BSHIST.XLS";#N/A,"ACET",FALSE,"BSHIST.XLS"}</definedName>
    <definedName name="wrn.polymwe." localSheetId="3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localSheetId="4" hidden="1">{"portrait letter is",#N/A,FALSE,"Model"}</definedName>
    <definedName name="wrn.Portrait._.letter._.is." localSheetId="3" hidden="1">{"portrait letter is",#N/A,FALSE,"Model"}</definedName>
    <definedName name="wrn.Portrait._.letter._.is." hidden="1">{"portrait letter is",#N/A,FALSE,"Model"}</definedName>
    <definedName name="wrn.Portrait._.letter._.is._1" localSheetId="3" hidden="1">{"portrait letter is",#N/A,FALSE,"Model"}</definedName>
    <definedName name="wrn.Portrait._.letter._.is._1" hidden="1">{"portrait letter is",#N/A,FALSE,"Model"}</definedName>
    <definedName name="wrn.Portrait._.letter._.is._1_1" localSheetId="3" hidden="1">{"portrait letter is",#N/A,FALSE,"Model"}</definedName>
    <definedName name="wrn.Portrait._.letter._.is._1_1" hidden="1">{"portrait letter is",#N/A,FALSE,"Model"}</definedName>
    <definedName name="wrn.Portrait._.letter._.is._1_2" localSheetId="3" hidden="1">{"portrait letter is",#N/A,FALSE,"Model"}</definedName>
    <definedName name="wrn.Portrait._.letter._.is._1_2" hidden="1">{"portrait letter is",#N/A,FALSE,"Model"}</definedName>
    <definedName name="wrn.Portrait._.letter._.is._1_3" localSheetId="3" hidden="1">{"portrait letter is",#N/A,FALSE,"Model"}</definedName>
    <definedName name="wrn.Portrait._.letter._.is._1_3" hidden="1">{"portrait letter is",#N/A,FALSE,"Model"}</definedName>
    <definedName name="wrn.Portrait._.letter._.is._1_4" localSheetId="3" hidden="1">{"portrait letter is",#N/A,FALSE,"Model"}</definedName>
    <definedName name="wrn.Portrait._.letter._.is._1_4" hidden="1">{"portrait letter is",#N/A,FALSE,"Model"}</definedName>
    <definedName name="wrn.Portrait._.letter._.is._1_5" localSheetId="3" hidden="1">{"portrait letter is",#N/A,FALSE,"Model"}</definedName>
    <definedName name="wrn.Portrait._.letter._.is._1_5" hidden="1">{"portrait letter is",#N/A,FALSE,"Model"}</definedName>
    <definedName name="wrn.Portrait._.letter._.is._2" localSheetId="3" hidden="1">{"portrait letter is",#N/A,FALSE,"Model"}</definedName>
    <definedName name="wrn.Portrait._.letter._.is._2" hidden="1">{"portrait letter is",#N/A,FALSE,"Model"}</definedName>
    <definedName name="wrn.Portrait._.letter._.is._2_1" localSheetId="3" hidden="1">{"portrait letter is",#N/A,FALSE,"Model"}</definedName>
    <definedName name="wrn.Portrait._.letter._.is._2_1" hidden="1">{"portrait letter is",#N/A,FALSE,"Model"}</definedName>
    <definedName name="wrn.Portrait._.letter._.is._2_2" localSheetId="3" hidden="1">{"portrait letter is",#N/A,FALSE,"Model"}</definedName>
    <definedName name="wrn.Portrait._.letter._.is._2_2" hidden="1">{"portrait letter is",#N/A,FALSE,"Model"}</definedName>
    <definedName name="wrn.Portrait._.letter._.is._2_3" localSheetId="3" hidden="1">{"portrait letter is",#N/A,FALSE,"Model"}</definedName>
    <definedName name="wrn.Portrait._.letter._.is._2_3" hidden="1">{"portrait letter is",#N/A,FALSE,"Model"}</definedName>
    <definedName name="wrn.Portrait._.letter._.is._2_4" localSheetId="3" hidden="1">{"portrait letter is",#N/A,FALSE,"Model"}</definedName>
    <definedName name="wrn.Portrait._.letter._.is._2_4" hidden="1">{"portrait letter is",#N/A,FALSE,"Model"}</definedName>
    <definedName name="wrn.Portrait._.letter._.is._2_5" localSheetId="3" hidden="1">{"portrait letter is",#N/A,FALSE,"Model"}</definedName>
    <definedName name="wrn.Portrait._.letter._.is._2_5" hidden="1">{"portrait letter is",#N/A,FALSE,"Model"}</definedName>
    <definedName name="wrn.Portrait._.letter._.is._3" localSheetId="3" hidden="1">{"portrait letter is",#N/A,FALSE,"Model"}</definedName>
    <definedName name="wrn.Portrait._.letter._.is._3" hidden="1">{"portrait letter is",#N/A,FALSE,"Model"}</definedName>
    <definedName name="wrn.Portrait._.letter._.is._3_1" localSheetId="3" hidden="1">{"portrait letter is",#N/A,FALSE,"Model"}</definedName>
    <definedName name="wrn.Portrait._.letter._.is._3_1" hidden="1">{"portrait letter is",#N/A,FALSE,"Model"}</definedName>
    <definedName name="wrn.Portrait._.letter._.is._3_2" localSheetId="3" hidden="1">{"portrait letter is",#N/A,FALSE,"Model"}</definedName>
    <definedName name="wrn.Portrait._.letter._.is._3_2" hidden="1">{"portrait letter is",#N/A,FALSE,"Model"}</definedName>
    <definedName name="wrn.Portrait._.letter._.is._3_3" localSheetId="3" hidden="1">{"portrait letter is",#N/A,FALSE,"Model"}</definedName>
    <definedName name="wrn.Portrait._.letter._.is._3_3" hidden="1">{"portrait letter is",#N/A,FALSE,"Model"}</definedName>
    <definedName name="wrn.Portrait._.letter._.is._3_4" localSheetId="3" hidden="1">{"portrait letter is",#N/A,FALSE,"Model"}</definedName>
    <definedName name="wrn.Portrait._.letter._.is._3_4" hidden="1">{"portrait letter is",#N/A,FALSE,"Model"}</definedName>
    <definedName name="wrn.Portrait._.letter._.is._3_5" localSheetId="3" hidden="1">{"portrait letter is",#N/A,FALSE,"Model"}</definedName>
    <definedName name="wrn.Portrait._.letter._.is._3_5" hidden="1">{"portrait letter is",#N/A,FALSE,"Model"}</definedName>
    <definedName name="wrn.Portrait._.letter._.is._4" localSheetId="3" hidden="1">{"portrait letter is",#N/A,FALSE,"Model"}</definedName>
    <definedName name="wrn.Portrait._.letter._.is._4" hidden="1">{"portrait letter is",#N/A,FALSE,"Model"}</definedName>
    <definedName name="wrn.Portrait._.letter._.is._4_1" localSheetId="3" hidden="1">{"portrait letter is",#N/A,FALSE,"Model"}</definedName>
    <definedName name="wrn.Portrait._.letter._.is._4_1" hidden="1">{"portrait letter is",#N/A,FALSE,"Model"}</definedName>
    <definedName name="wrn.Portrait._.letter._.is._4_2" localSheetId="3" hidden="1">{"portrait letter is",#N/A,FALSE,"Model"}</definedName>
    <definedName name="wrn.Portrait._.letter._.is._4_2" hidden="1">{"portrait letter is",#N/A,FALSE,"Model"}</definedName>
    <definedName name="wrn.Portrait._.letter._.is._4_3" localSheetId="3" hidden="1">{"portrait letter is",#N/A,FALSE,"Model"}</definedName>
    <definedName name="wrn.Portrait._.letter._.is._4_3" hidden="1">{"portrait letter is",#N/A,FALSE,"Model"}</definedName>
    <definedName name="wrn.Portrait._.letter._.is._4_4" localSheetId="3" hidden="1">{"portrait letter is",#N/A,FALSE,"Model"}</definedName>
    <definedName name="wrn.Portrait._.letter._.is._4_4" hidden="1">{"portrait letter is",#N/A,FALSE,"Model"}</definedName>
    <definedName name="wrn.Portrait._.letter._.is._4_5" localSheetId="3" hidden="1">{"portrait letter is",#N/A,FALSE,"Model"}</definedName>
    <definedName name="wrn.Portrait._.letter._.is._4_5" hidden="1">{"portrait letter is",#N/A,FALSE,"Model"}</definedName>
    <definedName name="wrn.Portrait._.letter._.is._5" localSheetId="3" hidden="1">{"portrait letter is",#N/A,FALSE,"Model"}</definedName>
    <definedName name="wrn.Portrait._.letter._.is._5" hidden="1">{"portrait letter is",#N/A,FALSE,"Model"}</definedName>
    <definedName name="wrn.Portrait._.letter._.is._5_1" localSheetId="3" hidden="1">{"portrait letter is",#N/A,FALSE,"Model"}</definedName>
    <definedName name="wrn.Portrait._.letter._.is._5_1" hidden="1">{"portrait letter is",#N/A,FALSE,"Model"}</definedName>
    <definedName name="wrn.Portrait._.letter._.is._5_2" localSheetId="3" hidden="1">{"portrait letter is",#N/A,FALSE,"Model"}</definedName>
    <definedName name="wrn.Portrait._.letter._.is._5_2" hidden="1">{"portrait letter is",#N/A,FALSE,"Model"}</definedName>
    <definedName name="wrn.Portrait._.letter._.is._5_3" localSheetId="3" hidden="1">{"portrait letter is",#N/A,FALSE,"Model"}</definedName>
    <definedName name="wrn.Portrait._.letter._.is._5_3" hidden="1">{"portrait letter is",#N/A,FALSE,"Model"}</definedName>
    <definedName name="wrn.Portrait._.letter._.is._5_4" localSheetId="3" hidden="1">{"portrait letter is",#N/A,FALSE,"Model"}</definedName>
    <definedName name="wrn.Portrait._.letter._.is._5_4" hidden="1">{"portrait letter is",#N/A,FALSE,"Model"}</definedName>
    <definedName name="wrn.Portrait._.letter._.is._5_5" localSheetId="3" hidden="1">{"portrait letter is",#N/A,FALSE,"Model"}</definedName>
    <definedName name="wrn.Portrait._.letter._.is._5_5" hidden="1">{"portrait letter is",#N/A,FALSE,"Model"}</definedName>
    <definedName name="wrn.ppp" localSheetId="3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pp_1" localSheetId="3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localSheetId="3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localSheetId="3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localSheetId="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localSheetId="3" hidden="1">{#N/A,#N/A,FALSE,"Financial";#N/A,#N/A,FALSE,"Balance Sheet";#N/A,#N/A,FALSE,"Income stmt";#N/A,#N/A,FALSE,"Ratio"}</definedName>
    <definedName name="wrn.pr1" hidden="1">{#N/A,#N/A,FALSE,"Financial";#N/A,#N/A,FALSE,"Balance Sheet";#N/A,#N/A,FALSE,"Income stmt";#N/A,#N/A,FALSE,"Ratio"}</definedName>
    <definedName name="wrn.PRBFinancials.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localSheetId="3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3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3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3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3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3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localSheetId="3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localSheetId="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localSheetId="3" hidden="1">{"Comp_of_Price_Effect",#N/A,FALSE,"QTRDPVAR"}</definedName>
    <definedName name="wrn.Price_Effect." hidden="1">{"Comp_of_Price_Effect",#N/A,FALSE,"QTRDPVAR"}</definedName>
    <definedName name="wrn.PrimeCo." localSheetId="3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2._.all." localSheetId="3" hidden="1">{#N/A,#N/A,FALSE,"Pharm";#N/A,#N/A,FALSE,"WWCM"}</definedName>
    <definedName name="wrn.prin2._.all." hidden="1">{#N/A,#N/A,FALSE,"Pharm";#N/A,#N/A,FALSE,"WWCM"}</definedName>
    <definedName name="wrn.prin2._.all._1" localSheetId="3" hidden="1">{#N/A,#N/A,FALSE,"Pharm";#N/A,#N/A,FALSE,"WWCM"}</definedName>
    <definedName name="wrn.prin2._.all._1" hidden="1">{#N/A,#N/A,FALSE,"Pharm";#N/A,#N/A,FALSE,"WWCM"}</definedName>
    <definedName name="wrn.prin2._.all._2" localSheetId="3" hidden="1">{#N/A,#N/A,FALSE,"Pharm";#N/A,#N/A,FALSE,"WWCM"}</definedName>
    <definedName name="wrn.prin2._.all._2" hidden="1">{#N/A,#N/A,FALSE,"Pharm";#N/A,#N/A,FALSE,"WWCM"}</definedName>
    <definedName name="wrn.prin2._.all._3" localSheetId="3" hidden="1">{#N/A,#N/A,FALSE,"Pharm";#N/A,#N/A,FALSE,"WWCM"}</definedName>
    <definedName name="wrn.prin2._.all._3" hidden="1">{#N/A,#N/A,FALSE,"Pharm";#N/A,#N/A,FALSE,"WWCM"}</definedName>
    <definedName name="wrn.prin2._.all._4" localSheetId="3" hidden="1">{#N/A,#N/A,FALSE,"Pharm";#N/A,#N/A,FALSE,"WWCM"}</definedName>
    <definedName name="wrn.prin2._.all._4" hidden="1">{#N/A,#N/A,FALSE,"Pharm";#N/A,#N/A,FALSE,"WWCM"}</definedName>
    <definedName name="wrn.prin3" localSheetId="3" hidden="1">{#N/A,#N/A,FALSE,"Pharm";#N/A,#N/A,FALSE,"WWCM"}</definedName>
    <definedName name="wrn.prin3" hidden="1">{#N/A,#N/A,FALSE,"Pharm";#N/A,#N/A,FALSE,"WWCM"}</definedName>
    <definedName name="wrn.prin3_1" localSheetId="3" hidden="1">{#N/A,#N/A,FALSE,"Pharm";#N/A,#N/A,FALSE,"WWCM"}</definedName>
    <definedName name="wrn.prin3_1" hidden="1">{#N/A,#N/A,FALSE,"Pharm";#N/A,#N/A,FALSE,"WWCM"}</definedName>
    <definedName name="wrn.prin3_2" localSheetId="3" hidden="1">{#N/A,#N/A,FALSE,"Pharm";#N/A,#N/A,FALSE,"WWCM"}</definedName>
    <definedName name="wrn.prin3_2" hidden="1">{#N/A,#N/A,FALSE,"Pharm";#N/A,#N/A,FALSE,"WWCM"}</definedName>
    <definedName name="wrn.prin3_3" localSheetId="3" hidden="1">{#N/A,#N/A,FALSE,"Pharm";#N/A,#N/A,FALSE,"WWCM"}</definedName>
    <definedName name="wrn.prin3_3" hidden="1">{#N/A,#N/A,FALSE,"Pharm";#N/A,#N/A,FALSE,"WWCM"}</definedName>
    <definedName name="wrn.prin3_4" localSheetId="3" hidden="1">{#N/A,#N/A,FALSE,"Pharm";#N/A,#N/A,FALSE,"WWCM"}</definedName>
    <definedName name="wrn.prin3_4" hidden="1">{#N/A,#N/A,FALSE,"Pharm";#N/A,#N/A,FALSE,"WWCM"}</definedName>
    <definedName name="wrn.prin5" localSheetId="3" hidden="1">{"Annual",#N/A,FALSE,"Sales &amp; Market";"Quarterly",#N/A,FALSE,"Sales &amp; Market"}</definedName>
    <definedName name="wrn.prin5" hidden="1">{"Annual",#N/A,FALSE,"Sales &amp; Market";"Quarterly",#N/A,FALSE,"Sales &amp; Market"}</definedName>
    <definedName name="wrn.print" localSheetId="3" hidden="1">{#N/A,#N/A,FALSE,"Pharm";#N/A,#N/A,FALSE,"WWCM"}</definedName>
    <definedName name="wrn.print" hidden="1">{#N/A,#N/A,FALSE,"Pharm";#N/A,#N/A,FALSE,"WWCM"}</definedName>
    <definedName name="wrn.PRINT." localSheetId="4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" localSheetId="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localSheetId="4" hidden="1">{"Outflow 1",#N/A,FALSE,"Outflows-Inflows";"Outflow 2",#N/A,FALSE,"Outflows-Inflows";"Inflow 1",#N/A,FALSE,"Outflows-Inflows";"Inflow 2",#N/A,FALSE,"Outflows-Inflows"}</definedName>
    <definedName name="wrn.Print._.4." localSheetId="3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localSheetId="4" hidden="1">{"Outflow 1",#N/A,FALSE,"Outflows-Inflows";"Outflow 2",#N/A,FALSE,"Outflows-Inflows";"Inflow 1",#N/A,FALSE,"Outflows-Inflows";"Inflow 2",#N/A,FALSE,"Outflows-Inflows"}</definedName>
    <definedName name="wrn.Print._.4._1" localSheetId="3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localSheetId="4" hidden="1">{"print 1.6",#N/A,FALSE,"Sheet1";"print 2.6",#N/A,FALSE,"Sheet1";"print 3.6",#N/A,FALSE,"Sheet1";"print 4.6",#N/A,FALSE,"Sheet1";"print 5.6",#N/A,FALSE,"Sheet1";"print 6.6",#N/A,FALSE,"Sheet1"}</definedName>
    <definedName name="wrn.Print._.6." localSheetId="3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localSheetId="4" hidden="1">{"print 1.6",#N/A,FALSE,"Sheet1";"print 2.6",#N/A,FALSE,"Sheet1";"print 3.6",#N/A,FALSE,"Sheet1";"print 4.6",#N/A,FALSE,"Sheet1";"print 5.6",#N/A,FALSE,"Sheet1";"print 6.6",#N/A,FALSE,"Sheet1"}</definedName>
    <definedName name="wrn.Print._.6._1" localSheetId="3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localSheetId="4" hidden="1">{"Gen Info",#N/A,FALSE,"Gen Info ";"Collateral",#N/A,FALSE,"Collateral";"Financial",#N/A,FALSE,"Financial";"Spread_INT",#N/A,FALSE,"Spread (INT) "}</definedName>
    <definedName name="wrn.print._.all." localSheetId="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localSheetId="3" hidden="1">{"GLI-Income Statement",#N/A,FALSE,"gli";"GLI - Balance Sheet Wksht",#N/A,FALSE,"gli";"GLI-Cash Flow",#N/A,FALSE,"gli";"GLI Qtrly Stats",#N/A,FALSE,"gli"}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localSheetId="3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localSheetId="3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localSheetId="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localSheetId="3" hidden="1">{#N/A,#N/A,FALSE,"Pharm";#N/A,#N/A,FALSE,"WWCM"}</definedName>
    <definedName name="wrn.PRINT._.ALL._1" hidden="1">{#N/A,#N/A,FALSE,"Pharm";#N/A,#N/A,FALSE,"WWCM"}</definedName>
    <definedName name="wrn.PRINT._.ALL._2" localSheetId="3" hidden="1">{#N/A,#N/A,FALSE,"Pharm";#N/A,#N/A,FALSE,"WWCM"}</definedName>
    <definedName name="wrn.PRINT._.ALL._2" hidden="1">{#N/A,#N/A,FALSE,"Pharm";#N/A,#N/A,FALSE,"WWCM"}</definedName>
    <definedName name="wrn.PRINT._.ALL._3" localSheetId="3" hidden="1">{#N/A,#N/A,FALSE,"Pharm";#N/A,#N/A,FALSE,"WWCM"}</definedName>
    <definedName name="wrn.PRINT._.ALL._3" hidden="1">{#N/A,#N/A,FALSE,"Pharm";#N/A,#N/A,FALSE,"WWCM"}</definedName>
    <definedName name="wrn.PRINT._.ALL._4" localSheetId="3" hidden="1">{#N/A,#N/A,FALSE,"Pharm";#N/A,#N/A,FALSE,"WWCM"}</definedName>
    <definedName name="wrn.PRINT._.ALL._4" hidden="1">{#N/A,#N/A,FALSE,"Pharm";#N/A,#N/A,FALSE,"WWCM"}</definedName>
    <definedName name="wrn.PRINT._.ALL.2" localSheetId="3" hidden="1">{#N/A,#N/A,FALSE,"Pharm";#N/A,#N/A,FALSE,"WWCM"}</definedName>
    <definedName name="wrn.PRINT._.ALL.2" hidden="1">{#N/A,#N/A,FALSE,"Pharm";#N/A,#N/A,FALSE,"WWCM"}</definedName>
    <definedName name="wrn.PRINT._.ALL.2_1" localSheetId="3" hidden="1">{#N/A,#N/A,FALSE,"Pharm";#N/A,#N/A,FALSE,"WWCM"}</definedName>
    <definedName name="wrn.PRINT._.ALL.2_1" hidden="1">{#N/A,#N/A,FALSE,"Pharm";#N/A,#N/A,FALSE,"WWCM"}</definedName>
    <definedName name="wrn.PRINT._.ALL.2_2" localSheetId="3" hidden="1">{#N/A,#N/A,FALSE,"Pharm";#N/A,#N/A,FALSE,"WWCM"}</definedName>
    <definedName name="wrn.PRINT._.ALL.2_2" hidden="1">{#N/A,#N/A,FALSE,"Pharm";#N/A,#N/A,FALSE,"WWCM"}</definedName>
    <definedName name="wrn.PRINT._.ALL.2_3" localSheetId="3" hidden="1">{#N/A,#N/A,FALSE,"Pharm";#N/A,#N/A,FALSE,"WWCM"}</definedName>
    <definedName name="wrn.PRINT._.ALL.2_3" hidden="1">{#N/A,#N/A,FALSE,"Pharm";#N/A,#N/A,FALSE,"WWCM"}</definedName>
    <definedName name="wrn.PRINT._.ALL.2_4" localSheetId="3" hidden="1">{#N/A,#N/A,FALSE,"Pharm";#N/A,#N/A,FALSE,"WWCM"}</definedName>
    <definedName name="wrn.PRINT._.ALL.2_4" hidden="1">{#N/A,#N/A,FALSE,"Pharm";#N/A,#N/A,FALSE,"WWCM"}</definedName>
    <definedName name="wrn.print._.all2" localSheetId="3" hidden="1">{#N/A,#N/A,FALSE,"Pharm";#N/A,#N/A,FALSE,"WWCM"}</definedName>
    <definedName name="wrn.print._.all2" hidden="1">{#N/A,#N/A,FALSE,"Pharm";#N/A,#N/A,FALSE,"WWCM"}</definedName>
    <definedName name="wrn.print._.all2_1" localSheetId="3" hidden="1">{#N/A,#N/A,FALSE,"Pharm";#N/A,#N/A,FALSE,"WWCM"}</definedName>
    <definedName name="wrn.print._.all2_1" hidden="1">{#N/A,#N/A,FALSE,"Pharm";#N/A,#N/A,FALSE,"WWCM"}</definedName>
    <definedName name="wrn.print._.all2_2" localSheetId="3" hidden="1">{#N/A,#N/A,FALSE,"Pharm";#N/A,#N/A,FALSE,"WWCM"}</definedName>
    <definedName name="wrn.print._.all2_2" hidden="1">{#N/A,#N/A,FALSE,"Pharm";#N/A,#N/A,FALSE,"WWCM"}</definedName>
    <definedName name="wrn.print._.all2_3" localSheetId="3" hidden="1">{#N/A,#N/A,FALSE,"Pharm";#N/A,#N/A,FALSE,"WWCM"}</definedName>
    <definedName name="wrn.print._.all2_3" hidden="1">{#N/A,#N/A,FALSE,"Pharm";#N/A,#N/A,FALSE,"WWCM"}</definedName>
    <definedName name="wrn.print._.all2_4" localSheetId="3" hidden="1">{#N/A,#N/A,FALSE,"Pharm";#N/A,#N/A,FALSE,"WWCM"}</definedName>
    <definedName name="wrn.print._.all2_4" hidden="1">{#N/A,#N/A,FALSE,"Pharm";#N/A,#N/A,FALSE,"WWCM"}</definedName>
    <definedName name="wrn.Print._.Analyst._.Comparison." localSheetId="4" hidden="1">{"comp_bob1",#N/A,FALSE,"Analyst Comparison";"comp_linnea1",#N/A,FALSE,"Analyst Comparison"}</definedName>
    <definedName name="wrn.Print._.Analyst._.Comparison." localSheetId="3" hidden="1">{"comp_bob1",#N/A,FALSE,"Analyst Comparison";"comp_linnea1",#N/A,FALSE,"Analyst Comparison"}</definedName>
    <definedName name="wrn.Print._.Analyst._.Comparison." hidden="1">{"comp_bob1",#N/A,FALSE,"Analyst Comparison";"comp_linnea1",#N/A,FALSE,"Analyst Comparison"}</definedName>
    <definedName name="wrn.Print._.Business._.Plan." localSheetId="4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localSheetId="3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localSheetId="4" hidden="1">{"dilution11",#N/A,FALSE,"Dillution Analyis";"dilution21",#N/A,FALSE,"Dillution Analyis";"dilution31",#N/A,FALSE,"Dillution Analyis"}</definedName>
    <definedName name="wrn.Print._.Dilution." localSheetId="3" hidden="1">{"dilution11",#N/A,FALSE,"Dillution Analyis";"dilution21",#N/A,FALSE,"Dillution Analyis";"dilution31",#N/A,FALSE,"Dillution Analyis"}</definedName>
    <definedName name="wrn.Print._.Dilution." hidden="1">{"dilution11",#N/A,FALSE,"Dillution Analyis";"dilution21",#N/A,FALSE,"Dillution Analyis";"dilution31",#N/A,FALSE,"Dillution Analyis"}</definedName>
    <definedName name="wrn.Print._.Europe._.TandB." localSheetId="3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3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Financials." localSheetId="4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inancials." localSheetId="3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localSheetId="3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4" hidden="1">{"cap_structure",#N/A,FALSE,"Graph-Mkt Cap";"price",#N/A,FALSE,"Graph-Price";"ebit",#N/A,FALSE,"Graph-EBITDA";"ebitda",#N/A,FALSE,"Graph-EBITDA"}</definedName>
    <definedName name="wrn.print._.graphs._1" localSheetId="3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localSheetId="3" hidden="1">{"off_at",#N/A,FALSE,"Off AT POT";"off_bt",#N/A,FALSE,"Off POT"}</definedName>
    <definedName name="wrn.print._.offshore." hidden="1">{"off_at",#N/A,FALSE,"Off AT POT";"off_bt",#N/A,FALSE,"Off POT"}</definedName>
    <definedName name="wrn.Print._.Out._.1." localSheetId="3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Out._.1._1" localSheetId="3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localSheetId="3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localSheetId="3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localSheetId="3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localSheetId="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localSheetId="3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localSheetId="3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localSheetId="3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localSheetId="3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localSheetId="3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localSheetId="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localSheetId="3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localSheetId="3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localSheetId="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localSheetId="3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localSheetId="3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localSheetId="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localSheetId="3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localSheetId="3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localSheetId="3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localSheetId="3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localSheetId="3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localSheetId="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localSheetId="3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localSheetId="3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localSheetId="3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localSheetId="3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localSheetId="3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localSheetId="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localSheetId="3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localSheetId="3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localSheetId="3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localSheetId="3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4" hidden="1">{"inputs raw data",#N/A,TRUE,"INPUT"}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raw._.data._.entry._1" localSheetId="4" hidden="1">{"inputs raw data",#N/A,TRUE,"INPUT"}</definedName>
    <definedName name="wrn.print._.raw._.data._.entry._1" localSheetId="3" hidden="1">{"inputs raw data",#N/A,TRUE,"INPUT"}</definedName>
    <definedName name="wrn.print._.raw._.data._.entry._1" hidden="1">{"inputs raw data",#N/A,TRUE,"INPUT"}</definedName>
    <definedName name="wrn.print._.raw._data._.entry2." localSheetId="3" hidden="1">{"inputs raw data",#N/A,TRUE,"INPUT"}</definedName>
    <definedName name="wrn.print._.raw._data._.entry2." hidden="1">{"inputs raw data",#N/A,TRUE,"INPUT"}</definedName>
    <definedName name="wrn.Print._.Report." localSheetId="4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3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localSheetId="3" hidden="1">{"SchA1",#N/A,FALSE,"Schedules";"SchA2",#N/A,FALSE,"Schedules"}</definedName>
    <definedName name="wrn.Print._.SchA." hidden="1">{"SchA1",#N/A,FALSE,"Schedules";"SchA2",#N/A,FALSE,"Schedules"}</definedName>
    <definedName name="wrn.Print._.SchB." localSheetId="3" hidden="1">{"SchB1",#N/A,FALSE,"Schedules";"SchB2",#N/A,FALSE,"Schedules"}</definedName>
    <definedName name="wrn.Print._.SchB." hidden="1">{"SchB1",#N/A,FALSE,"Schedules";"SchB2",#N/A,FALSE,"Schedules"}</definedName>
    <definedName name="WRN.PRINT._.SCHBB" localSheetId="3" hidden="1">{"SchB1",#N/A,FALSE,"Schedules";"SchB2",#N/A,FALSE,"Schedules"}</definedName>
    <definedName name="WRN.PRINT._.SCHBB" hidden="1">{"SchB1",#N/A,FALSE,"Schedules";"SchB2",#N/A,FALSE,"Schedules"}</definedName>
    <definedName name="wrn.Print._.SchC." localSheetId="3" hidden="1">{"SchC1",#N/A,FALSE,"Schedules";"SchC2",#N/A,FALSE,"Schedules"}</definedName>
    <definedName name="wrn.Print._.SchC." hidden="1">{"SchC1",#N/A,FALSE,"Schedules";"SchC2",#N/A,FALSE,"Schedules"}</definedName>
    <definedName name="wrn.Print._.SchD." localSheetId="3" hidden="1">{"SchD1",#N/A,FALSE,"Schedules";"SchD2",#N/A,FALSE,"Schedules"}</definedName>
    <definedName name="wrn.Print._.SchD." hidden="1">{"SchD1",#N/A,FALSE,"Schedules";"SchD2",#N/A,FALSE,"Schedules"}</definedName>
    <definedName name="wrn.Print._.SchE." localSheetId="3" hidden="1">{"SchE1",#N/A,FALSE,"Schedules";"SchE2",#N/A,FALSE,"Schedules"}</definedName>
    <definedName name="wrn.Print._.SchE." hidden="1">{"SchE1",#N/A,FALSE,"Schedules";"SchE2",#N/A,FALSE,"Schedules"}</definedName>
    <definedName name="wrn.Print._.SchF." localSheetId="3" hidden="1">{"SchF1",#N/A,FALSE,"Schedules";"SchF2",#N/A,FALSE,"Schedules"}</definedName>
    <definedName name="wrn.Print._.SchF." hidden="1">{"SchF1",#N/A,FALSE,"Schedules";"SchF2",#N/A,FALSE,"Schedules"}</definedName>
    <definedName name="wrn.Print._.SchG." localSheetId="3" hidden="1">{"SchG1",#N/A,FALSE,"Schedules";"SchG2",#N/A,FALSE,"Schedules"}</definedName>
    <definedName name="wrn.Print._.SchG." hidden="1">{"SchG1",#N/A,FALSE,"Schedules";"SchG2",#N/A,FALSE,"Schedules"}</definedName>
    <definedName name="wrn.Print._.SchH." localSheetId="3" hidden="1">{"SchH1",#N/A,FALSE,"Schedules";"SchH2",#N/A,FALSE,"Schedules"}</definedName>
    <definedName name="wrn.Print._.SchH." hidden="1">{"SchH1",#N/A,FALSE,"Schedules";"SchH2",#N/A,FALSE,"Schedules"}</definedName>
    <definedName name="wrn.Print._.SchI." localSheetId="3" hidden="1">{"SchI1",#N/A,FALSE,"Schedules";"SchI2",#N/A,FALSE,"Schedules"}</definedName>
    <definedName name="wrn.Print._.SchI." hidden="1">{"SchI1",#N/A,FALSE,"Schedules";"SchI2",#N/A,FALSE,"Schedules"}</definedName>
    <definedName name="wrn.Print._.SchJ." localSheetId="3" hidden="1">{"SchJ1",#N/A,FALSE,"Schedules";"SchJ2",#N/A,FALSE,"Schedules"}</definedName>
    <definedName name="wrn.Print._.SchJ." hidden="1">{"SchJ1",#N/A,FALSE,"Schedules";"SchJ2",#N/A,FALSE,"Schedules"}</definedName>
    <definedName name="wrn.Print._.SchK." localSheetId="3" hidden="1">{"SchK1",#N/A,FALSE,"Schedules";"SchK2",#N/A,FALSE,"Schedules"}</definedName>
    <definedName name="wrn.Print._.SchK." hidden="1">{"SchK1",#N/A,FALSE,"Schedules";"SchK2",#N/A,FALSE,"Schedules"}</definedName>
    <definedName name="wrn.Print._.SchL." localSheetId="3" hidden="1">{"SchL1",#N/A,FALSE,"Schedules";"SchL2",#N/A,FALSE,"Schedules"}</definedName>
    <definedName name="wrn.Print._.SchL." hidden="1">{"SchL1",#N/A,FALSE,"Schedules";"SchL2",#N/A,FALSE,"Schedules"}</definedName>
    <definedName name="wrn.print._.schm" localSheetId="3" hidden="1">{"SchL1",#N/A,FALSE,"Schedules";"SchL2",#N/A,FALSE,"Schedules"}</definedName>
    <definedName name="wrn.print._.schm" hidden="1">{"SchL1",#N/A,FALSE,"Schedules";"SchL2",#N/A,FALSE,"Schedules"}</definedName>
    <definedName name="wrn.Print._.SchM." localSheetId="3" hidden="1">{"SchM1",#N/A,FALSE,"Schedules";"SchM2",#N/A,FALSE,"Schedules"}</definedName>
    <definedName name="wrn.Print._.SchM." hidden="1">{"SchM1",#N/A,FALSE,"Schedules";"SchM2",#N/A,FALSE,"Schedules"}</definedName>
    <definedName name="wrn.Print._.SchN." localSheetId="3" hidden="1">{"SchN1",#N/A,FALSE,"Schedules"}</definedName>
    <definedName name="wrn.Print._.SchN." hidden="1">{"SchN1",#N/A,FALSE,"Schedules"}</definedName>
    <definedName name="wrn.print._.schp." localSheetId="3" hidden="1">{"SchD1",#N/A,FALSE,"Schedules";"SchD2",#N/A,FALSE,"Schedules"}</definedName>
    <definedName name="wrn.print._.schp." hidden="1">{"SchD1",#N/A,FALSE,"Schedules";"SchD2",#N/A,FALSE,"Schedules"}</definedName>
    <definedName name="wrn.print._.schz." localSheetId="3" hidden="1">{"SchH1",#N/A,FALSE,"Schedules";"SchH2",#N/A,FALSE,"Schedules"}</definedName>
    <definedName name="wrn.print._.schz." hidden="1">{"SchH1",#N/A,FALSE,"Schedules";"SchH2",#N/A,FALSE,"Schedules"}</definedName>
    <definedName name="wrn.Print._.SchZ.." localSheetId="3" hidden="1">{"SchE1",#N/A,FALSE,"Schedules";"SchE2",#N/A,FALSE,"Schedules"}</definedName>
    <definedName name="wrn.Print._.SchZ.." hidden="1">{"SchE1",#N/A,FALSE,"Schedules";"SchE2",#N/A,FALSE,"Schedules"}</definedName>
    <definedName name="wrn.print._.standalone." localSheetId="4" hidden="1">{"standalone1",#N/A,FALSE,"DCFBase";"standalone2",#N/A,FALSE,"DCFBase"}</definedName>
    <definedName name="wrn.print._.standalone." localSheetId="3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tandalone._1" localSheetId="3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localSheetId="3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localSheetId="3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localSheetId="3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localSheetId="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localSheetId="3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localSheetId="3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localSheetId="3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localSheetId="3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localSheetId="3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localSheetId="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localSheetId="3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localSheetId="3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localSheetId="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localSheetId="3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localSheetId="3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localSheetId="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localSheetId="3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localSheetId="3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localSheetId="3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localSheetId="3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localSheetId="3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localSheetId="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localSheetId="3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localSheetId="3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localSheetId="3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localSheetId="3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localSheetId="3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localSheetId="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localSheetId="3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localSheetId="3" hidden="1">{"Summ1",#N/A,FALSE,"Summary"}</definedName>
    <definedName name="wrn.Print._.summar" hidden="1">{"Summ1",#N/A,FALSE,"Summary"}</definedName>
    <definedName name="wrn.Print._.Summary." localSheetId="3" hidden="1">{"Summ1",#N/A,FALSE,"Summary"}</definedName>
    <definedName name="wrn.Print._.Summary." hidden="1">{"Summ1",#N/A,FALSE,"Summary"}</definedName>
    <definedName name="wrn.print._.summary._.sheets." localSheetId="4" hidden="1">{"summary1",#N/A,TRUE,"Comps";"summary2",#N/A,TRUE,"Comps";"summary3",#N/A,TRUE,"Comps"}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4" hidden="1">{"summary1",#N/A,TRUE,"Comps";"summary2",#N/A,TRUE,"Comps";"summary3",#N/A,TRUE,"Comps"}</definedName>
    <definedName name="wrn.print._.summary._.sheets._1" localSheetId="3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localSheetId="3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localSheetId="3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1" localSheetId="3" hidden="1">{#N/A,#N/A,FALSE,"Japan 2003";#N/A,#N/A,FALSE,"Sheet2"}</definedName>
    <definedName name="wrn.print._1" hidden="1">{#N/A,#N/A,FALSE,"Japan 2003";#N/A,#N/A,FALSE,"Sheet2"}</definedName>
    <definedName name="wrn.Print._1_1" localSheetId="3" hidden="1">{"vi1",#N/A,FALSE,"Financial Statements";"vi2",#N/A,FALSE,"Financial Statements";#N/A,#N/A,FALSE,"DCF"}</definedName>
    <definedName name="wrn.Print._1_1" hidden="1">{"vi1",#N/A,FALSE,"Financial Statements";"vi2",#N/A,FALSE,"Financial Statements";#N/A,#N/A,FALSE,"DCF"}</definedName>
    <definedName name="wrn.Print._1_2" localSheetId="3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localSheetId="3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localSheetId="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localSheetId="3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localSheetId="3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localSheetId="3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localSheetId="3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localSheetId="3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localSheetId="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localSheetId="3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localSheetId="3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localSheetId="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localSheetId="3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localSheetId="3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localSheetId="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localSheetId="3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localSheetId="3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localSheetId="3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localSheetId="3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localSheetId="3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localSheetId="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localSheetId="3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localSheetId="3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localSheetId="3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localSheetId="3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localSheetId="3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localSheetId="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localSheetId="3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localSheetId="3" hidden="1">{#N/A,#N/A,FALSE,"Pharm";#N/A,#N/A,FALSE,"WWCM"}</definedName>
    <definedName name="wrn.print._all1." hidden="1">{#N/A,#N/A,FALSE,"Pharm";#N/A,#N/A,FALSE,"WWCM"}</definedName>
    <definedName name="wrn.print._all1._1" localSheetId="3" hidden="1">{#N/A,#N/A,FALSE,"Pharm";#N/A,#N/A,FALSE,"WWCM"}</definedName>
    <definedName name="wrn.print._all1._1" hidden="1">{#N/A,#N/A,FALSE,"Pharm";#N/A,#N/A,FALSE,"WWCM"}</definedName>
    <definedName name="wrn.print._all1._2" localSheetId="3" hidden="1">{#N/A,#N/A,FALSE,"Pharm";#N/A,#N/A,FALSE,"WWCM"}</definedName>
    <definedName name="wrn.print._all1._2" hidden="1">{#N/A,#N/A,FALSE,"Pharm";#N/A,#N/A,FALSE,"WWCM"}</definedName>
    <definedName name="wrn.print._all1._3" localSheetId="3" hidden="1">{#N/A,#N/A,FALSE,"Pharm";#N/A,#N/A,FALSE,"WWCM"}</definedName>
    <definedName name="wrn.print._all1._3" hidden="1">{#N/A,#N/A,FALSE,"Pharm";#N/A,#N/A,FALSE,"WWCM"}</definedName>
    <definedName name="wrn.print._all1._4" localSheetId="3" hidden="1">{#N/A,#N/A,FALSE,"Pharm";#N/A,#N/A,FALSE,"WWCM"}</definedName>
    <definedName name="wrn.print._all1._4" hidden="1">{#N/A,#N/A,FALSE,"Pharm";#N/A,#N/A,FALSE,"WWCM"}</definedName>
    <definedName name="wrn.print_1" localSheetId="3" hidden="1">{#N/A,#N/A,FALSE,"Pharm";#N/A,#N/A,FALSE,"WWCM"}</definedName>
    <definedName name="wrn.print_1" hidden="1">{#N/A,#N/A,FALSE,"Pharm";#N/A,#N/A,FALSE,"WWCM"}</definedName>
    <definedName name="wrn.print_2" localSheetId="3" hidden="1">{#N/A,#N/A,FALSE,"Pharm";#N/A,#N/A,FALSE,"WWCM"}</definedName>
    <definedName name="wrn.print_2" hidden="1">{#N/A,#N/A,FALSE,"Pharm";#N/A,#N/A,FALSE,"WWCM"}</definedName>
    <definedName name="wrn.print_3" localSheetId="3" hidden="1">{#N/A,#N/A,FALSE,"Pharm";#N/A,#N/A,FALSE,"WWCM"}</definedName>
    <definedName name="wrn.print_3" hidden="1">{#N/A,#N/A,FALSE,"Pharm";#N/A,#N/A,FALSE,"WWCM"}</definedName>
    <definedName name="wrn.print_4" localSheetId="3" hidden="1">{#N/A,#N/A,FALSE,"Pharm";#N/A,#N/A,FALSE,"WWCM"}</definedName>
    <definedName name="wrn.print_4" hidden="1">{#N/A,#N/A,FALSE,"Pharm";#N/A,#N/A,FALSE,"WWCM"}</definedName>
    <definedName name="wrn.Print_All." localSheetId="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localSheetId="3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localSheetId="4" hidden="1">{"CSC_1",#N/A,FALSE,"CSC Outputs";"CSC_2",#N/A,FALSE,"CSC Outputs"}</definedName>
    <definedName name="wrn.Print_CSC." localSheetId="3" hidden="1">{"CSC_1",#N/A,FALSE,"CSC Outputs";"CSC_2",#N/A,FALSE,"CSC Outputs"}</definedName>
    <definedName name="wrn.Print_CSC." hidden="1">{"CSC_1",#N/A,FALSE,"CSC Outputs";"CSC_2",#N/A,FALSE,"CSC Outputs"}</definedName>
    <definedName name="wrn.Print_CSC2" localSheetId="3" hidden="1">{"CSC_1",#N/A,FALSE,"CSC Outputs";"CSC_2",#N/A,FALSE,"CSC Outputs"}</definedName>
    <definedName name="wrn.Print_CSC2" hidden="1">{"CSC_1",#N/A,FALSE,"CSC Outputs";"CSC_2",#N/A,FALSE,"CSC Outputs"}</definedName>
    <definedName name="wrn.Print_DCF." localSheetId="4" hidden="1">{"dcf_linnea1",#N/A,FALSE,"Discounted Cash Flow";"dcf_bob1",#N/A,FALSE,"Discounted Cash Flow";"dcf_bob21",#N/A,FALSE,"Discounted Cash Flow";"dcf_linnea21",#N/A,FALSE,"Discounted Cash Flow"}</definedName>
    <definedName name="wrn.Print_DCF." localSheetId="3" hidden="1">{"dcf_linnea1",#N/A,FALSE,"Discounted Cash Flow";"dcf_bob1",#N/A,FALSE,"Discounted Cash Flow";"dcf_bob21",#N/A,FALSE,"Discounted Cash Flow";"dcf_linnea21",#N/A,FALSE,"Discounted Cash Flow"}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localSheetId="3" hidden="1">{"Index",#N/A,FALSE,"Index"}</definedName>
    <definedName name="wrn.Print_Index." hidden="1">{"Index",#N/A,FALSE,"Index"}</definedName>
    <definedName name="wrn.Print_model.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localSheetId="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localSheetId="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 hidden="1">{"SCH15",#N/A,FALSE,"SCH15,16,85,86";"SCH16",#N/A,FALSE,"SCH15,16,85,86";"SCH85",#N/A,FALSE,"SCH15,16,85,86";"SCH86",#N/A,FALSE,"SCH15,16,85,86"}</definedName>
    <definedName name="wrn.print1." localSheetId="3" hidden="1">{"SCH15",#N/A,FALSE,"SCH15,16,85,86";"SCH16",#N/A,FALSE,"SCH15,16,85,86";"SCH85",#N/A,FALSE,"SCH15,16,85,86";"SCH86",#N/A,FALSE,"SCH15,16,85,86"}</definedName>
    <definedName name="wrn.print1." hidden="1">{"SCH15",#N/A,FALSE,"SCH15,16,85,86";"SCH16",#N/A,FALSE,"SCH15,16,85,86";"SCH85",#N/A,FALSE,"SCH15,16,85,86";"SCH86",#N/A,FALSE,"SCH15,16,85,86"}</definedName>
    <definedName name="wrn.print2" localSheetId="3" hidden="1">{#N/A,#N/A,FALSE,"Pharm";#N/A,#N/A,FALSE,"WWCM"}</definedName>
    <definedName name="wrn.print2" hidden="1">{#N/A,#N/A,FALSE,"Pharm";#N/A,#N/A,FALSE,"WWCM"}</definedName>
    <definedName name="wrn.PRINT2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localSheetId="3" hidden="1">{#N/A,#N/A,FALSE,"Pharm";#N/A,#N/A,FALSE,"WWCM"}</definedName>
    <definedName name="wrn.print2_1" hidden="1">{#N/A,#N/A,FALSE,"Pharm";#N/A,#N/A,FALSE,"WWCM"}</definedName>
    <definedName name="wrn.print2_2" localSheetId="3" hidden="1">{#N/A,#N/A,FALSE,"Pharm";#N/A,#N/A,FALSE,"WWCM"}</definedName>
    <definedName name="wrn.print2_2" hidden="1">{#N/A,#N/A,FALSE,"Pharm";#N/A,#N/A,FALSE,"WWCM"}</definedName>
    <definedName name="wrn.print2_3" localSheetId="3" hidden="1">{#N/A,#N/A,FALSE,"Pharm";#N/A,#N/A,FALSE,"WWCM"}</definedName>
    <definedName name="wrn.print2_3" hidden="1">{#N/A,#N/A,FALSE,"Pharm";#N/A,#N/A,FALSE,"WWCM"}</definedName>
    <definedName name="wrn.print2_4" localSheetId="3" hidden="1">{#N/A,#N/A,FALSE,"Pharm";#N/A,#N/A,FALSE,"WWCM"}</definedName>
    <definedName name="wrn.print2_4" hidden="1">{#N/A,#N/A,FALSE,"Pharm";#N/A,#N/A,FALSE,"WWCM"}</definedName>
    <definedName name="wrn.print3." localSheetId="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localSheetId="3" hidden="1">{#N/A,#N/A,FALSE,"Financial";#N/A,#N/A,FALSE,"Balance Sheet";#N/A,#N/A,FALSE,"Income stmt";#N/A,#N/A,FALSE,"Ratio"}</definedName>
    <definedName name="wrn.print5" hidden="1">{#N/A,#N/A,FALSE,"Financial";#N/A,#N/A,FALSE,"Balance Sheet";#N/A,#N/A,FALSE,"Income stmt";#N/A,#N/A,FALSE,"Ratio"}</definedName>
    <definedName name="wrn.PRINT90DAYSUM." localSheetId="3" hidden="1">{#N/A,#N/A,FALSE,"90day"}</definedName>
    <definedName name="wrn.PRINT90DAYSUM." hidden="1">{#N/A,#N/A,FALSE,"90day"}</definedName>
    <definedName name="wrn.printac." localSheetId="3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4" hidden="1">{"PA1",#N/A,TRUE,"BORDMW";"pa2",#N/A,TRUE,"BORDMW";"PA3",#N/A,TRUE,"BORDMW";"PA4",#N/A,TRUE,"BORDMW"}</definedName>
    <definedName name="wrn.PrintAll." localSheetId="3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All._1" localSheetId="3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localSheetId="3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localSheetId="3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localSheetId="3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localSheetId="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localSheetId="3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localSheetId="3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localSheetId="3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localSheetId="3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localSheetId="3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localSheetId="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localSheetId="3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localSheetId="3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localSheetId="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localSheetId="3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localSheetId="3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localSheetId="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localSheetId="3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localSheetId="3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localSheetId="3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localSheetId="3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localSheetId="3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localSheetId="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localSheetId="3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localSheetId="3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localSheetId="3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localSheetId="3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localSheetId="3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localSheetId="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localSheetId="3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localSheetId="3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localSheetId="3" hidden="1">{"printceo5",#N/A,FALSE,"CEO";"prints15",#N/A,FALSE,"S1";"printdepr5",#N/A,FALSE,"DEPR"}</definedName>
    <definedName name="wrn.printall5." hidden="1">{"printceo5",#N/A,FALSE,"CEO";"prints15",#N/A,FALSE,"S1";"printdepr5",#N/A,FALSE,"DEPR"}</definedName>
    <definedName name="wrn.printbc1." localSheetId="3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localSheetId="3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financialsmth." localSheetId="3" hidden="1">{"incomemth",#N/A,TRUE,"forecast00";"incomepercentmth",#N/A,TRUE,"forecast00";"balancemth",#N/A,TRUE,"forecast00";"cashmth",#N/A,TRUE,"forecast00";"covenantmth",#N/A,TRUE,"forecast00"}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localSheetId="4" hidden="1">{"SCH66",#N/A,FALSE,"SCH66";"SCH67",#N/A,FALSE,"SCH67";"SCH68",#N/A,FALSE,"SCH68";"SCH69",#N/A,FALSE,"SCH69";"SCH70",#N/A,FALSE,"SCH70"}</definedName>
    <definedName name="wrn.PRINTHR." localSheetId="3" hidden="1">{"SCH66",#N/A,FALSE,"SCH66";"SCH67",#N/A,FALSE,"SCH67";"SCH68",#N/A,FALSE,"SCH68";"SCH69",#N/A,FALSE,"SCH69";"SCH70",#N/A,FALSE,"SCH70"}</definedName>
    <definedName name="wrn.PRINTHR." hidden="1">{"SCH66",#N/A,FALSE,"SCH66";"SCH67",#N/A,FALSE,"SCH67";"SCH68",#N/A,FALSE,"SCH68";"SCH69",#N/A,FALSE,"SCH69";"SCH70",#N/A,FALSE,"SCH70"}</definedName>
    <definedName name="wrn.Printing._.Report." localSheetId="3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localSheetId="3" hidden="1">{#N/A,#N/A,FALSE,"Eastern";#N/A,#N/A,FALSE,"Western"}</definedName>
    <definedName name="wrn.Printing._.the._.transactions._.sheets." hidden="1">{#N/A,#N/A,FALSE,"Eastern";#N/A,#N/A,FALSE,"Western"}</definedName>
    <definedName name="wrn.PRINTMKTG." localSheetId="4" hidden="1">{"sch6",#N/A,FALSE,"SCH6";"sch7",#N/A,FALSE,"SCH7"}</definedName>
    <definedName name="wrn.PRINTMKTG." localSheetId="3" hidden="1">{"sch6",#N/A,FALSE,"SCH6";"sch7",#N/A,FALSE,"SCH7"}</definedName>
    <definedName name="wrn.PRINTMKTG." hidden="1">{"sch6",#N/A,FALSE,"SCH6";"sch7",#N/A,FALSE,"SCH7"}</definedName>
    <definedName name="wrn.Printout." localSheetId="3" hidden="1">{"page1",#N/A,FALSE,"Casual RLE";"page2",#N/A,FALSE,"Casual RLE"}</definedName>
    <definedName name="wrn.Printout." hidden="1">{"page1",#N/A,FALSE,"Casual RLE";"page2",#N/A,FALSE,"Casual RLE"}</definedName>
    <definedName name="wrn.PRINTPROD." localSheetId="4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localSheetId="3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localSheetId="3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localSheetId="3" hidden="1">{"PRINTREP",#N/A,FALSE,"Sheet1"}</definedName>
    <definedName name="wrn.PRINTREP." hidden="1">{"PRINTREP",#N/A,FALSE,"Sheet1"}</definedName>
    <definedName name="wrn.prn3" localSheetId="3" hidden="1">{#N/A,#N/A,FALSE,"Financial";#N/A,#N/A,FALSE,"Balance Sheet";#N/A,#N/A,FALSE,"Income stmt";#N/A,#N/A,FALSE,"Ratio"}</definedName>
    <definedName name="wrn.prn3" hidden="1">{#N/A,#N/A,FALSE,"Financial";#N/A,#N/A,FALSE,"Balance Sheet";#N/A,#N/A,FALSE,"Income stmt";#N/A,#N/A,FALSE,"Ratio"}</definedName>
    <definedName name="wrn.prn4" localSheetId="3" hidden="1">{#N/A,#N/A,FALSE,"Sales"}</definedName>
    <definedName name="wrn.prn4" hidden="1">{#N/A,#N/A,FALSE,"Sales"}</definedName>
    <definedName name="wrn.prn5" localSheetId="3" hidden="1">{#N/A,#N/A,FALSE,"Financial";#N/A,#N/A,FALSE,"Balance Sheet";#N/A,#N/A,FALSE,"Income stmt";#N/A,#N/A,FALSE,"Ratio"}</definedName>
    <definedName name="wrn.prn5" hidden="1">{#N/A,#N/A,FALSE,"Financial";#N/A,#N/A,FALSE,"Balance Sheet";#N/A,#N/A,FALSE,"Income stmt";#N/A,#N/A,FALSE,"Ratio"}</definedName>
    <definedName name="wrn.prn6" localSheetId="3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localSheetId="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localSheetId="4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localSheetId="3" hidden="1">{#N/A,#N/A,FALSE,"Synopsis";#N/A,#N/A,FALSE,"Summary";#N/A,#N/A,FALSE,"5 Year Analysis";#N/A,#N/A,FALSE,"InCenter Standards";#N/A,#N/A,FALSE,"Home Standards";#N/A,#N/A,FALSE,"Acute Standards"}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localSheetId="3" hidden="1">{#N/A,#N/A,FALSE,"Synopsis";#N/A,#N/A,FALSE,"Summary"}</definedName>
    <definedName name="wrn.Pro._.Formas_Brief." hidden="1">{#N/A,#N/A,FALSE,"Synopsis";#N/A,#N/A,FALSE,"Summary"}</definedName>
    <definedName name="wrn.PROD._.PLAN._.OPTION._.4." localSheetId="4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._.PLAN._.OPTION._.4." localSheetId="3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localSheetId="3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RODUCTION._.COSTS." localSheetId="3" hidden="1">{"PRODUCTION COSTS",#N/A,FALSE,"C.CENTRE"}</definedName>
    <definedName name="wrn.PRODUCTION._.COSTS." hidden="1">{"PRODUCTION COSTS",#N/A,FALSE,"C.CENTRE"}</definedName>
    <definedName name="wrn.products" localSheetId="3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3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localSheetId="3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localSheetId="3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localSheetId="3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localSheetId="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localSheetId="3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localSheetId="3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localSheetId="3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localSheetId="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localSheetId="3" hidden="1">{"Profile",#N/A,FALSE,"BXS"}</definedName>
    <definedName name="wrn.Profile." hidden="1">{"Profile",#N/A,FALSE,"BXS"}</definedName>
    <definedName name="wrn.PROFIT._.LOSS._.AC." localSheetId="3" hidden="1">{"PROFIT LOSS AC",#N/A,FALSE,"P&amp;L FY97"}</definedName>
    <definedName name="wrn.PROFIT._.LOSS._.AC." hidden="1">{"PROFIT LOSS AC",#N/A,FALSE,"P&amp;L FY97"}</definedName>
    <definedName name="wrn.profit._.p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localSheetId="3" hidden="1">{"profit split",#N/A,FALSE,"Profit Split"}</definedName>
    <definedName name="wrn.PROFIT._.SPLIT." hidden="1">{"profit split",#N/A,FALSE,"Profit Split"}</definedName>
    <definedName name="wrn.Profit._.V._.LY." localSheetId="3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localSheetId="3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localSheetId="3" hidden="1">{"רווה_מסכם",#N/A,FALSE,"p&amp;l";"באור_תפעול",#N/A,FALSE,"operation";"באור_מופ",#N/A,FALSE,"R&amp;D";"באור_שיווק",#N/A,FALSE,"M&amp;S";"באור_הנהלה",#N/A,FALSE,"g&amp;a"}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localSheetId="3" hidden="1">{"icd","icd",FALSE,"PROFORMA.XLS";"poly","poly",FALSE,"PROFORMA.XLS";"purper","purper",FALSE,"PROFORMA.XLS";"tchem","tchem",FALSE,"PROFORMA.XLS"}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localSheetId="3" hidden="1">{"PROFORMA CHECK BY DIVISION",#N/A,FALSE,"BSALLNOW.XLS"}</definedName>
    <definedName name="wrn.PROFORMA._.CHECK._.BY._.DIVISION." hidden="1">{"PROFORMA CHECK BY DIVISION",#N/A,FALSE,"BSALLNOW.XLS"}</definedName>
    <definedName name="wrn.PROGRAMS." localSheetId="4" hidden="1">{"sch52",#N/A,FALSE,"SCH52"}</definedName>
    <definedName name="wrn.PROGRAMS." localSheetId="3" hidden="1">{"sch52",#N/A,FALSE,"SCH52"}</definedName>
    <definedName name="wrn.PROGRAMS." hidden="1">{"sch52",#N/A,FALSE,"SCH52"}</definedName>
    <definedName name="wrn.Project._.Summary." localSheetId="3" hidden="1">{"Summary",#N/A,FALSE,"MICMULT";"Income Statement",#N/A,FALSE,"MICMULT";"Cash Flows",#N/A,FALSE,"MICMULT"}</definedName>
    <definedName name="wrn.Project._.Summary." hidden="1">{"Summary",#N/A,FALSE,"MICMULT";"Income Statement",#N/A,FALSE,"MICMULT";"Cash Flows",#N/A,FALSE,"MICMULT"}</definedName>
    <definedName name="wrn.pror" localSheetId="3" hidden="1">{#N/A,#N/A,FALSE,"Pharm";#N/A,#N/A,FALSE,"WWCM"}</definedName>
    <definedName name="wrn.pror" hidden="1">{#N/A,#N/A,FALSE,"Pharm";#N/A,#N/A,FALSE,"WWCM"}</definedName>
    <definedName name="wrn.pror_1" localSheetId="3" hidden="1">{#N/A,#N/A,FALSE,"Pharm";#N/A,#N/A,FALSE,"WWCM"}</definedName>
    <definedName name="wrn.pror_1" hidden="1">{#N/A,#N/A,FALSE,"Pharm";#N/A,#N/A,FALSE,"WWCM"}</definedName>
    <definedName name="wrn.pror_2" localSheetId="3" hidden="1">{#N/A,#N/A,FALSE,"Pharm";#N/A,#N/A,FALSE,"WWCM"}</definedName>
    <definedName name="wrn.pror_2" hidden="1">{#N/A,#N/A,FALSE,"Pharm";#N/A,#N/A,FALSE,"WWCM"}</definedName>
    <definedName name="wrn.pror_3" localSheetId="3" hidden="1">{#N/A,#N/A,FALSE,"Pharm";#N/A,#N/A,FALSE,"WWCM"}</definedName>
    <definedName name="wrn.pror_3" hidden="1">{#N/A,#N/A,FALSE,"Pharm";#N/A,#N/A,FALSE,"WWCM"}</definedName>
    <definedName name="wrn.pror_4" localSheetId="3" hidden="1">{#N/A,#N/A,FALSE,"Pharm";#N/A,#N/A,FALSE,"WWCM"}</definedName>
    <definedName name="wrn.pror_4" hidden="1">{#N/A,#N/A,FALSE,"Pharm";#N/A,#N/A,FALSE,"WWCM"}</definedName>
    <definedName name="wrn.Prosp." localSheetId="3" hidden="1">{"first page",#N/A,FALSE,"Cost_sheet";"second page",#N/A,FALSE,"Cost_sheet";"third page",#N/A,FALSE,"Cost_sheet"}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localSheetId="3" hidden="1">{"PTMOTSC1097",#N/A,FALSE,"MovimientosBBV$USA"}</definedName>
    <definedName name="wrn.PTMOTSC1097." hidden="1">{"PTMOTSC1097",#N/A,FALSE,"MovimientosBBV$USA"}</definedName>
    <definedName name="wrn.PUCSPADD." localSheetId="3" hidden="1">{#N/A,"PURCHM",FALSE,"Business Analysis";#N/A,"SPADD",FALSE,"Business Analysis"}</definedName>
    <definedName name="wrn.PUCSPADD." hidden="1">{#N/A,"PURCHM",FALSE,"Business Analysis";#N/A,"SPADD",FALSE,"Business Analysis"}</definedName>
    <definedName name="wrn.PUCSPADD.2" localSheetId="3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localSheetId="3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localSheetId="3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localSheetId="3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localSheetId="3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localSheetId="3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localSheetId="3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localSheetId="3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localSheetId="3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localSheetId="3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3" hidden="1">{"Pulp Production",#N/A,FALSE,"Pulp";"Pulp Earnings",#N/A,FALSE,"Pulp"}</definedName>
    <definedName name="wrn.Pulp._1" hidden="1">{"Pulp Production",#N/A,FALSE,"Pulp";"Pulp Earnings",#N/A,FALSE,"Pulp"}</definedName>
    <definedName name="wrn.Pulp._1_1" localSheetId="3" hidden="1">{"Pulp Production",#N/A,FALSE,"Pulp";"Pulp Earnings",#N/A,FALSE,"Pulp"}</definedName>
    <definedName name="wrn.Pulp._1_1" hidden="1">{"Pulp Production",#N/A,FALSE,"Pulp";"Pulp Earnings",#N/A,FALSE,"Pulp"}</definedName>
    <definedName name="wrn.Pulp._1_2" localSheetId="3" hidden="1">{"Pulp Production",#N/A,FALSE,"Pulp";"Pulp Earnings",#N/A,FALSE,"Pulp"}</definedName>
    <definedName name="wrn.Pulp._1_2" hidden="1">{"Pulp Production",#N/A,FALSE,"Pulp";"Pulp Earnings",#N/A,FALSE,"Pulp"}</definedName>
    <definedName name="wrn.Pulp._1_3" localSheetId="3" hidden="1">{"Pulp Production",#N/A,FALSE,"Pulp";"Pulp Earnings",#N/A,FALSE,"Pulp"}</definedName>
    <definedName name="wrn.Pulp._1_3" hidden="1">{"Pulp Production",#N/A,FALSE,"Pulp";"Pulp Earnings",#N/A,FALSE,"Pulp"}</definedName>
    <definedName name="wrn.Pulp._1_4" localSheetId="3" hidden="1">{"Pulp Production",#N/A,FALSE,"Pulp";"Pulp Earnings",#N/A,FALSE,"Pulp"}</definedName>
    <definedName name="wrn.Pulp._1_4" hidden="1">{"Pulp Production",#N/A,FALSE,"Pulp";"Pulp Earnings",#N/A,FALSE,"Pulp"}</definedName>
    <definedName name="wrn.Pulp._1_5" localSheetId="3" hidden="1">{"Pulp Production",#N/A,FALSE,"Pulp";"Pulp Earnings",#N/A,FALSE,"Pulp"}</definedName>
    <definedName name="wrn.Pulp._1_5" hidden="1">{"Pulp Production",#N/A,FALSE,"Pulp";"Pulp Earnings",#N/A,FALSE,"Pulp"}</definedName>
    <definedName name="wrn.Pulp._2" localSheetId="3" hidden="1">{"Pulp Production",#N/A,FALSE,"Pulp";"Pulp Earnings",#N/A,FALSE,"Pulp"}</definedName>
    <definedName name="wrn.Pulp._2" hidden="1">{"Pulp Production",#N/A,FALSE,"Pulp";"Pulp Earnings",#N/A,FALSE,"Pulp"}</definedName>
    <definedName name="wrn.Pulp._2_1" localSheetId="3" hidden="1">{"Pulp Production",#N/A,FALSE,"Pulp";"Pulp Earnings",#N/A,FALSE,"Pulp"}</definedName>
    <definedName name="wrn.Pulp._2_1" hidden="1">{"Pulp Production",#N/A,FALSE,"Pulp";"Pulp Earnings",#N/A,FALSE,"Pulp"}</definedName>
    <definedName name="wrn.Pulp._2_2" localSheetId="3" hidden="1">{"Pulp Production",#N/A,FALSE,"Pulp";"Pulp Earnings",#N/A,FALSE,"Pulp"}</definedName>
    <definedName name="wrn.Pulp._2_2" hidden="1">{"Pulp Production",#N/A,FALSE,"Pulp";"Pulp Earnings",#N/A,FALSE,"Pulp"}</definedName>
    <definedName name="wrn.Pulp._2_3" localSheetId="3" hidden="1">{"Pulp Production",#N/A,FALSE,"Pulp";"Pulp Earnings",#N/A,FALSE,"Pulp"}</definedName>
    <definedName name="wrn.Pulp._2_3" hidden="1">{"Pulp Production",#N/A,FALSE,"Pulp";"Pulp Earnings",#N/A,FALSE,"Pulp"}</definedName>
    <definedName name="wrn.Pulp._2_4" localSheetId="3" hidden="1">{"Pulp Production",#N/A,FALSE,"Pulp";"Pulp Earnings",#N/A,FALSE,"Pulp"}</definedName>
    <definedName name="wrn.Pulp._2_4" hidden="1">{"Pulp Production",#N/A,FALSE,"Pulp";"Pulp Earnings",#N/A,FALSE,"Pulp"}</definedName>
    <definedName name="wrn.Pulp._2_5" localSheetId="3" hidden="1">{"Pulp Production",#N/A,FALSE,"Pulp";"Pulp Earnings",#N/A,FALSE,"Pulp"}</definedName>
    <definedName name="wrn.Pulp._2_5" hidden="1">{"Pulp Production",#N/A,FALSE,"Pulp";"Pulp Earnings",#N/A,FALSE,"Pulp"}</definedName>
    <definedName name="wrn.Pulp._3" localSheetId="3" hidden="1">{"Pulp Production",#N/A,FALSE,"Pulp";"Pulp Earnings",#N/A,FALSE,"Pulp"}</definedName>
    <definedName name="wrn.Pulp._3" hidden="1">{"Pulp Production",#N/A,FALSE,"Pulp";"Pulp Earnings",#N/A,FALSE,"Pulp"}</definedName>
    <definedName name="wrn.Pulp._3_1" localSheetId="3" hidden="1">{"Pulp Production",#N/A,FALSE,"Pulp";"Pulp Earnings",#N/A,FALSE,"Pulp"}</definedName>
    <definedName name="wrn.Pulp._3_1" hidden="1">{"Pulp Production",#N/A,FALSE,"Pulp";"Pulp Earnings",#N/A,FALSE,"Pulp"}</definedName>
    <definedName name="wrn.Pulp._3_2" localSheetId="3" hidden="1">{"Pulp Production",#N/A,FALSE,"Pulp";"Pulp Earnings",#N/A,FALSE,"Pulp"}</definedName>
    <definedName name="wrn.Pulp._3_2" hidden="1">{"Pulp Production",#N/A,FALSE,"Pulp";"Pulp Earnings",#N/A,FALSE,"Pulp"}</definedName>
    <definedName name="wrn.Pulp._3_3" localSheetId="3" hidden="1">{"Pulp Production",#N/A,FALSE,"Pulp";"Pulp Earnings",#N/A,FALSE,"Pulp"}</definedName>
    <definedName name="wrn.Pulp._3_3" hidden="1">{"Pulp Production",#N/A,FALSE,"Pulp";"Pulp Earnings",#N/A,FALSE,"Pulp"}</definedName>
    <definedName name="wrn.Pulp._3_4" localSheetId="3" hidden="1">{"Pulp Production",#N/A,FALSE,"Pulp";"Pulp Earnings",#N/A,FALSE,"Pulp"}</definedName>
    <definedName name="wrn.Pulp._3_4" hidden="1">{"Pulp Production",#N/A,FALSE,"Pulp";"Pulp Earnings",#N/A,FALSE,"Pulp"}</definedName>
    <definedName name="wrn.Pulp._3_5" localSheetId="3" hidden="1">{"Pulp Production",#N/A,FALSE,"Pulp";"Pulp Earnings",#N/A,FALSE,"Pulp"}</definedName>
    <definedName name="wrn.Pulp._3_5" hidden="1">{"Pulp Production",#N/A,FALSE,"Pulp";"Pulp Earnings",#N/A,FALSE,"Pulp"}</definedName>
    <definedName name="wrn.Pulp._4" localSheetId="3" hidden="1">{"Pulp Production",#N/A,FALSE,"Pulp";"Pulp Earnings",#N/A,FALSE,"Pulp"}</definedName>
    <definedName name="wrn.Pulp._4" hidden="1">{"Pulp Production",#N/A,FALSE,"Pulp";"Pulp Earnings",#N/A,FALSE,"Pulp"}</definedName>
    <definedName name="wrn.Pulp._4_1" localSheetId="3" hidden="1">{"Pulp Production",#N/A,FALSE,"Pulp";"Pulp Earnings",#N/A,FALSE,"Pulp"}</definedName>
    <definedName name="wrn.Pulp._4_1" hidden="1">{"Pulp Production",#N/A,FALSE,"Pulp";"Pulp Earnings",#N/A,FALSE,"Pulp"}</definedName>
    <definedName name="wrn.Pulp._4_2" localSheetId="3" hidden="1">{"Pulp Production",#N/A,FALSE,"Pulp";"Pulp Earnings",#N/A,FALSE,"Pulp"}</definedName>
    <definedName name="wrn.Pulp._4_2" hidden="1">{"Pulp Production",#N/A,FALSE,"Pulp";"Pulp Earnings",#N/A,FALSE,"Pulp"}</definedName>
    <definedName name="wrn.Pulp._4_3" localSheetId="3" hidden="1">{"Pulp Production",#N/A,FALSE,"Pulp";"Pulp Earnings",#N/A,FALSE,"Pulp"}</definedName>
    <definedName name="wrn.Pulp._4_3" hidden="1">{"Pulp Production",#N/A,FALSE,"Pulp";"Pulp Earnings",#N/A,FALSE,"Pulp"}</definedName>
    <definedName name="wrn.Pulp._4_4" localSheetId="3" hidden="1">{"Pulp Production",#N/A,FALSE,"Pulp";"Pulp Earnings",#N/A,FALSE,"Pulp"}</definedName>
    <definedName name="wrn.Pulp._4_4" hidden="1">{"Pulp Production",#N/A,FALSE,"Pulp";"Pulp Earnings",#N/A,FALSE,"Pulp"}</definedName>
    <definedName name="wrn.Pulp._4_5" localSheetId="3" hidden="1">{"Pulp Production",#N/A,FALSE,"Pulp";"Pulp Earnings",#N/A,FALSE,"Pulp"}</definedName>
    <definedName name="wrn.Pulp._4_5" hidden="1">{"Pulp Production",#N/A,FALSE,"Pulp";"Pulp Earnings",#N/A,FALSE,"Pulp"}</definedName>
    <definedName name="wrn.Pulp._5" localSheetId="3" hidden="1">{"Pulp Production",#N/A,FALSE,"Pulp";"Pulp Earnings",#N/A,FALSE,"Pulp"}</definedName>
    <definedName name="wrn.Pulp._5" hidden="1">{"Pulp Production",#N/A,FALSE,"Pulp";"Pulp Earnings",#N/A,FALSE,"Pulp"}</definedName>
    <definedName name="wrn.Pulp._5_1" localSheetId="3" hidden="1">{"Pulp Production",#N/A,FALSE,"Pulp";"Pulp Earnings",#N/A,FALSE,"Pulp"}</definedName>
    <definedName name="wrn.Pulp._5_1" hidden="1">{"Pulp Production",#N/A,FALSE,"Pulp";"Pulp Earnings",#N/A,FALSE,"Pulp"}</definedName>
    <definedName name="wrn.Pulp._5_2" localSheetId="3" hidden="1">{"Pulp Production",#N/A,FALSE,"Pulp";"Pulp Earnings",#N/A,FALSE,"Pulp"}</definedName>
    <definedName name="wrn.Pulp._5_2" hidden="1">{"Pulp Production",#N/A,FALSE,"Pulp";"Pulp Earnings",#N/A,FALSE,"Pulp"}</definedName>
    <definedName name="wrn.Pulp._5_3" localSheetId="3" hidden="1">{"Pulp Production",#N/A,FALSE,"Pulp";"Pulp Earnings",#N/A,FALSE,"Pulp"}</definedName>
    <definedName name="wrn.Pulp._5_3" hidden="1">{"Pulp Production",#N/A,FALSE,"Pulp";"Pulp Earnings",#N/A,FALSE,"Pulp"}</definedName>
    <definedName name="wrn.Pulp._5_4" localSheetId="3" hidden="1">{"Pulp Production",#N/A,FALSE,"Pulp";"Pulp Earnings",#N/A,FALSE,"Pulp"}</definedName>
    <definedName name="wrn.Pulp._5_4" hidden="1">{"Pulp Production",#N/A,FALSE,"Pulp";"Pulp Earnings",#N/A,FALSE,"Pulp"}</definedName>
    <definedName name="wrn.Pulp._5_5" localSheetId="3" hidden="1">{"Pulp Production",#N/A,FALSE,"Pulp";"Pulp Earnings",#N/A,FALSE,"Pulp"}</definedName>
    <definedName name="wrn.Pulp._5_5" hidden="1">{"Pulp Production",#N/A,FALSE,"Pulp";"Pulp Earnings",#N/A,FALSE,"Pulp"}</definedName>
    <definedName name="wrn.Pulp.2" localSheetId="3" hidden="1">{"Pulp Production",#N/A,FALSE,"Pulp";"Pulp Earnings",#N/A,FALSE,"Pulp"}</definedName>
    <definedName name="wrn.Pulp.2" hidden="1">{"Pulp Production",#N/A,FALSE,"Pulp";"Pulp Earnings",#N/A,FALSE,"Pulp"}</definedName>
    <definedName name="wrn.Pulp.2_1" localSheetId="3" hidden="1">{"Pulp Production",#N/A,FALSE,"Pulp";"Pulp Earnings",#N/A,FALSE,"Pulp"}</definedName>
    <definedName name="wrn.Pulp.2_1" hidden="1">{"Pulp Production",#N/A,FALSE,"Pulp";"Pulp Earnings",#N/A,FALSE,"Pulp"}</definedName>
    <definedName name="wrn.Pulp.2_1_1" localSheetId="3" hidden="1">{"Pulp Production",#N/A,FALSE,"Pulp";"Pulp Earnings",#N/A,FALSE,"Pulp"}</definedName>
    <definedName name="wrn.Pulp.2_1_1" hidden="1">{"Pulp Production",#N/A,FALSE,"Pulp";"Pulp Earnings",#N/A,FALSE,"Pulp"}</definedName>
    <definedName name="wrn.Pulp.2_1_2" localSheetId="3" hidden="1">{"Pulp Production",#N/A,FALSE,"Pulp";"Pulp Earnings",#N/A,FALSE,"Pulp"}</definedName>
    <definedName name="wrn.Pulp.2_1_2" hidden="1">{"Pulp Production",#N/A,FALSE,"Pulp";"Pulp Earnings",#N/A,FALSE,"Pulp"}</definedName>
    <definedName name="wrn.Pulp.2_1_3" localSheetId="3" hidden="1">{"Pulp Production",#N/A,FALSE,"Pulp";"Pulp Earnings",#N/A,FALSE,"Pulp"}</definedName>
    <definedName name="wrn.Pulp.2_1_3" hidden="1">{"Pulp Production",#N/A,FALSE,"Pulp";"Pulp Earnings",#N/A,FALSE,"Pulp"}</definedName>
    <definedName name="wrn.Pulp.2_1_4" localSheetId="3" hidden="1">{"Pulp Production",#N/A,FALSE,"Pulp";"Pulp Earnings",#N/A,FALSE,"Pulp"}</definedName>
    <definedName name="wrn.Pulp.2_1_4" hidden="1">{"Pulp Production",#N/A,FALSE,"Pulp";"Pulp Earnings",#N/A,FALSE,"Pulp"}</definedName>
    <definedName name="wrn.Pulp.2_1_5" localSheetId="3" hidden="1">{"Pulp Production",#N/A,FALSE,"Pulp";"Pulp Earnings",#N/A,FALSE,"Pulp"}</definedName>
    <definedName name="wrn.Pulp.2_1_5" hidden="1">{"Pulp Production",#N/A,FALSE,"Pulp";"Pulp Earnings",#N/A,FALSE,"Pulp"}</definedName>
    <definedName name="wrn.Pulp.2_2" localSheetId="3" hidden="1">{"Pulp Production",#N/A,FALSE,"Pulp";"Pulp Earnings",#N/A,FALSE,"Pulp"}</definedName>
    <definedName name="wrn.Pulp.2_2" hidden="1">{"Pulp Production",#N/A,FALSE,"Pulp";"Pulp Earnings",#N/A,FALSE,"Pulp"}</definedName>
    <definedName name="wrn.Pulp.2_2_1" localSheetId="3" hidden="1">{"Pulp Production",#N/A,FALSE,"Pulp";"Pulp Earnings",#N/A,FALSE,"Pulp"}</definedName>
    <definedName name="wrn.Pulp.2_2_1" hidden="1">{"Pulp Production",#N/A,FALSE,"Pulp";"Pulp Earnings",#N/A,FALSE,"Pulp"}</definedName>
    <definedName name="wrn.Pulp.2_2_2" localSheetId="3" hidden="1">{"Pulp Production",#N/A,FALSE,"Pulp";"Pulp Earnings",#N/A,FALSE,"Pulp"}</definedName>
    <definedName name="wrn.Pulp.2_2_2" hidden="1">{"Pulp Production",#N/A,FALSE,"Pulp";"Pulp Earnings",#N/A,FALSE,"Pulp"}</definedName>
    <definedName name="wrn.Pulp.2_2_3" localSheetId="3" hidden="1">{"Pulp Production",#N/A,FALSE,"Pulp";"Pulp Earnings",#N/A,FALSE,"Pulp"}</definedName>
    <definedName name="wrn.Pulp.2_2_3" hidden="1">{"Pulp Production",#N/A,FALSE,"Pulp";"Pulp Earnings",#N/A,FALSE,"Pulp"}</definedName>
    <definedName name="wrn.Pulp.2_2_4" localSheetId="3" hidden="1">{"Pulp Production",#N/A,FALSE,"Pulp";"Pulp Earnings",#N/A,FALSE,"Pulp"}</definedName>
    <definedName name="wrn.Pulp.2_2_4" hidden="1">{"Pulp Production",#N/A,FALSE,"Pulp";"Pulp Earnings",#N/A,FALSE,"Pulp"}</definedName>
    <definedName name="wrn.Pulp.2_2_5" localSheetId="3" hidden="1">{"Pulp Production",#N/A,FALSE,"Pulp";"Pulp Earnings",#N/A,FALSE,"Pulp"}</definedName>
    <definedName name="wrn.Pulp.2_2_5" hidden="1">{"Pulp Production",#N/A,FALSE,"Pulp";"Pulp Earnings",#N/A,FALSE,"Pulp"}</definedName>
    <definedName name="wrn.Pulp.2_3" localSheetId="3" hidden="1">{"Pulp Production",#N/A,FALSE,"Pulp";"Pulp Earnings",#N/A,FALSE,"Pulp"}</definedName>
    <definedName name="wrn.Pulp.2_3" hidden="1">{"Pulp Production",#N/A,FALSE,"Pulp";"Pulp Earnings",#N/A,FALSE,"Pulp"}</definedName>
    <definedName name="wrn.Pulp.2_3_1" localSheetId="3" hidden="1">{"Pulp Production",#N/A,FALSE,"Pulp";"Pulp Earnings",#N/A,FALSE,"Pulp"}</definedName>
    <definedName name="wrn.Pulp.2_3_1" hidden="1">{"Pulp Production",#N/A,FALSE,"Pulp";"Pulp Earnings",#N/A,FALSE,"Pulp"}</definedName>
    <definedName name="wrn.Pulp.2_3_2" localSheetId="3" hidden="1">{"Pulp Production",#N/A,FALSE,"Pulp";"Pulp Earnings",#N/A,FALSE,"Pulp"}</definedName>
    <definedName name="wrn.Pulp.2_3_2" hidden="1">{"Pulp Production",#N/A,FALSE,"Pulp";"Pulp Earnings",#N/A,FALSE,"Pulp"}</definedName>
    <definedName name="wrn.Pulp.2_3_3" localSheetId="3" hidden="1">{"Pulp Production",#N/A,FALSE,"Pulp";"Pulp Earnings",#N/A,FALSE,"Pulp"}</definedName>
    <definedName name="wrn.Pulp.2_3_3" hidden="1">{"Pulp Production",#N/A,FALSE,"Pulp";"Pulp Earnings",#N/A,FALSE,"Pulp"}</definedName>
    <definedName name="wrn.Pulp.2_3_4" localSheetId="3" hidden="1">{"Pulp Production",#N/A,FALSE,"Pulp";"Pulp Earnings",#N/A,FALSE,"Pulp"}</definedName>
    <definedName name="wrn.Pulp.2_3_4" hidden="1">{"Pulp Production",#N/A,FALSE,"Pulp";"Pulp Earnings",#N/A,FALSE,"Pulp"}</definedName>
    <definedName name="wrn.Pulp.2_3_5" localSheetId="3" hidden="1">{"Pulp Production",#N/A,FALSE,"Pulp";"Pulp Earnings",#N/A,FALSE,"Pulp"}</definedName>
    <definedName name="wrn.Pulp.2_3_5" hidden="1">{"Pulp Production",#N/A,FALSE,"Pulp";"Pulp Earnings",#N/A,FALSE,"Pulp"}</definedName>
    <definedName name="wrn.Pulp.2_4" localSheetId="3" hidden="1">{"Pulp Production",#N/A,FALSE,"Pulp";"Pulp Earnings",#N/A,FALSE,"Pulp"}</definedName>
    <definedName name="wrn.Pulp.2_4" hidden="1">{"Pulp Production",#N/A,FALSE,"Pulp";"Pulp Earnings",#N/A,FALSE,"Pulp"}</definedName>
    <definedName name="wrn.Pulp.2_4_1" localSheetId="3" hidden="1">{"Pulp Production",#N/A,FALSE,"Pulp";"Pulp Earnings",#N/A,FALSE,"Pulp"}</definedName>
    <definedName name="wrn.Pulp.2_4_1" hidden="1">{"Pulp Production",#N/A,FALSE,"Pulp";"Pulp Earnings",#N/A,FALSE,"Pulp"}</definedName>
    <definedName name="wrn.Pulp.2_4_2" localSheetId="3" hidden="1">{"Pulp Production",#N/A,FALSE,"Pulp";"Pulp Earnings",#N/A,FALSE,"Pulp"}</definedName>
    <definedName name="wrn.Pulp.2_4_2" hidden="1">{"Pulp Production",#N/A,FALSE,"Pulp";"Pulp Earnings",#N/A,FALSE,"Pulp"}</definedName>
    <definedName name="wrn.Pulp.2_4_3" localSheetId="3" hidden="1">{"Pulp Production",#N/A,FALSE,"Pulp";"Pulp Earnings",#N/A,FALSE,"Pulp"}</definedName>
    <definedName name="wrn.Pulp.2_4_3" hidden="1">{"Pulp Production",#N/A,FALSE,"Pulp";"Pulp Earnings",#N/A,FALSE,"Pulp"}</definedName>
    <definedName name="wrn.Pulp.2_4_4" localSheetId="3" hidden="1">{"Pulp Production",#N/A,FALSE,"Pulp";"Pulp Earnings",#N/A,FALSE,"Pulp"}</definedName>
    <definedName name="wrn.Pulp.2_4_4" hidden="1">{"Pulp Production",#N/A,FALSE,"Pulp";"Pulp Earnings",#N/A,FALSE,"Pulp"}</definedName>
    <definedName name="wrn.Pulp.2_4_5" localSheetId="3" hidden="1">{"Pulp Production",#N/A,FALSE,"Pulp";"Pulp Earnings",#N/A,FALSE,"Pulp"}</definedName>
    <definedName name="wrn.Pulp.2_4_5" hidden="1">{"Pulp Production",#N/A,FALSE,"Pulp";"Pulp Earnings",#N/A,FALSE,"Pulp"}</definedName>
    <definedName name="wrn.Pulp.2_5" localSheetId="3" hidden="1">{"Pulp Production",#N/A,FALSE,"Pulp";"Pulp Earnings",#N/A,FALSE,"Pulp"}</definedName>
    <definedName name="wrn.Pulp.2_5" hidden="1">{"Pulp Production",#N/A,FALSE,"Pulp";"Pulp Earnings",#N/A,FALSE,"Pulp"}</definedName>
    <definedName name="wrn.Pulp.2_5_1" localSheetId="3" hidden="1">{"Pulp Production",#N/A,FALSE,"Pulp";"Pulp Earnings",#N/A,FALSE,"Pulp"}</definedName>
    <definedName name="wrn.Pulp.2_5_1" hidden="1">{"Pulp Production",#N/A,FALSE,"Pulp";"Pulp Earnings",#N/A,FALSE,"Pulp"}</definedName>
    <definedName name="wrn.Pulp.2_5_2" localSheetId="3" hidden="1">{"Pulp Production",#N/A,FALSE,"Pulp";"Pulp Earnings",#N/A,FALSE,"Pulp"}</definedName>
    <definedName name="wrn.Pulp.2_5_2" hidden="1">{"Pulp Production",#N/A,FALSE,"Pulp";"Pulp Earnings",#N/A,FALSE,"Pulp"}</definedName>
    <definedName name="wrn.Pulp.2_5_3" localSheetId="3" hidden="1">{"Pulp Production",#N/A,FALSE,"Pulp";"Pulp Earnings",#N/A,FALSE,"Pulp"}</definedName>
    <definedName name="wrn.Pulp.2_5_3" hidden="1">{"Pulp Production",#N/A,FALSE,"Pulp";"Pulp Earnings",#N/A,FALSE,"Pulp"}</definedName>
    <definedName name="wrn.Pulp.2_5_4" localSheetId="3" hidden="1">{"Pulp Production",#N/A,FALSE,"Pulp";"Pulp Earnings",#N/A,FALSE,"Pulp"}</definedName>
    <definedName name="wrn.Pulp.2_5_4" hidden="1">{"Pulp Production",#N/A,FALSE,"Pulp";"Pulp Earnings",#N/A,FALSE,"Pulp"}</definedName>
    <definedName name="wrn.Pulp.2_5_5" localSheetId="3" hidden="1">{"Pulp Production",#N/A,FALSE,"Pulp";"Pulp Earnings",#N/A,FALSE,"Pulp"}</definedName>
    <definedName name="wrn.Pulp.2_5_5" hidden="1">{"Pulp Production",#N/A,FALSE,"Pulp";"Pulp Earnings",#N/A,FALSE,"Pulp"}</definedName>
    <definedName name="wrn.Pulp.3" localSheetId="3" hidden="1">{"Pulp Production",#N/A,FALSE,"Pulp";"Pulp Earnings",#N/A,FALSE,"Pulp"}</definedName>
    <definedName name="wrn.Pulp.3" hidden="1">{"Pulp Production",#N/A,FALSE,"Pulp";"Pulp Earnings",#N/A,FALSE,"Pulp"}</definedName>
    <definedName name="wrn.Pulp.3_1" localSheetId="3" hidden="1">{"Pulp Production",#N/A,FALSE,"Pulp";"Pulp Earnings",#N/A,FALSE,"Pulp"}</definedName>
    <definedName name="wrn.Pulp.3_1" hidden="1">{"Pulp Production",#N/A,FALSE,"Pulp";"Pulp Earnings",#N/A,FALSE,"Pulp"}</definedName>
    <definedName name="wrn.Pulp.3_1_1" localSheetId="3" hidden="1">{"Pulp Production",#N/A,FALSE,"Pulp";"Pulp Earnings",#N/A,FALSE,"Pulp"}</definedName>
    <definedName name="wrn.Pulp.3_1_1" hidden="1">{"Pulp Production",#N/A,FALSE,"Pulp";"Pulp Earnings",#N/A,FALSE,"Pulp"}</definedName>
    <definedName name="wrn.Pulp.3_1_2" localSheetId="3" hidden="1">{"Pulp Production",#N/A,FALSE,"Pulp";"Pulp Earnings",#N/A,FALSE,"Pulp"}</definedName>
    <definedName name="wrn.Pulp.3_1_2" hidden="1">{"Pulp Production",#N/A,FALSE,"Pulp";"Pulp Earnings",#N/A,FALSE,"Pulp"}</definedName>
    <definedName name="wrn.Pulp.3_1_3" localSheetId="3" hidden="1">{"Pulp Production",#N/A,FALSE,"Pulp";"Pulp Earnings",#N/A,FALSE,"Pulp"}</definedName>
    <definedName name="wrn.Pulp.3_1_3" hidden="1">{"Pulp Production",#N/A,FALSE,"Pulp";"Pulp Earnings",#N/A,FALSE,"Pulp"}</definedName>
    <definedName name="wrn.Pulp.3_1_4" localSheetId="3" hidden="1">{"Pulp Production",#N/A,FALSE,"Pulp";"Pulp Earnings",#N/A,FALSE,"Pulp"}</definedName>
    <definedName name="wrn.Pulp.3_1_4" hidden="1">{"Pulp Production",#N/A,FALSE,"Pulp";"Pulp Earnings",#N/A,FALSE,"Pulp"}</definedName>
    <definedName name="wrn.Pulp.3_1_5" localSheetId="3" hidden="1">{"Pulp Production",#N/A,FALSE,"Pulp";"Pulp Earnings",#N/A,FALSE,"Pulp"}</definedName>
    <definedName name="wrn.Pulp.3_1_5" hidden="1">{"Pulp Production",#N/A,FALSE,"Pulp";"Pulp Earnings",#N/A,FALSE,"Pulp"}</definedName>
    <definedName name="wrn.Pulp.3_2" localSheetId="3" hidden="1">{"Pulp Production",#N/A,FALSE,"Pulp";"Pulp Earnings",#N/A,FALSE,"Pulp"}</definedName>
    <definedName name="wrn.Pulp.3_2" hidden="1">{"Pulp Production",#N/A,FALSE,"Pulp";"Pulp Earnings",#N/A,FALSE,"Pulp"}</definedName>
    <definedName name="wrn.Pulp.3_2_1" localSheetId="3" hidden="1">{"Pulp Production",#N/A,FALSE,"Pulp";"Pulp Earnings",#N/A,FALSE,"Pulp"}</definedName>
    <definedName name="wrn.Pulp.3_2_1" hidden="1">{"Pulp Production",#N/A,FALSE,"Pulp";"Pulp Earnings",#N/A,FALSE,"Pulp"}</definedName>
    <definedName name="wrn.Pulp.3_2_2" localSheetId="3" hidden="1">{"Pulp Production",#N/A,FALSE,"Pulp";"Pulp Earnings",#N/A,FALSE,"Pulp"}</definedName>
    <definedName name="wrn.Pulp.3_2_2" hidden="1">{"Pulp Production",#N/A,FALSE,"Pulp";"Pulp Earnings",#N/A,FALSE,"Pulp"}</definedName>
    <definedName name="wrn.Pulp.3_2_3" localSheetId="3" hidden="1">{"Pulp Production",#N/A,FALSE,"Pulp";"Pulp Earnings",#N/A,FALSE,"Pulp"}</definedName>
    <definedName name="wrn.Pulp.3_2_3" hidden="1">{"Pulp Production",#N/A,FALSE,"Pulp";"Pulp Earnings",#N/A,FALSE,"Pulp"}</definedName>
    <definedName name="wrn.Pulp.3_2_4" localSheetId="3" hidden="1">{"Pulp Production",#N/A,FALSE,"Pulp";"Pulp Earnings",#N/A,FALSE,"Pulp"}</definedName>
    <definedName name="wrn.Pulp.3_2_4" hidden="1">{"Pulp Production",#N/A,FALSE,"Pulp";"Pulp Earnings",#N/A,FALSE,"Pulp"}</definedName>
    <definedName name="wrn.Pulp.3_2_5" localSheetId="3" hidden="1">{"Pulp Production",#N/A,FALSE,"Pulp";"Pulp Earnings",#N/A,FALSE,"Pulp"}</definedName>
    <definedName name="wrn.Pulp.3_2_5" hidden="1">{"Pulp Production",#N/A,FALSE,"Pulp";"Pulp Earnings",#N/A,FALSE,"Pulp"}</definedName>
    <definedName name="wrn.Pulp.3_3" localSheetId="3" hidden="1">{"Pulp Production",#N/A,FALSE,"Pulp";"Pulp Earnings",#N/A,FALSE,"Pulp"}</definedName>
    <definedName name="wrn.Pulp.3_3" hidden="1">{"Pulp Production",#N/A,FALSE,"Pulp";"Pulp Earnings",#N/A,FALSE,"Pulp"}</definedName>
    <definedName name="wrn.Pulp.3_3_1" localSheetId="3" hidden="1">{"Pulp Production",#N/A,FALSE,"Pulp";"Pulp Earnings",#N/A,FALSE,"Pulp"}</definedName>
    <definedName name="wrn.Pulp.3_3_1" hidden="1">{"Pulp Production",#N/A,FALSE,"Pulp";"Pulp Earnings",#N/A,FALSE,"Pulp"}</definedName>
    <definedName name="wrn.Pulp.3_3_2" localSheetId="3" hidden="1">{"Pulp Production",#N/A,FALSE,"Pulp";"Pulp Earnings",#N/A,FALSE,"Pulp"}</definedName>
    <definedName name="wrn.Pulp.3_3_2" hidden="1">{"Pulp Production",#N/A,FALSE,"Pulp";"Pulp Earnings",#N/A,FALSE,"Pulp"}</definedName>
    <definedName name="wrn.Pulp.3_3_3" localSheetId="3" hidden="1">{"Pulp Production",#N/A,FALSE,"Pulp";"Pulp Earnings",#N/A,FALSE,"Pulp"}</definedName>
    <definedName name="wrn.Pulp.3_3_3" hidden="1">{"Pulp Production",#N/A,FALSE,"Pulp";"Pulp Earnings",#N/A,FALSE,"Pulp"}</definedName>
    <definedName name="wrn.Pulp.3_3_4" localSheetId="3" hidden="1">{"Pulp Production",#N/A,FALSE,"Pulp";"Pulp Earnings",#N/A,FALSE,"Pulp"}</definedName>
    <definedName name="wrn.Pulp.3_3_4" hidden="1">{"Pulp Production",#N/A,FALSE,"Pulp";"Pulp Earnings",#N/A,FALSE,"Pulp"}</definedName>
    <definedName name="wrn.Pulp.3_3_5" localSheetId="3" hidden="1">{"Pulp Production",#N/A,FALSE,"Pulp";"Pulp Earnings",#N/A,FALSE,"Pulp"}</definedName>
    <definedName name="wrn.Pulp.3_3_5" hidden="1">{"Pulp Production",#N/A,FALSE,"Pulp";"Pulp Earnings",#N/A,FALSE,"Pulp"}</definedName>
    <definedName name="wrn.Pulp.3_4" localSheetId="3" hidden="1">{"Pulp Production",#N/A,FALSE,"Pulp";"Pulp Earnings",#N/A,FALSE,"Pulp"}</definedName>
    <definedName name="wrn.Pulp.3_4" hidden="1">{"Pulp Production",#N/A,FALSE,"Pulp";"Pulp Earnings",#N/A,FALSE,"Pulp"}</definedName>
    <definedName name="wrn.Pulp.3_4_1" localSheetId="3" hidden="1">{"Pulp Production",#N/A,FALSE,"Pulp";"Pulp Earnings",#N/A,FALSE,"Pulp"}</definedName>
    <definedName name="wrn.Pulp.3_4_1" hidden="1">{"Pulp Production",#N/A,FALSE,"Pulp";"Pulp Earnings",#N/A,FALSE,"Pulp"}</definedName>
    <definedName name="wrn.Pulp.3_4_2" localSheetId="3" hidden="1">{"Pulp Production",#N/A,FALSE,"Pulp";"Pulp Earnings",#N/A,FALSE,"Pulp"}</definedName>
    <definedName name="wrn.Pulp.3_4_2" hidden="1">{"Pulp Production",#N/A,FALSE,"Pulp";"Pulp Earnings",#N/A,FALSE,"Pulp"}</definedName>
    <definedName name="wrn.Pulp.3_4_3" localSheetId="3" hidden="1">{"Pulp Production",#N/A,FALSE,"Pulp";"Pulp Earnings",#N/A,FALSE,"Pulp"}</definedName>
    <definedName name="wrn.Pulp.3_4_3" hidden="1">{"Pulp Production",#N/A,FALSE,"Pulp";"Pulp Earnings",#N/A,FALSE,"Pulp"}</definedName>
    <definedName name="wrn.Pulp.3_4_4" localSheetId="3" hidden="1">{"Pulp Production",#N/A,FALSE,"Pulp";"Pulp Earnings",#N/A,FALSE,"Pulp"}</definedName>
    <definedName name="wrn.Pulp.3_4_4" hidden="1">{"Pulp Production",#N/A,FALSE,"Pulp";"Pulp Earnings",#N/A,FALSE,"Pulp"}</definedName>
    <definedName name="wrn.Pulp.3_4_5" localSheetId="3" hidden="1">{"Pulp Production",#N/A,FALSE,"Pulp";"Pulp Earnings",#N/A,FALSE,"Pulp"}</definedName>
    <definedName name="wrn.Pulp.3_4_5" hidden="1">{"Pulp Production",#N/A,FALSE,"Pulp";"Pulp Earnings",#N/A,FALSE,"Pulp"}</definedName>
    <definedName name="wrn.Pulp.3_5" localSheetId="3" hidden="1">{"Pulp Production",#N/A,FALSE,"Pulp";"Pulp Earnings",#N/A,FALSE,"Pulp"}</definedName>
    <definedName name="wrn.Pulp.3_5" hidden="1">{"Pulp Production",#N/A,FALSE,"Pulp";"Pulp Earnings",#N/A,FALSE,"Pulp"}</definedName>
    <definedName name="wrn.Pulp.3_5_1" localSheetId="3" hidden="1">{"Pulp Production",#N/A,FALSE,"Pulp";"Pulp Earnings",#N/A,FALSE,"Pulp"}</definedName>
    <definedName name="wrn.Pulp.3_5_1" hidden="1">{"Pulp Production",#N/A,FALSE,"Pulp";"Pulp Earnings",#N/A,FALSE,"Pulp"}</definedName>
    <definedName name="wrn.Pulp.3_5_2" localSheetId="3" hidden="1">{"Pulp Production",#N/A,FALSE,"Pulp";"Pulp Earnings",#N/A,FALSE,"Pulp"}</definedName>
    <definedName name="wrn.Pulp.3_5_2" hidden="1">{"Pulp Production",#N/A,FALSE,"Pulp";"Pulp Earnings",#N/A,FALSE,"Pulp"}</definedName>
    <definedName name="wrn.Pulp.3_5_3" localSheetId="3" hidden="1">{"Pulp Production",#N/A,FALSE,"Pulp";"Pulp Earnings",#N/A,FALSE,"Pulp"}</definedName>
    <definedName name="wrn.Pulp.3_5_3" hidden="1">{"Pulp Production",#N/A,FALSE,"Pulp";"Pulp Earnings",#N/A,FALSE,"Pulp"}</definedName>
    <definedName name="wrn.Pulp.3_5_4" localSheetId="3" hidden="1">{"Pulp Production",#N/A,FALSE,"Pulp";"Pulp Earnings",#N/A,FALSE,"Pulp"}</definedName>
    <definedName name="wrn.Pulp.3_5_4" hidden="1">{"Pulp Production",#N/A,FALSE,"Pulp";"Pulp Earnings",#N/A,FALSE,"Pulp"}</definedName>
    <definedName name="wrn.Pulp.3_5_5" localSheetId="3" hidden="1">{"Pulp Production",#N/A,FALSE,"Pulp";"Pulp Earnings",#N/A,FALSE,"Pulp"}</definedName>
    <definedName name="wrn.Pulp.3_5_5" hidden="1">{"Pulp Production",#N/A,FALSE,"Pulp";"Pulp Earnings",#N/A,FALSE,"Pulp"}</definedName>
    <definedName name="wrn.pulp.4" localSheetId="3" hidden="1">{"Pulp Production",#N/A,FALSE,"Pulp";"Pulp Earnings",#N/A,FALSE,"Pulp"}</definedName>
    <definedName name="wrn.pulp.4" hidden="1">{"Pulp Production",#N/A,FALSE,"Pulp";"Pulp Earnings",#N/A,FALSE,"Pulp"}</definedName>
    <definedName name="wrn.Pump." localSheetId="4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localSheetId="3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localSheetId="4" hidden="1">{"Professional Service Summary",#N/A,FALSE,"Q3 Prof Serv"}</definedName>
    <definedName name="wrn.Q3._.Prof._.Serv._.Summary." localSheetId="3" hidden="1">{"Professional Service Summary",#N/A,FALSE,"Q3 Prof Serv"}</definedName>
    <definedName name="wrn.Q3._.Prof._.Serv._.Summary." hidden="1">{"Professional Service Summary",#N/A,FALSE,"Q3 Prof Serv"}</definedName>
    <definedName name="wrn.Q3._.Professional._.service._.detail." localSheetId="4" hidden="1">{"Professional Service Detail",#N/A,FALSE,"Q3 Prof Serv"}</definedName>
    <definedName name="wrn.Q3._.Professional._.service._.detail." localSheetId="3" hidden="1">{"Professional Service Detail",#N/A,FALSE,"Q3 Prof Serv"}</definedName>
    <definedName name="wrn.Q3._.Professional._.service._.detail." hidden="1">{"Professional Service Detail",#N/A,FALSE,"Q3 Prof Serv"}</definedName>
    <definedName name="wrn.QTD." localSheetId="3" hidden="1">{"QTD",#N/A,FALSE,"SUM"}</definedName>
    <definedName name="wrn.QTD." hidden="1">{"QTD",#N/A,FALSE,"SUM"}</definedName>
    <definedName name="wrn.QTD_ALL." localSheetId="3" hidden="1">{"QTD_LPO2N2",#N/A,FALSE,"QTD";"QTD_HYCO",#N/A,FALSE,"QTD";"QTD_LOUISIANA",#N/A,FALSE,"QTD";"QTD_GENERALH2",#N/A,FALSE,"QTD";"QTD_PACKAGE",#N/A,FALSE,"QTD";"QTD_PRS",#N/A,FALSE,"QTD";"QTD_OTHER",#N/A,FALSE,"QTD"}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localSheetId="3" hidden="1">{"QTD_GENERALH2",#N/A,FALSE,"QTD"}</definedName>
    <definedName name="wrn.QTD_GENERAL._.H2." hidden="1">{"QTD_GENERALH2",#N/A,FALSE,"QTD"}</definedName>
    <definedName name="wrn.QTD_HYCO." localSheetId="3" hidden="1">{"QTD_HYCO",#N/A,FALSE,"QTD"}</definedName>
    <definedName name="wrn.QTD_HYCO." hidden="1">{"QTD_HYCO",#N/A,FALSE,"QTD"}</definedName>
    <definedName name="wrn.QTD_LOUISIANA." localSheetId="3" hidden="1">{"QTD_LOUISIANA",#N/A,FALSE,"QTD"}</definedName>
    <definedName name="wrn.QTD_LOUISIANA." hidden="1">{"QTD_LOUISIANA",#N/A,FALSE,"QTD"}</definedName>
    <definedName name="wrn.QTD_LPTEO2N2." localSheetId="3" hidden="1">{"QTD_LPO2N2",#N/A,FALSE,"QTD"}</definedName>
    <definedName name="wrn.QTD_LPTEO2N2." hidden="1">{"QTD_LPO2N2",#N/A,FALSE,"QTD"}</definedName>
    <definedName name="wrn.QTD_OTHER." localSheetId="3" hidden="1">{"QTD_OTHER",#N/A,FALSE,"QTD"}</definedName>
    <definedName name="wrn.QTD_OTHER." hidden="1">{"QTD_OTHER",#N/A,FALSE,"QTD"}</definedName>
    <definedName name="wrn.QTD_PACKAGE." localSheetId="3" hidden="1">{"QTD_PACKAGE",#N/A,FALSE,"QTD"}</definedName>
    <definedName name="wrn.QTD_PACKAGE." hidden="1">{"QTD_PACKAGE",#N/A,FALSE,"QTD"}</definedName>
    <definedName name="wrn.QTD_PRS." localSheetId="3" hidden="1">{"QTD_PRS",#N/A,FALSE,"QTD"}</definedName>
    <definedName name="wrn.QTD_PRS." hidden="1">{"QTD_PRS",#N/A,FALSE,"QTD"}</definedName>
    <definedName name="wrn.qtr." localSheetId="3" hidden="1">{"byqtr",#N/A,FALSE,"Worksheet"}</definedName>
    <definedName name="wrn.qtr." hidden="1">{"byqtr",#N/A,FALSE,"Worksheet"}</definedName>
    <definedName name="wrn.Qtr._.Data." localSheetId="3" hidden="1">{"1999 by qtr",#N/A,FALSE,"Total_Company"}</definedName>
    <definedName name="wrn.Qtr._.Data." hidden="1">{"1999 by qtr",#N/A,FALSE,"Total_Company"}</definedName>
    <definedName name="wrn.Qtr._.Op._.Q1." localSheetId="3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1._1" localSheetId="3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localSheetId="3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localSheetId="3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localSheetId="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localSheetId="3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localSheetId="3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localSheetId="3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localSheetId="3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localSheetId="3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localSheetId="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localSheetId="3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localSheetId="3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localSheetId="3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localSheetId="3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localSheetId="3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localSheetId="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localSheetId="3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localSheetId="3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localSheetId="3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localSheetId="3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localSheetId="3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localSheetId="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localSheetId="3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localSheetId="3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localSheetId="3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localSheetId="3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localSheetId="3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localSheetId="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localSheetId="3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localSheetId="3" hidden="1">{#N/A,#N/A,FALSE,"SUMMARY";#N/A,#N/A,FALSE,"MTD";#N/A,#N/A,FALSE,"QTD";#N/A,#N/A,FALSE,"YTD"}</definedName>
    <definedName name="wrn.qtr._.review." hidden="1">{#N/A,#N/A,FALSE,"SUMMARY";#N/A,#N/A,FALSE,"MTD";#N/A,#N/A,FALSE,"QTD";#N/A,#N/A,FALSE,"YTD"}</definedName>
    <definedName name="wrn.qtr._.to._.issue." localSheetId="3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localSheetId="3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.Op._.Q4._1" localSheetId="3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localSheetId="3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localSheetId="3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localSheetId="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localSheetId="3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localSheetId="3" hidden="1">{"QTRLY1999",#N/A,FALSE,"QTRLY";"QTRLY2000",#N/A,FALSE,"QTRLY";"QTRLY2001",#N/A,FALSE,"QTRLY"}</definedName>
    <definedName name="wrn.QTRLY." hidden="1">{"QTRLY1999",#N/A,FALSE,"QTRLY";"QTRLY2000",#N/A,FALSE,"QTRLY";"QTRLY2001",#N/A,FALSE,"QTRLY"}</definedName>
    <definedName name="wrn.Qtrly._.Reports." localSheetId="3" hidden="1">{#N/A,#N/A,FALSE,"Current Qtr";#N/A,#N/A,FALSE,"YTD Qtr";#N/A,#N/A,FALSE,"Prior Qtr"}</definedName>
    <definedName name="wrn.Qtrly._.Reports." hidden="1">{#N/A,#N/A,FALSE,"Current Qtr";#N/A,#N/A,FALSE,"YTD Qtr";#N/A,#N/A,FALSE,"Prior Qtr"}</definedName>
    <definedName name="wrn.Quality._.Overview." localSheetId="3" hidden="1">{#N/A,#N/A,FALSE,"summary";#N/A,#N/A,FALSE,"Input"}</definedName>
    <definedName name="wrn.Quality._.Overview." hidden="1">{#N/A,#N/A,FALSE,"summary";#N/A,#N/A,FALSE,"Input"}</definedName>
    <definedName name="wrn.quart." localSheetId="4" hidden="1">{"quart",#N/A,FALSE,"quartfin"}</definedName>
    <definedName name="wrn.quart." localSheetId="3" hidden="1">{"quart",#N/A,FALSE,"quartfin"}</definedName>
    <definedName name="wrn.quart." hidden="1">{"quart",#N/A,FALSE,"quartfin"}</definedName>
    <definedName name="wrn.QUARTERLY." localSheetId="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localSheetId="3" hidden="1">{"Quarterly",#N/A,FALSE,"CONS"}</definedName>
    <definedName name="wrn.Quarterly._.Cons." hidden="1">{"Quarterly",#N/A,FALSE,"CONS"}</definedName>
    <definedName name="wrn.Quarterly._.MIFA._.Sheets." localSheetId="3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localSheetId="4" hidden="1">{"quartfin",#N/A,FALSE,"quartfin"}</definedName>
    <definedName name="wrn.quartfin." localSheetId="3" hidden="1">{"quartfin",#N/A,FALSE,"quartfin"}</definedName>
    <definedName name="wrn.quartfin." hidden="1">{"quartfin",#N/A,FALSE,"quartfin"}</definedName>
    <definedName name="wrn.Quick._.Print." localSheetId="3" hidden="1">{#N/A,#N/A,FALSE,"Summary";#N/A,#N/A,FALSE,"Data";#N/A,#N/A,FALSE,"Proj Op Inc";#N/A,#N/A,FALSE,"Proj CF";#N/A,#N/A,FALSE,"Proj Val"}</definedName>
    <definedName name="wrn.Quick._.Print." hidden="1">{#N/A,#N/A,FALSE,"Summary";#N/A,#N/A,FALSE,"Data";#N/A,#N/A,FALSE,"Proj Op Inc";#N/A,#N/A,FALSE,"Proj CF";#N/A,#N/A,FALSE,"Proj Val"}</definedName>
    <definedName name="wrn.QuickBook." localSheetId="3" hidden="1">{"DelHaas",#N/A,FALSE,"CONSMO95";"QuickBook",#N/A,FALSE,"CONSMO95"}</definedName>
    <definedName name="wrn.QuickBook." hidden="1">{"DelHaas",#N/A,FALSE,"CONSMO95";"QuickBook",#N/A,FALSE,"CONSMO95"}</definedName>
    <definedName name="wrn.RA." localSheetId="3" hidden="1">{"OKT4ARA",#N/A,FALSE,"OKT-4 RA"}</definedName>
    <definedName name="wrn.RA." hidden="1">{"OKT4ARA",#N/A,FALSE,"OKT-4 RA"}</definedName>
    <definedName name="wrn.Range._.Values." localSheetId="3" hidden="1">{"page1",#N/A,FALSE,"Range Value - Incl Reclasses";"page2",#N/A,FALSE,"Range Value - Incl Reclasses";"page3",#N/A,FALSE,"Range Value - Incl Reclasses"}</definedName>
    <definedName name="wrn.Range._.Values." hidden="1">{"page1",#N/A,FALSE,"Range Value - Incl Reclasses";"page2",#N/A,FALSE,"Range Value - Incl Reclasses";"page3",#N/A,FALSE,"Range Value - Incl Reclasses"}</definedName>
    <definedName name="wrn.rates." localSheetId="4" hidden="1">{"rates",#N/A,FALSE,"Summary"}</definedName>
    <definedName name="wrn.rates." localSheetId="3" hidden="1">{"rates",#N/A,FALSE,"Summary"}</definedName>
    <definedName name="wrn.rates." hidden="1">{"rates",#N/A,FALSE,"Summary"}</definedName>
    <definedName name="wrn.ratios." localSheetId="3" hidden="1">{"ratios",#N/A,FALSE,"Summary Accounts"}</definedName>
    <definedName name="wrn.ratios." hidden="1">{"ratios",#N/A,FALSE,"Summary Accounts"}</definedName>
    <definedName name="wrn.Receivables." localSheetId="3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localSheetId="3" hidden="1">{#N/A,#N/A,FALSE,"Sheet2"}</definedName>
    <definedName name="wrn.reco." hidden="1">{#N/A,#N/A,FALSE,"Sheet2"}</definedName>
    <definedName name="wrn.RECONCILIATION." localSheetId="3" hidden="1">{#N/A,#N/A,FALSE," RECONCILATION"}</definedName>
    <definedName name="wrn.RECONCILIATION." hidden="1">{#N/A,#N/A,FALSE," RECONCILATION"}</definedName>
    <definedName name="wrn.redo." localSheetId="3" hidden="1">{"overview",#N/A,FALSE,"summary";"net assets",#N/A,FALSE,"summary";"asset turnover",#N/A,FALSE,"summary";"orona",#N/A,FALSE,"summary"}</definedName>
    <definedName name="wrn.redo." hidden="1">{"overview",#N/A,FALSE,"summary";"net assets",#N/A,FALSE,"summary";"asset turnover",#N/A,FALSE,"summary";"orona",#N/A,FALSE,"summary"}</definedName>
    <definedName name="wrn.redo._.2." localSheetId="3" hidden="1">{"sales growth",#N/A,FALSE,"summary";"oper income",#N/A,FALSE,"summary";"oros rank",#N/A,FALSE,"summary";"net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localSheetId="3" hidden="1">{#N/A,#N/A,FALSE,"RF Inc Stmt";#N/A,#N/A,FALSE,"RF-IS-1";#N/A,#N/A,FALSE,"RF-IS-2"}</definedName>
    <definedName name="wrn.Reforcast._.Print." hidden="1">{#N/A,#N/A,FALSE,"RF Inc Stmt";#N/A,#N/A,FALSE,"RF-IS-1";#N/A,#N/A,FALSE,"RF-IS-2"}</definedName>
    <definedName name="wrn.Reforecast." localSheetId="3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localSheetId="3" hidden="1">{"reg_edition client",#N/A,FALSE,"Regressions"}</definedName>
    <definedName name="wrn.Régression_client." hidden="1">{"reg_edition client",#N/A,FALSE,"Regressions"}</definedName>
    <definedName name="wrn.Régression_travail." localSheetId="3" hidden="1">{"reg_travail",#N/A,FALSE,"Regressions"}</definedName>
    <definedName name="wrn.Régression_travail." hidden="1">{"reg_travail",#N/A,FALSE,"Regressions"}</definedName>
    <definedName name="wrn.régressions._.corrigées." localSheetId="3" hidden="1">{"regression corrigées",#N/A,FALSE,"Regressions"}</definedName>
    <definedName name="wrn.régressions._.corrigées." hidden="1">{"regression corrigées",#N/A,FALSE,"Regressions"}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4" hidden="1">{#N/A,#N/A,FALSE,"AD_Purch";#N/A,#N/A,FALSE,"Projections";#N/A,#N/A,FALSE,"DCF";#N/A,#N/A,FALSE,"Mkt Val"}</definedName>
    <definedName name="wrn.RELEVANTSHEETS." localSheetId="3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LEVANTSHEETS._1" localSheetId="3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localSheetId="3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localSheetId="3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localSheetId="3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localSheetId="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localSheetId="3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localSheetId="3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localSheetId="3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localSheetId="3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localSheetId="3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localSheetId="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localSheetId="3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localSheetId="3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localSheetId="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localSheetId="3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localSheetId="3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localSheetId="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localSheetId="3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localSheetId="3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localSheetId="3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localSheetId="3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localSheetId="3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localSheetId="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localSheetId="3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localSheetId="3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localSheetId="3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localSheetId="3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localSheetId="3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localSheetId="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localSheetId="3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localSheetId="3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4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" localSheetId="3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localSheetId="3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localSheetId="3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All." localSheetId="3" hidden="1">{"All4",#N/A,FALSE,"ConsolidatingBS"}</definedName>
    <definedName name="wrn.Report._.All." hidden="1">{"All4",#N/A,FALSE,"ConsolidatingBS"}</definedName>
    <definedName name="wrn.Report._.All3." localSheetId="3" hidden="1">{"All3",#N/A,FALSE,"ConsolidatingBS"}</definedName>
    <definedName name="wrn.Report._.All3." hidden="1">{"All3",#N/A,FALSE,"ConsolidatingBS"}</definedName>
    <definedName name="wrn.Report._.All5." localSheetId="3" hidden="1">{"All5",#N/A,FALSE,"ConsolidatingBS"}</definedName>
    <definedName name="wrn.Report._.All5." hidden="1">{"All5",#N/A,FALSE,"ConsolidatingBS"}</definedName>
    <definedName name="wrn.Report._.All6." localSheetId="3" hidden="1">{"All6",#N/A,FALSE,"ConsolidatingBS"}</definedName>
    <definedName name="wrn.Report._.All6." hidden="1">{"All6",#N/A,FALSE,"ConsolidatingBS"}</definedName>
    <definedName name="wrn.Report._.Consol1." localSheetId="3" hidden="1">{"Consol1",#N/A,FALSE,"ConsolidatingBS"}</definedName>
    <definedName name="wrn.Report._.Consol1." hidden="1">{"Consol1",#N/A,FALSE,"ConsolidatingBS"}</definedName>
    <definedName name="wrn.Report._.Consol10." localSheetId="3" hidden="1">{"Consol10",#N/A,FALSE,"ConsolidatingBS"}</definedName>
    <definedName name="wrn.Report._.Consol10." hidden="1">{"Consol10",#N/A,FALSE,"ConsolidatingBS"}</definedName>
    <definedName name="wrn.report._.set._.with._.311." localSheetId="4" hidden="1">{"summary report",#N/A,FALSE,"SUMMARY REPORT";"salary model ytd",#N/A,FALSE,"SALARY MODEL - YTD";"salary model mtd",#N/A,FALSE,"SALARY MODEL - MTD";"detail 311",#N/A,FALSE,"311 ACTUAL"}</definedName>
    <definedName name="wrn.report._.set._.with._.311.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localSheetId="3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localSheetId="4" hidden="1">{"summary report",#N/A,FALSE,"SUMMARY REPORT";"salary model ytd",#N/A,FALSE,"SALARY MODEL - YTD";"salary model mtd",#N/A,FALSE,"SALARY MODEL - MTD"}</definedName>
    <definedName name="wrn.report._.set._.without._.311." localSheetId="3" hidden="1">{"summary report",#N/A,FALSE,"SUMMARY REPORT";"salary model ytd",#N/A,FALSE,"SALARY MODEL - YTD";"salary model mtd",#N/A,FALSE,"SALARY MODEL - MTD"}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localSheetId="3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localSheetId="3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localSheetId="3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localSheetId="3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localSheetId="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localSheetId="3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localSheetId="3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localSheetId="3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localSheetId="3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localSheetId="3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localSheetId="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localSheetId="3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localSheetId="3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localSheetId="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localSheetId="3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localSheetId="3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localSheetId="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localSheetId="3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localSheetId="3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localSheetId="3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localSheetId="3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localSheetId="3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localSheetId="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localSheetId="3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localSheetId="3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localSheetId="3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localSheetId="3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localSheetId="3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localSheetId="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localSheetId="3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localSheetId="3" hidden="1">{#N/A,#N/A,FALSE,"COVER";#N/A,#N/A,FALSE,"FORECAST";#N/A,#N/A,FALSE,"VALUATION";#N/A,#N/A,FALSE,"FY ANALYSIS ";#N/A,#N/A,FALSE," HY ANALYSIS"}</definedName>
    <definedName name="wrn.Report._1" hidden="1">{#N/A,#N/A,FALSE,"COVER";#N/A,#N/A,FALSE,"FORECAST";#N/A,#N/A,FALSE,"VALUATION";#N/A,#N/A,FALSE,"FY ANALYSIS ";#N/A,#N/A,FALSE," HY ANALYSIS"}</definedName>
    <definedName name="wrn.Report._2" localSheetId="3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localSheetId="3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localSheetId="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localSheetId="3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localSheetId="3" hidden="1">{"summary",#N/A,FALSE,"2000 vs 1999";"detail",#N/A,FALSE,"2000 vs 1999"}</definedName>
    <definedName name="wrn.report.1" hidden="1">{"summary",#N/A,FALSE,"2000 vs 1999";"detail",#N/A,FALSE,"2000 vs 1999"}</definedName>
    <definedName name="wrn.report.2" localSheetId="3" hidden="1">{"summary",#N/A,FALSE,"2000 vs 1999";"detail",#N/A,FALSE,"2000 vs 1999"}</definedName>
    <definedName name="wrn.report.2" hidden="1">{"summary",#N/A,FALSE,"2000 vs 1999";"detail",#N/A,FALSE,"2000 vs 1999"}</definedName>
    <definedName name="wrn.report.3" localSheetId="3" hidden="1">{"summary",#N/A,FALSE,"2000 vs 1999";"detail",#N/A,FALSE,"2000 vs 1999"}</definedName>
    <definedName name="wrn.report.3" hidden="1">{"summary",#N/A,FALSE,"2000 vs 1999";"detail",#N/A,FALSE,"2000 vs 1999"}</definedName>
    <definedName name="wrn.report.4" localSheetId="3" hidden="1">{"summary",#N/A,FALSE,"2000 vs 1999";"detail",#N/A,FALSE,"2000 vs 1999"}</definedName>
    <definedName name="wrn.report.4" hidden="1">{"summary",#N/A,FALSE,"2000 vs 1999";"detail",#N/A,FALSE,"2000 vs 1999"}</definedName>
    <definedName name="wrn.report.5" localSheetId="3" hidden="1">{"summary",#N/A,FALSE,"2000 vs 1999";"detail",#N/A,FALSE,"2000 vs 1999"}</definedName>
    <definedName name="wrn.report.5" hidden="1">{"summary",#N/A,FALSE,"2000 vs 1999";"detail",#N/A,FALSE,"2000 vs 1999"}</definedName>
    <definedName name="wrn.report.6" localSheetId="3" hidden="1">{"summary",#N/A,FALSE,"2000 vs 1999";"detail",#N/A,FALSE,"2000 vs 1999"}</definedName>
    <definedName name="wrn.report.6" hidden="1">{"summary",#N/A,FALSE,"2000 vs 1999";"detail",#N/A,FALSE,"2000 vs 1999"}</definedName>
    <definedName name="wrn.report.new" localSheetId="3" hidden="1">{"summary",#N/A,FALSE,"2000 vs 1999";"detail",#N/A,FALSE,"2000 vs 1999"}</definedName>
    <definedName name="wrn.report.new" hidden="1">{"summary",#N/A,FALSE,"2000 vs 1999";"detail",#N/A,FALSE,"2000 vs 1999"}</definedName>
    <definedName name="wrn.report.new.1" localSheetId="3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localSheetId="3" hidden="1">{"summary",#N/A,FALSE,"2000 vs 1999";"detail",#N/A,FALSE,"2000 vs 1999"}</definedName>
    <definedName name="wrn.report.new.5" hidden="1">{"summary",#N/A,FALSE,"2000 vs 1999";"detail",#N/A,FALSE,"2000 vs 1999"}</definedName>
    <definedName name="wrn.report.new1" localSheetId="3" hidden="1">{"summary",#N/A,FALSE,"2000 vs 1999";"detail",#N/A,FALSE,"2000 vs 1999"}</definedName>
    <definedName name="wrn.report.new1" hidden="1">{"summary",#N/A,FALSE,"2000 vs 1999";"detail",#N/A,FALSE,"2000 vs 1999"}</definedName>
    <definedName name="wrn.report.new2" localSheetId="3" hidden="1">{"summary",#N/A,FALSE,"2000 vs 1999";"detail",#N/A,FALSE,"2000 vs 1999"}</definedName>
    <definedName name="wrn.report.new2" hidden="1">{"summary",#N/A,FALSE,"2000 vs 1999";"detail",#N/A,FALSE,"2000 vs 1999"}</definedName>
    <definedName name="wrn.Report_Page." localSheetId="3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_PR_1." localSheetId="3" hidden="1">{"PR1","pr1",TRUE,"Sch PR-1"}</definedName>
    <definedName name="wrn.Report_PR_1." hidden="1">{"PR1","pr1",TRUE,"Sch PR-1"}</definedName>
    <definedName name="wrn.report1" localSheetId="3" hidden="1">{"summary",#N/A,FALSE,"2000 vs 1999";"detail",#N/A,FALSE,"2000 vs 1999"}</definedName>
    <definedName name="wrn.report1" hidden="1">{"summary",#N/A,FALSE,"2000 vs 1999";"detail",#N/A,FALSE,"2000 vs 1999"}</definedName>
    <definedName name="wrn.Report1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localSheetId="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localSheetId="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localSheetId="4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Only." localSheetId="3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localSheetId="4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._.to._.EBITDARM." localSheetId="3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localSheetId="4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quest._.and._.sheets." localSheetId="3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ProductH._.AND._.DEVELOPMENT." localSheetId="3" hidden="1">{"R &amp; D",#N/A,FALSE,"Research and Development"}</definedName>
    <definedName name="wrn.RESEProductH._.AND._.DEVELOPMENT." hidden="1">{"R &amp; D",#N/A,FALSE,"Research and Development"}</definedName>
    <definedName name="wrn.RESERVE._.SCHEDULE." localSheetId="4" hidden="1">{#N/A,#N/A,FALSE,"Sheet8";#N/A,#N/A,FALSE,"Sheet7"}</definedName>
    <definedName name="wrn.RESERVE._.SCHEDULE." localSheetId="3" hidden="1">{#N/A,#N/A,FALSE,"Sheet8";#N/A,#N/A,FALSE,"Sheet7"}</definedName>
    <definedName name="wrn.RESERVE._.SCHEDULE." hidden="1">{#N/A,#N/A,FALSE,"Sheet8";#N/A,#N/A,FALSE,"Sheet7"}</definedName>
    <definedName name="wrn.Résultats_édition._.client." localSheetId="3" hidden="1">{"résultats_édition client",#N/A,FALSE,"Résultats"}</definedName>
    <definedName name="wrn.Résultats_édition._.client." hidden="1">{"résultats_édition client",#N/A,FALSE,"Résultats"}</definedName>
    <definedName name="wrn.Résultats_travail." localSheetId="3" hidden="1">{"res_travail",#N/A,FALSE,"Résultats"}</definedName>
    <definedName name="wrn.Résultats_travail." hidden="1">{"res_travail",#N/A,FALSE,"Résultats"}</definedName>
    <definedName name="wrn.RESULTS." localSheetId="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localSheetId="3" hidden="1">{"Summary Schedule",#N/A,FALSE,"Sheet1";"Divisional Support",#N/A,FALSE,"Sheet2";"Corporate Support",#N/A,FALSE,"Sheet3"}</definedName>
    <definedName name="wrn.Return._.on._.Capital." hidden="1">{"Summary Schedule",#N/A,FALSE,"Sheet1";"Divisional Support",#N/A,FALSE,"Sheet2";"Corporate Support",#N/A,FALSE,"Sheet3"}</definedName>
    <definedName name="wrn.Returns." localSheetId="3" hidden="1">{"Structure",#N/A,FALSE,"Structure";"Ownership",#N/A,FALSE,"Ownership";"IRR Calc",#N/A,FALSE,"Returns Summary";"IRR Table",#N/A,FALSE,"Returns Summary"}</definedName>
    <definedName name="wrn.Returns." hidden="1">{"Structure",#N/A,FALSE,"Structure";"Ownership",#N/A,FALSE,"Ownership";"IRR Calc",#N/A,FALSE,"Returns Summary";"IRR Table",#N/A,FALSE,"Returns Summary"}</definedName>
    <definedName name="wrn.revenue._.detail." localSheetId="4" hidden="1">{"revenue detail 1",#N/A,FALSE,"Revenue Detail";"revenue detail 2",#N/A,FALSE,"Revenue Detail";"revenue detail 3",#N/A,FALSE,"Revenue Detail";"revenue detail 4",#N/A,FALSE,"Revenue Detail"}</definedName>
    <definedName name="wrn.revenue._.detail." localSheetId="3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localSheetId="4" hidden="1">{"revenue graph",#N/A,FALSE,"Revenue Graph"}</definedName>
    <definedName name="wrn.revenue._.graph." localSheetId="3" hidden="1">{"revenue graph",#N/A,FALSE,"Revenue Graph"}</definedName>
    <definedName name="wrn.revenue._.graph." hidden="1">{"revenue graph",#N/A,FALSE,"Revenue Graph"}</definedName>
    <definedName name="wrn.revenue._.historical." localSheetId="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localSheetId="4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all." localSheetId="3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localSheetId="4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1" localSheetId="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localSheetId="3" hidden="1">{"review",#N/A,FALSE,"FACTSHT"}</definedName>
    <definedName name="wrn.review1." hidden="1">{"review",#N/A,FALSE,"FACTSHT"}</definedName>
    <definedName name="wrn.revised._.CEC._.slides." localSheetId="3" hidden="1">{#N/A,#N/A,FALSE,"Revised cover";#N/A,#N/A,FALSE,"Trends";"main view",#N/A,FALSE,"As Reported";#N/A,#N/A,FALSE,"delegations";#N/A,#N/A,FALSE,"(un) Commited"}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localSheetId="3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EVSUMMARY." localSheetId="4" hidden="1">{"commiss",#N/A,FALSE,"chgdbsz.XLS";"reven",#N/A,FALSE,"chgdbsz.XLS"}</definedName>
    <definedName name="wrn.REVSUMMARY." localSheetId="3" hidden="1">{"commiss",#N/A,FALSE,"chgdbsz.XLS";"reven",#N/A,FALSE,"chgdbsz.XLS"}</definedName>
    <definedName name="wrn.REVSUMMARY." hidden="1">{"commiss",#N/A,FALSE,"chgdbsz.XLS";"reven",#N/A,FALSE,"chgdbsz.XLS"}</definedName>
    <definedName name="wrn.Riverwood_comp_model.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localSheetId="4" hidden="1">{#N/A,#N/A,FALSE,"Sch 1";#N/A,#N/A,FALSE,"Sch 2";#N/A,#N/A,FALSE,"Sch 3b";#N/A,#N/A,FALSE,"Sch 3a";#N/A,#N/A,FALSE,"Main DCF";#N/A,#N/A,FALSE,"Sch 5";#N/A,#N/A,FALSE,"Assumptions"}</definedName>
    <definedName name="wrn.riverwood_dcf." localSheetId="3" hidden="1">{#N/A,#N/A,FALSE,"Sch 1";#N/A,#N/A,FALSE,"Sch 2";#N/A,#N/A,FALSE,"Sch 3b";#N/A,#N/A,FALSE,"Sch 3a";#N/A,#N/A,FALSE,"Main DCF";#N/A,#N/A,FALSE,"Sch 5";#N/A,#N/A,FALSE,"Assumptions"}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localSheetId="4" hidden="1">{"Ypl",#N/A,FALSE,"YR";"Ycash",#N/A,FALSE,"YR";"Qpl",#N/A,FALSE,"QTR";"Qcash",#N/A,FALSE,"QTR";"Mpl",#N/A,FALSE,"Month";"Mcash",#N/A,FALSE,"Month";"grph1",#N/A,FALSE,"graphs";"Grph2",#N/A,FALSE,"graphs"}</definedName>
    <definedName name="wrn.ROI." localSheetId="3" hidden="1">{"Ypl",#N/A,FALSE,"YR";"Ycash",#N/A,FALSE,"YR";"Qpl",#N/A,FALSE,"QTR";"Qcash",#N/A,FALSE,"QTR";"Mpl",#N/A,FALSE,"Month";"Mcash",#N/A,FALSE,"Month";"grph1",#N/A,FALSE,"graphs";"Grph2",#N/A,FALSE,"graphs"}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localSheetId="3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localSheetId="3" hidden="1">{#N/A,#N/A,FALSE,"ROA";#N/A,#N/A,FALSE,"ROI";#N/A,#N/A,FALSE,"EBIT";#N/A,#N/A,FALSE,"MULT X"}</definedName>
    <definedName name="wrn.ROUGH." hidden="1">{#N/A,#N/A,FALSE,"ROA";#N/A,#N/A,FALSE,"ROI";#N/A,#N/A,FALSE,"EBIT";#N/A,#N/A,FALSE,"MULT X"}</definedName>
    <definedName name="wrn.ROYALTIES." localSheetId="3" hidden="1">{"Royalties",#N/A,FALSE,"Royalty Computations"}</definedName>
    <definedName name="wrn.ROYALTIES." hidden="1">{"Royalties",#N/A,FALSE,"Royalty Computations"}</definedName>
    <definedName name="wrn.royalty." localSheetId="3" hidden="1">{"intron",#N/A,FALSE,"REVCDLR";"merck",#N/A,FALSE,"REVCDLR";"skb",#N/A,FALSE,"REVCDLR"}</definedName>
    <definedName name="wrn.royalty." hidden="1">{"intron",#N/A,FALSE,"REVCDLR";"merck",#N/A,FALSE,"REVCDLR";"skb",#N/A,FALSE,"REVCDLR"}</definedName>
    <definedName name="wrn.royalty._.plan._.1998." localSheetId="3" hidden="1">{"LICENSEE SALES",#N/A,FALSE,"LICENSEE8_13_97";"Sales and royalties",#N/A,FALSE,"LICENSEE8_13_97";"sales summary",#N/A,FALSE,"LICENSEE8_13_97";"royalty plan",#N/A,FALSE,"8_14_97lrp"}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localSheetId="3" hidden="1">{#N/A,#N/A,FALSE,"BS";#N/A,#N/A,FALSE,"IS";#N/A,#N/A,FALSE,"RMA ";#N/A,#N/A,FALSE,"ADJ IS";#N/A,#N/A,FALSE,"DCF"}</definedName>
    <definedName name="wrn.rptexhibits." hidden="1">{#N/A,#N/A,FALSE,"BS";#N/A,#N/A,FALSE,"IS";#N/A,#N/A,FALSE,"RMA ";#N/A,#N/A,FALSE,"ADJ IS";#N/A,#N/A,FALSE,"DCF"}</definedName>
    <definedName name="wrn.rpts." localSheetId="3" hidden="1">{#N/A,#N/A,TRUE,"Services";#N/A,#N/A,TRUE,"Sales - QM";#N/A,#N/A,TRUE,"Sales - HC";#N/A,#N/A,TRUE,"Int'l";#N/A,#N/A,TRUE,"PW Institute";#N/A,#N/A,TRUE,"Mktg Dept";#N/A,#N/A,TRUE,"R&amp;D";#N/A,#N/A,TRUE,"G&amp;A"}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localSheetId="3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localSheetId="3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 localSheetId="4" hidden="1">{#N/A,#N/A,FALSE,"Sheet1"}</definedName>
    <definedName name="wrn.sales." localSheetId="3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ALES._1" localSheetId="3" hidden="1">{#N/A,#N/A,FALSE,"Sheet1"}</definedName>
    <definedName name="wrn.SALES._1" hidden="1">{#N/A,#N/A,FALSE,"Sheet1"}</definedName>
    <definedName name="wrn.sales._1_1" localSheetId="3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2" localSheetId="3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localSheetId="3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localSheetId="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localSheetId="3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localSheetId="3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localSheetId="3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localSheetId="3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localSheetId="3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localSheetId="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localSheetId="3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localSheetId="3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localSheetId="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localSheetId="3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localSheetId="3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localSheetId="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localSheetId="3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localSheetId="3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localSheetId="3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localSheetId="3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localSheetId="3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localSheetId="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localSheetId="3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localSheetId="3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localSheetId="3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localSheetId="3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localSheetId="3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localSheetId="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localSheetId="3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localSheetId="3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localSheetId="4" hidden="1">{"Salesass",#N/A,FALSE,"assumpt"}</definedName>
    <definedName name="wrn.salesassum." localSheetId="3" hidden="1">{"Salesass",#N/A,FALSE,"assumpt"}</definedName>
    <definedName name="wrn.salesassum." hidden="1">{"Salesass",#N/A,FALSE,"assumpt"}</definedName>
    <definedName name="wrn.SalesMarginPages." localSheetId="3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localSheetId="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localSheetId="3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localSheetId="4" hidden="1">{"SCH46",#N/A,FALSE,"sch46"}</definedName>
    <definedName name="wrn.SCH46." localSheetId="3" hidden="1">{"SCH46",#N/A,FALSE,"sch46"}</definedName>
    <definedName name="wrn.SCH46." hidden="1">{"SCH46",#N/A,FALSE,"sch46"}</definedName>
    <definedName name="wrn.SCH51." localSheetId="4" hidden="1">{"SCH51",#N/A,FALSE,"monthly"}</definedName>
    <definedName name="wrn.SCH51." localSheetId="3" hidden="1">{"SCH51",#N/A,FALSE,"monthly"}</definedName>
    <definedName name="wrn.SCH51." hidden="1">{"SCH51",#N/A,FALSE,"monthly"}</definedName>
    <definedName name="wrn.SCH52." localSheetId="4" hidden="1">{"SCH52",#N/A,FALSE,"sch52"}</definedName>
    <definedName name="wrn.SCH52." localSheetId="3" hidden="1">{"SCH52",#N/A,FALSE,"sch52"}</definedName>
    <definedName name="wrn.SCH52." hidden="1">{"SCH52",#N/A,FALSE,"sch52"}</definedName>
    <definedName name="wrn.SCH57." localSheetId="4" hidden="1">{"SCH57",#N/A,FALSE,"monthly"}</definedName>
    <definedName name="wrn.SCH57." localSheetId="3" hidden="1">{"SCH57",#N/A,FALSE,"monthly"}</definedName>
    <definedName name="wrn.SCH57." hidden="1">{"SCH57",#N/A,FALSE,"monthly"}</definedName>
    <definedName name="wrn.SCH58." localSheetId="4" hidden="1">{"sch58",#N/A,FALSE,"SCH58"}</definedName>
    <definedName name="wrn.SCH58." localSheetId="3" hidden="1">{"sch58",#N/A,FALSE,"SCH58"}</definedName>
    <definedName name="wrn.SCH58." hidden="1">{"sch58",#N/A,FALSE,"SCH58"}</definedName>
    <definedName name="wrn.Schedule._.A." localSheetId="3" hidden="1">{#N/A,#N/A,FALSE,"ALLOFFSUM-A1"}</definedName>
    <definedName name="wrn.Schedule._.A." hidden="1">{#N/A,#N/A,FALSE,"ALLOFFSUM-A1"}</definedName>
    <definedName name="wrn.Schedule_1A." localSheetId="3" hidden="1">{"Schedule_IA",#N/A,FALSE,"I-A"}</definedName>
    <definedName name="wrn.Schedule_1A." hidden="1">{"Schedule_IA",#N/A,FALSE,"I-A"}</definedName>
    <definedName name="wrn.Schedule_1B." localSheetId="3" hidden="1">{"Schedule_1B",#N/A,FALSE,"I-B"}</definedName>
    <definedName name="wrn.Schedule_1B." hidden="1">{"Schedule_1B",#N/A,FALSE,"I-B"}</definedName>
    <definedName name="wrn.Schedule_1C." localSheetId="3" hidden="1">{"Schedule_1C",#N/A,FALSE,"I-C"}</definedName>
    <definedName name="wrn.Schedule_1C." hidden="1">{"Schedule_1C",#N/A,FALSE,"I-C"}</definedName>
    <definedName name="wrn.Schedule_1D." localSheetId="3" hidden="1">{"Schedule_1D",#N/A,FALSE,"I-D"}</definedName>
    <definedName name="wrn.Schedule_1D." hidden="1">{"Schedule_1D",#N/A,FALSE,"I-D"}</definedName>
    <definedName name="wrn.Schedule_I." localSheetId="3" hidden="1">{"Schedule_I",#N/A,FALSE,"I"}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localSheetId="4" hidden="1">{"SCH29",#N/A,FALSE,"segments";"SCH30",#N/A,FALSE,"segments"}</definedName>
    <definedName name="wrn.SEGMENT." localSheetId="3" hidden="1">{"SCH29",#N/A,FALSE,"segments";"SCH30",#N/A,FALSE,"segments"}</definedName>
    <definedName name="wrn.SEGMENT." hidden="1">{"SCH29",#N/A,FALSE,"segments";"SCH30",#N/A,FALSE,"segments"}</definedName>
    <definedName name="wrn.Segments." localSheetId="3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localSheetId="3" hidden="1">{#N/A,"Mine Allocated, Sell AC",FALSE,"INPUTS";#N/A,"All Preferred, Sell AC",FALSE,"INPUTS";#N/A,"Step Up, Sell AC",FALSE,"INPUTS"}</definedName>
    <definedName name="wrn.Sell._.AC._.Scenarios." hidden="1">{#N/A,"Mine Allocated, Sell AC",FALSE,"INPUTS";#N/A,"All Preferred, Sell AC",FALSE,"INPUTS";#N/A,"Step Up, Sell AC",FALSE,"INPUTS"}</definedName>
    <definedName name="wrn.SELLING._.CALCULATION." localSheetId="3" hidden="1">{"selling",#N/A,FALSE,"Selling Expense"}</definedName>
    <definedName name="wrn.SELLING._.CALCULATION." hidden="1">{"selling",#N/A,FALSE,"Selling Expense"}</definedName>
    <definedName name="wrn.sens." localSheetId="3" hidden="1">{#N/A,#N/A,FALSE,"Sensitivities";#N/A,#N/A,FALSE,"Sensitivities2"}</definedName>
    <definedName name="wrn.sens." hidden="1">{#N/A,#N/A,FALSE,"Sensitivities";#N/A,#N/A,FALSE,"Sensitivities2"}</definedName>
    <definedName name="wrn.sensitivity." localSheetId="3" hidden="1">{"sensitivity",#N/A,FALSE,"Sensitivity"}</definedName>
    <definedName name="wrn.sensitivity." hidden="1">{"sensitivity",#N/A,FALSE,"Sensitivity"}</definedName>
    <definedName name="wrn.sensitivity._.analyses." localSheetId="3" hidden="1">{"general",#N/A,FALSE,"Assumptions"}</definedName>
    <definedName name="wrn.sensitivity._.analyses." hidden="1">{"general",#N/A,FALSE,"Assumptions"}</definedName>
    <definedName name="wrn.Sensitivity._.Analysis." localSheetId="3" hidden="1">{#N/A,#N/A,FALSE,"Fully Finance $65";#N/A,#N/A,FALSE,"Indian in the Cupboard $65";#N/A,#N/A,FALSE,"Fully Finance $70";#N/A,#N/A,FALSE,"Indian in the Cupboard $70";#N/A,#N/A,FALSE,"Summary"}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localSheetId="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localSheetId="3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localSheetId="3" hidden="1">{#N/A,#N/A,FALSE,"High";#N/A,#N/A,FALSE,"Low";#N/A,#N/A,FALSE,"MarketCap";#N/A,#N/A,FALSE,"Alpha"}</definedName>
    <definedName name="wrn.Set." hidden="1">{#N/A,#N/A,FALSE,"High";#N/A,#N/A,FALSE,"Low";#N/A,#N/A,FALSE,"MarketCap";#N/A,#N/A,FALSE,"Alpha"}</definedName>
    <definedName name="wrn.Seven._.Page." localSheetId="3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localSheetId="3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localSheetId="3" hidden="1">{#N/A,#N/A,TRUE,"Cover";#N/A,#N/A,TRUE,"Header (eu)";#N/A,#N/A,TRUE,"Region Charts";#N/A,#N/A,TRUE,"T&amp;O By Region";#N/A,#N/A,TRUE,"AD Report"}</definedName>
    <definedName name="wrn.Shart._.Report1" hidden="1">{#N/A,#N/A,TRUE,"Cover";#N/A,#N/A,TRUE,"Header (eu)";#N/A,#N/A,TRUE,"Region Charts";#N/A,#N/A,TRUE,"T&amp;O By Region";#N/A,#N/A,TRUE,"AD Report"}</definedName>
    <definedName name="wrn.SHORT." localSheetId="4" hidden="1">{"CREDIT STATISTICS",#N/A,FALSE,"STATS";"CF_AND_IS",#N/A,FALSE,"PLAN";"BALSHEET",#N/A,FALSE,"BALANCE SHEET"}</definedName>
    <definedName name="wrn.SHORT." localSheetId="3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Form.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localSheetId="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localSheetId="4" hidden="1">{#N/A,#N/A,FALSE,"Summary";#N/A,#N/A,FALSE,"Returns";#N/A,#N/A,FALSE,"Opening BS";#N/A,#N/A,FALSE,"EMO";#N/A,#N/A,FALSE,"BS";#N/A,#N/A,FALSE,"IS";#N/A,#N/A,FALSE,"CFS";#N/A,#N/A,FALSE,"Ratios"}</definedName>
    <definedName name="wrn.Short._.Print." localSheetId="3" hidden="1">{#N/A,#N/A,FALSE,"Summary";#N/A,#N/A,FALSE,"Returns";#N/A,#N/A,FALSE,"Opening BS";#N/A,#N/A,FALSE,"EMO";#N/A,#N/A,FALSE,"BS";#N/A,#N/A,FALSE,"IS";#N/A,#N/A,FALSE,"CFS";#N/A,#N/A,FALSE,"Ratios"}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localSheetId="4" hidden="1">{#N/A,#N/A,FALSE,"Summary";#N/A,#N/A,FALSE,"Returns";#N/A,#N/A,FALSE,"Opening BS";#N/A,#N/A,FALSE,"EMO";#N/A,#N/A,FALSE,"BS";#N/A,#N/A,FALSE,"IS";#N/A,#N/A,FALSE,"CFS";#N/A,#N/A,FALSE,"Ratios"}</definedName>
    <definedName name="wrn.short._.print1" localSheetId="3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localSheetId="4" hidden="1">{"short1",#N/A,FALSE,"masmode";"short2",#N/A,FALSE,"masmode";"qtrres",#N/A,FALSE,"QTR. RES.";"sales",#N/A,FALSE,"Sales &amp; Market Share"}</definedName>
    <definedName name="wrn.Short._.Report." localSheetId="3" hidden="1">{"short1",#N/A,FALSE,"masmode";"short2",#N/A,FALSE,"masmode";"qtrres",#N/A,FALSE,"QTR. RES.";"sales",#N/A,FALSE,"Sales &amp; Market Share"}</definedName>
    <definedName name="wrn.Short._.Report." hidden="1">{"short1",#N/A,FALSE,"masmode";"short2",#N/A,FALSE,"masmode";"qtrres",#N/A,FALSE,"QTR. RES.";"sales",#N/A,FALSE,"Sales &amp; Market Share"}</definedName>
    <definedName name="wrn.Short._.Report.1" localSheetId="3" hidden="1">{#N/A,#N/A,TRUE,"Cover";#N/A,#N/A,TRUE,"Header (eu)";#N/A,#N/A,TRUE,"Region Charts";#N/A,#N/A,TRUE,"T&amp;O By Region";#N/A,#N/A,TRUE,"AD Report"}</definedName>
    <definedName name="wrn.Short._.Report.1" hidden="1">{#N/A,#N/A,TRUE,"Cover";#N/A,#N/A,TRUE,"Header (eu)";#N/A,#N/A,TRUE,"Region Charts";#N/A,#N/A,TRUE,"T&amp;O By Region";#N/A,#N/A,TRUE,"AD Report"}</definedName>
    <definedName name="wrn.SHORT._1" localSheetId="3" hidden="1">{"CREDIT STATISTICS",#N/A,FALSE,"STATS";"CF_AND_IS",#N/A,FALSE,"PLAN";"BALSHEET",#N/A,FALSE,"BALANCE SHEET"}</definedName>
    <definedName name="wrn.SHORT._1" hidden="1">{"CREDIT STATISTICS",#N/A,FALSE,"STATS";"CF_AND_IS",#N/A,FALSE,"PLAN";"BALSHEET",#N/A,FALSE,"BALANCE SHEET"}</definedName>
    <definedName name="wrn.SHORT._1_1" localSheetId="3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localSheetId="3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localSheetId="3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localSheetId="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localSheetId="3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localSheetId="3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localSheetId="3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localSheetId="3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localSheetId="3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localSheetId="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localSheetId="3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localSheetId="3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localSheetId="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localSheetId="3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localSheetId="3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localSheetId="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localSheetId="3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localSheetId="3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localSheetId="3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localSheetId="3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localSheetId="3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localSheetId="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localSheetId="3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localSheetId="3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localSheetId="3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localSheetId="3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localSheetId="3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localSheetId="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localSheetId="3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localSheetId="3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localSheetId="4" hidden="1">{"SPSPG1",#N/A,FALSE,"1995";"SPSPG2",#N/A,FALSE,"1995";"SPSPG3",#N/A,FALSE,"1995"}</definedName>
    <definedName name="wrn.SIMPSONS." localSheetId="3" hidden="1">{"SPSPG1",#N/A,FALSE,"1995";"SPSPG2",#N/A,FALSE,"1995";"SPSPG3",#N/A,FALSE,"1995"}</definedName>
    <definedName name="wrn.SIMPSONS." hidden="1">{"SPSPG1",#N/A,FALSE,"1995";"SPSPG2",#N/A,FALSE,"1995";"SPSPG3",#N/A,FALSE,"1995"}</definedName>
    <definedName name="wrn.SITARECCO." localSheetId="3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localSheetId="3" hidden="1">{"Income",#N/A,FALSE,"Earnings";"Critical Measures",#N/A,FALSE,"Earnings";"Balance",#N/A,FALSE,"Balance";"Cash Flow",#N/A,FALSE,"Balance";"Market",#N/A,FALSE,"Market";"Returns",#N/A,FALSE,"Returns"}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localSheetId="3" hidden="1">{"Income",#N/A,FALSE,"income";"Critical",#N/A,FALSE,"income";"Balance",#N/A,FALSE,"Balance";"Cash Flow",#N/A,FALSE,"Balance";"Returns",#N/A,FALSE,"Returns";"Market",#N/A,FALSE,"Market"}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localSheetId="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localSheetId="3" hidden="1">{"skb PM",#N/A,FALSE,"SKB&amp;MERCK (HepB vaccine)"}</definedName>
    <definedName name="wrn.slides." hidden="1">{"skb PM",#N/A,FALSE,"SKB&amp;MERCK (HepB vaccine)"}</definedName>
    <definedName name="wrn.Soft._.Drinks." localSheetId="3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localSheetId="3" hidden="1">{#N/A,#N/A,FALSE,"Produkte Erw.";#N/A,#N/A,FALSE,"Produkte Plan";#N/A,#N/A,FALSE,"Leistungen Erw.";#N/A,#N/A,FALSE,"Leistungen Plan";#N/A,#N/A,FALSE,"KA Allg.Kosten (2)";#N/A,#N/A,FALSE,"KA All.Kosten"}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localSheetId="3" hidden="1">{#N/A,#N/A,FALSE,"CASH FLOWS";#N/A,#N/A,FALSE,"INCOME STATEMENT";#N/A,#N/A,FALSE,"OPERATING EXPENSES";#N/A,#N/A,FALSE,"BALANCE SHEET";#N/A,#N/A,FALSE,"Sales"}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localSheetId="3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localSheetId="3" hidden="1">{#N/A,#N/A,FALSE,"GENERAL BACK-END INFLUENCE";#N/A,#N/A,FALSE,"PRICE AND VOLUME INFLUENCE";#N/A,#N/A,FALSE,"Share Influence"}</definedName>
    <definedName name="wrn.Soy._.infl." hidden="1">{#N/A,#N/A,FALSE,"GENERAL BACK-END INFLUENCE";#N/A,#N/A,FALSE,"PRICE AND VOLUME INFLUENCE";#N/A,#N/A,FALSE,"Share Influence"}</definedName>
    <definedName name="wrn.Spacenet._.Czech." localSheetId="4" hidden="1">{"Spacenet Czech - activ",#N/A,FALSE,"Consolidation";"Sapcenet Czech - passiv",#N/A,FALSE,"Consolidation";"Spacenet Czech - P&amp;L",#N/A,FALSE,"Consolidation";"Spacenet Czech - P.N.",#N/A,FALSE,"Consolidation"}</definedName>
    <definedName name="wrn.Spacenet._.Czech." localSheetId="3" hidden="1">{"Spacenet Czech - activ",#N/A,FALSE,"Consolidation";"Sapcenet Czech - passiv",#N/A,FALSE,"Consolidation";"Spacenet Czech - P&amp;L",#N/A,FALSE,"Consolidation";"Spacenet Czech - P.N.",#N/A,FALSE,"Consolidation"}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localSheetId="4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GMBH." localSheetId="3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localSheetId="4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acenet._.Inc." localSheetId="3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localSheetId="3" hidden="1">{"SPEC GAS CYLS",#N/A,FALSE,"SPEC GAS"}</definedName>
    <definedName name="wrn.SPEC._.GAS._.CYLS." hidden="1">{"SPEC GAS CYLS",#N/A,FALSE,"SPEC GAS"}</definedName>
    <definedName name="wrn.Special._.emission." localSheetId="3" hidden="1">{"calcul",#N/A,FALSE,"Special Emissions"}</definedName>
    <definedName name="wrn.Special._.emission." hidden="1">{"calcul",#N/A,FALSE,"Special Emissions"}</definedName>
    <definedName name="wrn.sspall." localSheetId="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localSheetId="4" hidden="1">{"Staff and Department Summaries",#N/A,FALSE,"Staff Revenue + Comp"}</definedName>
    <definedName name="wrn.Staff._.and._.Department._.Summaries." localSheetId="3" hidden="1">{"Staff and Department Summaries",#N/A,FALSE,"Staff Revenue + Comp"}</definedName>
    <definedName name="wrn.Staff._.and._.Department._.Summaries." hidden="1">{"Staff and Department Summaries",#N/A,FALSE,"Staff Revenue + Comp"}</definedName>
    <definedName name="wrn.Staff._.cost1998." localSheetId="3" hidden="1">{#N/A,#N/A,TRUE,"Staffnos &amp; cost"}</definedName>
    <definedName name="wrn.Staff._.cost1998." hidden="1">{#N/A,#N/A,TRUE,"Staffnos &amp; cost"}</definedName>
    <definedName name="wrn.Staff._.Detail." localSheetId="4" hidden="1">{"Staff Detail",#N/A,FALSE,"Staff Revenue + Comp"}</definedName>
    <definedName name="wrn.Staff._.Detail." localSheetId="3" hidden="1">{"Staff Detail",#N/A,FALSE,"Staff Revenue + Comp"}</definedName>
    <definedName name="wrn.Staff._.Detail." hidden="1">{"Staff Detail",#N/A,FALSE,"Staff Revenue + Comp"}</definedName>
    <definedName name="wrn.Staffcost." localSheetId="3" hidden="1">{#N/A,#N/A,FALSE,"Staffnos &amp; cost"}</definedName>
    <definedName name="wrn.Staffcost." hidden="1">{#N/A,#N/A,FALSE,"Staffnos &amp; cost"}</definedName>
    <definedName name="wrn.Staffing." localSheetId="3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1" localSheetId="3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localSheetId="3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localSheetId="3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localSheetId="3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localSheetId="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localSheetId="3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localSheetId="3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localSheetId="3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localSheetId="3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localSheetId="3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localSheetId="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localSheetId="3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localSheetId="3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localSheetId="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localSheetId="3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localSheetId="3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localSheetId="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localSheetId="3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localSheetId="3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localSheetId="3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localSheetId="3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localSheetId="3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localSheetId="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localSheetId="3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localSheetId="3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localSheetId="3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localSheetId="3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localSheetId="3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localSheetId="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localSheetId="3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localSheetId="3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localSheetId="3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localSheetId="3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localSheetId="3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localSheetId="3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localSheetId="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localSheetId="3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localSheetId="3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localSheetId="3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localSheetId="3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localSheetId="3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localSheetId="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localSheetId="3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localSheetId="3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localSheetId="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localSheetId="3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localSheetId="3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localSheetId="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localSheetId="3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localSheetId="3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localSheetId="3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localSheetId="3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localSheetId="3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localSheetId="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localSheetId="3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localSheetId="3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localSheetId="3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localSheetId="3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localSheetId="3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localSheetId="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localSheetId="3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localSheetId="3" hidden="1">{#N/A,#N/A,FALSE,"CBE";#N/A,#N/A,FALSE,"SWK"}</definedName>
    <definedName name="wrn.stand_alone." hidden="1">{#N/A,#N/A,FALSE,"CBE";#N/A,#N/A,FALSE,"SWK"}</definedName>
    <definedName name="wrn.STAND_ALONE_BOTH." localSheetId="4" hidden="1">{"FCB_ALL",#N/A,FALSE,"FCB";"GREY_ALL",#N/A,FALSE,"GREY"}</definedName>
    <definedName name="wrn.STAND_ALONE_BOTH." localSheetId="3" hidden="1">{"FCB_ALL",#N/A,FALSE,"FCB";"GREY_ALL",#N/A,FALSE,"GREY"}</definedName>
    <definedName name="wrn.STAND_ALONE_BOTH." hidden="1">{"FCB_ALL",#N/A,FALSE,"FCB";"GREY_ALL",#N/A,FALSE,"GREY"}</definedName>
    <definedName name="wrn.Stand_alone_both._dcf" localSheetId="3" hidden="1">{"FCB_ALL",#N/A,FALSE,"FCB";"GREY_ALL",#N/A,FALSE,"GREY"}</definedName>
    <definedName name="wrn.Stand_alone_both._dcf" hidden="1">{"FCB_ALL",#N/A,FALSE,"FCB";"GREY_ALL",#N/A,FALSE,"GREY"}</definedName>
    <definedName name="wrn.Standard." localSheetId="3" hidden="1">{"Financials",#N/A,FALSE,"Financials";"AVP",#N/A,FALSE,"AVP";"DCF",#N/A,FALSE,"DCF";"CSC",#N/A,FALSE,"CSC";"Deal_Comp",#N/A,FALSE,"DealComp"}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localSheetId="3" hidden="1">{"StandardReport",#N/A,FALSE,"Forecast"}</definedName>
    <definedName name="wrn.Standard._.Forecast._.Report." hidden="1">{"StandardReport",#N/A,FALSE,"Forecast"}</definedName>
    <definedName name="wrn.Standard._.Reports." localSheetId="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3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localSheetId="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localSheetId="3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localSheetId="3" hidden="1">{#N/A,#N/A,FALSE,"Common Stock";#N/A,#N/A,FALSE,"Preferred A";#N/A,#N/A,FALSE,"Accretion A";#N/A,#N/A,FALSE,"Preferred B";#N/A,#N/A,FALSE,"Accretion B"}</definedName>
    <definedName name="wrn.Stock." hidden="1">{#N/A,#N/A,FALSE,"Common Stock";#N/A,#N/A,FALSE,"Preferred A";#N/A,#N/A,FALSE,"Accretion A";#N/A,#N/A,FALSE,"Preferred B";#N/A,#N/A,FALSE,"Accretion B"}</definedName>
    <definedName name="wrn.STOCK._.VALUE." localSheetId="3" hidden="1">{#N/A,#N/A,FALSE,"Cover";#N/A,#N/A,FALSE,"TABLE 1";#N/A,#N/A,FALSE,"Table 2";#N/A,#N/A,FALSE,"TABLE 3";#N/A,#N/A,FALSE,"TABLES 4-6";#N/A,#N/A,FALSE,"TABLE 7";#N/A,#N/A,FALSE,"OS Share Detail"}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localSheetId="3" hidden="1">{#N/A,#N/A,FALSE,"Structure";#N/A,#N/A,FALSE,"Proj-Cal";#N/A,#N/A,FALSE,"Market"}</definedName>
    <definedName name="wrn.Structure." hidden="1">{#N/A,#N/A,FALSE,"Structure";#N/A,#N/A,FALSE,"Proj-Cal";#N/A,#N/A,FALSE,"Market"}</definedName>
    <definedName name="wrn.sum." localSheetId="3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._.ops." localSheetId="3" hidden="1">{"schedule",#N/A,FALSE,"Sum Op's";"input area",#N/A,FALSE,"Sum Op's"}</definedName>
    <definedName name="wrn.sum._.ops." hidden="1">{"schedule",#N/A,FALSE,"Sum Op's";"input area",#N/A,FALSE,"Sum Op's"}</definedName>
    <definedName name="wrn.summaries." localSheetId="3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localSheetId="3" hidden="1">{"Summary",#N/A,FALSE,"Finmodel";"Financials",#N/A,FALSE,"Finmodel";"Division 1 Operations",#N/A,FALSE,"Finmodel"}</definedName>
    <definedName name="wrn.Summary._.Report." hidden="1">{"Summary",#N/A,FALSE,"Finmodel";"Financials",#N/A,FALSE,"Finmodel";"Division 1 Operations",#N/A,FALSE,"Finmodel"}</definedName>
    <definedName name="wrn.summary._.schedules." localSheetId="4" hidden="1">{"summary1",#N/A,FALSE,"Summary of Values";"summary2",#N/A,FALSE,"Summary of Values"}</definedName>
    <definedName name="wrn.summary._.schedules." localSheetId="3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localSheetId="3" hidden="1">{#N/A,#N/A,FALSE,"Summary";#N/A,#N/A,FALSE,"CF";#N/A,#N/A,FALSE,"P&amp;L";"summary",#N/A,FALSE,"Returns";#N/A,#N/A,FALSE,"BS";"summary",#N/A,FALSE,"Analysis";#N/A,#N/A,FALSE,"Assumptions"}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localSheetId="3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localSheetId="3" hidden="1">{#N/A,#N/A,FALSE,"Prem_Sum";#N/A,#N/A,FALSE,"Prem"}</definedName>
    <definedName name="wrn.summaryANDbackup." hidden="1">{#N/A,#N/A,FALSE,"Prem_Sum";#N/A,#N/A,FALSE,"Prem"}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3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localSheetId="3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localSheetId="3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localSheetId="3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localSheetId="3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localSheetId="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localSheetId="3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localSheetId="3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localSheetId="3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localSheetId="3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localSheetId="3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localSheetId="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localSheetId="3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localSheetId="3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localSheetId="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localSheetId="3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localSheetId="3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localSheetId="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localSheetId="3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localSheetId="3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localSheetId="3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localSheetId="3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localSheetId="3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localSheetId="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localSheetId="3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localSheetId="3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localSheetId="3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localSheetId="3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localSheetId="3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localSheetId="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localSheetId="3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localSheetId="3" hidden="1">{"Sumnpv",#N/A,FALSE,"List"}</definedName>
    <definedName name="wrn.SUMNPV." hidden="1">{"Sumnpv",#N/A,FALSE,"List"}</definedName>
    <definedName name="wrn.SUNRISE." localSheetId="3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localSheetId="3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Supporting._.Schedules." localSheetId="3" hidden="1">{#N/A,#N/A,TRUE,"ACC RENT";#N/A,#N/A,TRUE,"ACCT REC";#N/A,#N/A,TRUE,"RET EARN";#N/A,#N/A,TRUE,"PPE";#N/A,#N/A,TRUE,"TAXES PAY";#N/A,#N/A,TRUE,"WORK CAP";#N/A,#N/A,TRUE,"CASH FLOW";#N/A,#N/A,TRUE,"SERIES A LOAN"}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localSheetId="4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Survey." localSheetId="3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localSheetId="4" hidden="1">{"cash_tes",#N/A,FALSE,"dec95cr.xls"}</definedName>
    <definedName name="wrn.t_cash." localSheetId="3" hidden="1">{"cash_tes",#N/A,FALSE,"dec95cr.xls"}</definedName>
    <definedName name="wrn.t_cash." hidden="1">{"cash_tes",#N/A,FALSE,"dec95cr.xls"}</definedName>
    <definedName name="wrn.Tables." localSheetId="3" hidden="1">{"view1",#N/A,FALSE,"Tables";"view2",#N/A,FALSE,"Tables";"view3",#N/A,FALSE,"Tables"}</definedName>
    <definedName name="wrn.Tables." hidden="1">{"view1",#N/A,FALSE,"Tables";"view2",#N/A,FALSE,"Tables";"view3",#N/A,FALSE,"Tables"}</definedName>
    <definedName name="wrn.Target." localSheetId="4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localSheetId="3">{"targetdcf",#N/A,FALSE,"Merger consequences";"TARGETASSU",#N/A,FALSE,"Merger consequences";"TERMINAL VALUE",#N/A,FALSE,"Merger consequences"}</definedName>
    <definedName name="wrn.TARGET._.DCF.">{"targetdcf",#N/A,FALSE,"Merger consequences";"TARGETASSU",#N/A,FALSE,"Merger consequences";"TERMINAL VALUE",#N/A,FALSE,"Merger consequences"}</definedName>
    <definedName name="wrn.TARGET._.DCF._1" localSheetId="3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localSheetId="3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localSheetId="3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localSheetId="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localSheetId="3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localSheetId="3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localSheetId="3" hidden="1">{"SUMMARY",#N/A,FALSE,"Sheet1"}</definedName>
    <definedName name="wrn.Target._.Summary." hidden="1">{"SUMMARY",#N/A,FALSE,"Sheet1"}</definedName>
    <definedName name="wrn.Target._1" localSheetId="4" hidden="1">{"e_Target Assumptions",#N/A,FALSE,"Financials";"f_Target Income Statement",#N/A,FALSE,"Financials";"g_Target Balance Sheet",#N/A,FALSE,"Financials";"h_Target Cashflow Statement",#N/A,FALSE,"Financials"}</definedName>
    <definedName name="wrn.Target._1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localSheetId="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3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3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localSheetId="3" hidden="1">{#N/A,#N/A,FALSE,"106";#N/A,#N/A,FALSE,"103D";#N/A,#N/A,FALSE,"107A"}</definedName>
    <definedName name="wrn.Tax._.Schedules." hidden="1">{#N/A,#N/A,FALSE,"106";#N/A,#N/A,FALSE,"103D";#N/A,#N/A,FALSE,"107A"}</definedName>
    <definedName name="wrn.Taxes." localSheetId="3" hidden="1">{"Def Tax Long",#N/A,TRUE,"Financials";"Def Tax Short",#N/A,TRUE,"Financials";"Cons Tax Sched",#N/A,TRUE,"Financials"}</definedName>
    <definedName name="wrn.Taxes." hidden="1">{"Def Tax Long",#N/A,TRUE,"Financials";"Def Tax Short",#N/A,TRUE,"Financials";"Cons Tax Sched",#N/A,TRUE,"Financials"}</definedName>
    <definedName name="wrn.tcs2." localSheetId="3" hidden="1">{"tcs1",#N/A,FALSE,"Contra Patch"}</definedName>
    <definedName name="wrn.tcs2." hidden="1">{"tcs1",#N/A,FALSE,"Contra Patch"}</definedName>
    <definedName name="wrn.technology." localSheetId="4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3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3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localSheetId="3" hidden="1">{"terminal value",#N/A,FALSE,"TV_Payback"}</definedName>
    <definedName name="wrn.TERMINAL._.VALUE." hidden="1">{"terminal value",#N/A,FALSE,"TV_Payback"}</definedName>
    <definedName name="wrn.test." localSheetId="4" hidden="1">{"test2",#N/A,TRUE,"Prices"}</definedName>
    <definedName name="wrn.Test." localSheetId="3" hidden="1">{#N/A,#N/A,FALSE,"Availability";#N/A,#N/A,FALSE,"Loan Stats";#N/A,#N/A,FALSE,"Clltrl Ln Smmry";#N/A,#N/A,FALSE,"AR Stats";#N/A,#N/A,FALSE,"AR Sum";#N/A,#N/A,FALSE,"Recs";#N/A,#N/A,FALSE,"Ship,CM Rev"}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localSheetId="3" hidden="1">{"test2",#N/A,TRUE,"Prices"}</definedName>
    <definedName name="wrn.test._1" hidden="1">{"test2",#N/A,TRUE,"Prices"}</definedName>
    <definedName name="wrn.test._1_1" localSheetId="3" hidden="1">{"test2",#N/A,TRUE,"Prices"}</definedName>
    <definedName name="wrn.test._1_1" hidden="1">{"test2",#N/A,TRUE,"Prices"}</definedName>
    <definedName name="wrn.test._1_2" localSheetId="3" hidden="1">{"test2",#N/A,TRUE,"Prices"}</definedName>
    <definedName name="wrn.test._1_2" hidden="1">{"test2",#N/A,TRUE,"Prices"}</definedName>
    <definedName name="wrn.test._1_3" localSheetId="3" hidden="1">{"test2",#N/A,TRUE,"Prices"}</definedName>
    <definedName name="wrn.test._1_3" hidden="1">{"test2",#N/A,TRUE,"Prices"}</definedName>
    <definedName name="wrn.test._1_4" localSheetId="3" hidden="1">{"test2",#N/A,TRUE,"Prices"}</definedName>
    <definedName name="wrn.test._1_4" hidden="1">{"test2",#N/A,TRUE,"Prices"}</definedName>
    <definedName name="wrn.test._1_5" localSheetId="3" hidden="1">{"test2",#N/A,TRUE,"Prices"}</definedName>
    <definedName name="wrn.test._1_5" hidden="1">{"test2",#N/A,TRUE,"Prices"}</definedName>
    <definedName name="wrn.test._2" localSheetId="3" hidden="1">{"test2",#N/A,TRUE,"Prices"}</definedName>
    <definedName name="wrn.test._2" hidden="1">{"test2",#N/A,TRUE,"Prices"}</definedName>
    <definedName name="wrn.test._2_1" localSheetId="3" hidden="1">{"test2",#N/A,TRUE,"Prices"}</definedName>
    <definedName name="wrn.test._2_1" hidden="1">{"test2",#N/A,TRUE,"Prices"}</definedName>
    <definedName name="wrn.test._2_2" localSheetId="3" hidden="1">{"test2",#N/A,TRUE,"Prices"}</definedName>
    <definedName name="wrn.test._2_2" hidden="1">{"test2",#N/A,TRUE,"Prices"}</definedName>
    <definedName name="wrn.test._2_3" localSheetId="3" hidden="1">{"test2",#N/A,TRUE,"Prices"}</definedName>
    <definedName name="wrn.test._2_3" hidden="1">{"test2",#N/A,TRUE,"Prices"}</definedName>
    <definedName name="wrn.test._2_4" localSheetId="3" hidden="1">{"test2",#N/A,TRUE,"Prices"}</definedName>
    <definedName name="wrn.test._2_4" hidden="1">{"test2",#N/A,TRUE,"Prices"}</definedName>
    <definedName name="wrn.test._2_5" localSheetId="3" hidden="1">{"test2",#N/A,TRUE,"Prices"}</definedName>
    <definedName name="wrn.test._2_5" hidden="1">{"test2",#N/A,TRUE,"Prices"}</definedName>
    <definedName name="wrn.test._3" localSheetId="3" hidden="1">{"test2",#N/A,TRUE,"Prices"}</definedName>
    <definedName name="wrn.test._3" hidden="1">{"test2",#N/A,TRUE,"Prices"}</definedName>
    <definedName name="wrn.test._3_1" localSheetId="3" hidden="1">{"test2",#N/A,TRUE,"Prices"}</definedName>
    <definedName name="wrn.test._3_1" hidden="1">{"test2",#N/A,TRUE,"Prices"}</definedName>
    <definedName name="wrn.test._3_2" localSheetId="3" hidden="1">{"test2",#N/A,TRUE,"Prices"}</definedName>
    <definedName name="wrn.test._3_2" hidden="1">{"test2",#N/A,TRUE,"Prices"}</definedName>
    <definedName name="wrn.test._3_3" localSheetId="3" hidden="1">{"test2",#N/A,TRUE,"Prices"}</definedName>
    <definedName name="wrn.test._3_3" hidden="1">{"test2",#N/A,TRUE,"Prices"}</definedName>
    <definedName name="wrn.test._3_4" localSheetId="3" hidden="1">{"test2",#N/A,TRUE,"Prices"}</definedName>
    <definedName name="wrn.test._3_4" hidden="1">{"test2",#N/A,TRUE,"Prices"}</definedName>
    <definedName name="wrn.test._3_5" localSheetId="3" hidden="1">{"test2",#N/A,TRUE,"Prices"}</definedName>
    <definedName name="wrn.test._3_5" hidden="1">{"test2",#N/A,TRUE,"Prices"}</definedName>
    <definedName name="wrn.test._4" localSheetId="3" hidden="1">{"test2",#N/A,TRUE,"Prices"}</definedName>
    <definedName name="wrn.test._4" hidden="1">{"test2",#N/A,TRUE,"Prices"}</definedName>
    <definedName name="wrn.test._4_1" localSheetId="3" hidden="1">{"test2",#N/A,TRUE,"Prices"}</definedName>
    <definedName name="wrn.test._4_1" hidden="1">{"test2",#N/A,TRUE,"Prices"}</definedName>
    <definedName name="wrn.test._4_2" localSheetId="3" hidden="1">{"test2",#N/A,TRUE,"Prices"}</definedName>
    <definedName name="wrn.test._4_2" hidden="1">{"test2",#N/A,TRUE,"Prices"}</definedName>
    <definedName name="wrn.test._4_3" localSheetId="3" hidden="1">{"test2",#N/A,TRUE,"Prices"}</definedName>
    <definedName name="wrn.test._4_3" hidden="1">{"test2",#N/A,TRUE,"Prices"}</definedName>
    <definedName name="wrn.test._4_4" localSheetId="3" hidden="1">{"test2",#N/A,TRUE,"Prices"}</definedName>
    <definedName name="wrn.test._4_4" hidden="1">{"test2",#N/A,TRUE,"Prices"}</definedName>
    <definedName name="wrn.test._4_5" localSheetId="3" hidden="1">{"test2",#N/A,TRUE,"Prices"}</definedName>
    <definedName name="wrn.test._4_5" hidden="1">{"test2",#N/A,TRUE,"Prices"}</definedName>
    <definedName name="wrn.test._5" localSheetId="3" hidden="1">{"test2",#N/A,TRUE,"Prices"}</definedName>
    <definedName name="wrn.test._5" hidden="1">{"test2",#N/A,TRUE,"Prices"}</definedName>
    <definedName name="wrn.test._5_1" localSheetId="3" hidden="1">{"test2",#N/A,TRUE,"Prices"}</definedName>
    <definedName name="wrn.test._5_1" hidden="1">{"test2",#N/A,TRUE,"Prices"}</definedName>
    <definedName name="wrn.test._5_2" localSheetId="3" hidden="1">{"test2",#N/A,TRUE,"Prices"}</definedName>
    <definedName name="wrn.test._5_2" hidden="1">{"test2",#N/A,TRUE,"Prices"}</definedName>
    <definedName name="wrn.test._5_3" localSheetId="3" hidden="1">{"test2",#N/A,TRUE,"Prices"}</definedName>
    <definedName name="wrn.test._5_3" hidden="1">{"test2",#N/A,TRUE,"Prices"}</definedName>
    <definedName name="wrn.test._5_4" localSheetId="3" hidden="1">{"test2",#N/A,TRUE,"Prices"}</definedName>
    <definedName name="wrn.test._5_4" hidden="1">{"test2",#N/A,TRUE,"Prices"}</definedName>
    <definedName name="wrn.test._5_5" localSheetId="3" hidden="1">{"test2",#N/A,TRUE,"Prices"}</definedName>
    <definedName name="wrn.test._5_5" hidden="1">{"test2",#N/A,TRUE,"Prices"}</definedName>
    <definedName name="wrn.test1." localSheetId="3" hidden="1">{"Income Statement",#N/A,FALSE,"CFMODEL";"Balance Sheet",#N/A,FALSE,"CFMODEL"}</definedName>
    <definedName name="wrn.test1." hidden="1">{"Income Statement",#N/A,FALSE,"CFMODEL";"Balance Sheet",#N/A,FALSE,"CFMODEL"}</definedName>
    <definedName name="wrn.test2." localSheetId="3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3" hidden="1">{"SourcesUses",#N/A,TRUE,#N/A;"TransOverview",#N/A,TRUE,"CFMODEL"}</definedName>
    <definedName name="wrn.test3." hidden="1">{"SourcesUses",#N/A,TRUE,#N/A;"TransOverview",#N/A,TRUE,"CFMODEL"}</definedName>
    <definedName name="wrn.test4." localSheetId="3" hidden="1">{"SourcesUses",#N/A,TRUE,"FundsFlow";"TransOverview",#N/A,TRUE,"FundsFlow"}</definedName>
    <definedName name="wrn.test4." hidden="1">{"SourcesUses",#N/A,TRUE,"FundsFlow";"TransOverview",#N/A,TRUE,"FundsFlow"}</definedName>
    <definedName name="wrn.TestRep." localSheetId="4" hidden="1">{"Test",#N/A,FALSE,"Index";#N/A,"RISK",FALSE,"MarketProjection"}</definedName>
    <definedName name="wrn.TestRep." localSheetId="3" hidden="1">{"Test",#N/A,FALSE,"Index";#N/A,"RISK",FALSE,"MarketProjection"}</definedName>
    <definedName name="wrn.TestRep." hidden="1">{"Test",#N/A,FALSE,"Index";#N/A,"RISK",FALSE,"MarketProjection"}</definedName>
    <definedName name="wrn.TestRep._1" localSheetId="3" hidden="1">{"Test",#N/A,FALSE,"Index";#N/A,"RISK",FALSE,"MarketProjection"}</definedName>
    <definedName name="wrn.TestRep._1" hidden="1">{"Test",#N/A,FALSE,"Index";#N/A,"RISK",FALSE,"MarketProjection"}</definedName>
    <definedName name="wrn.Textron." localSheetId="3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localSheetId="3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omas_Case." localSheetId="3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localSheetId="3">{"EVA",#N/A,FALSE,"EVA";"WACC",#N/A,FALSE,"WACC"}</definedName>
    <definedName name="wrn.three">{"EVA",#N/A,FALSE,"EVA";"WACC",#N/A,FALSE,"WACC"}</definedName>
    <definedName name="wrn.Titanium._.Report." localSheetId="3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localSheetId="3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obacco.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3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bsum._1" localSheetId="3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localSheetId="3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localSheetId="3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localSheetId="3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localSheetId="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localSheetId="3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localSheetId="3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localSheetId="3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localSheetId="3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localSheetId="3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localSheetId="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localSheetId="3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localSheetId="3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localSheetId="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localSheetId="3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localSheetId="3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localSheetId="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localSheetId="3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localSheetId="3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localSheetId="3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localSheetId="3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localSheetId="3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localSheetId="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localSheetId="3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localSheetId="3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localSheetId="3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localSheetId="3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localSheetId="3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localSheetId="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localSheetId="3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localSheetId="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localSheetId="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localSheetId="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localSheetId="3" hidden="1">{#N/A,"TCHEM",FALSE,"BSHIST.XLS"}</definedName>
    <definedName name="wrn.Total._.Chem._.Balance._.Sheet." hidden="1">{#N/A,"TCHEM",FALSE,"BSHIST.XLS"}</definedName>
    <definedName name="wrn.Total._.Company._.Reforecast._.Print." localSheetId="3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localSheetId="3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.Market._.Report._1" localSheetId="3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localSheetId="3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localSheetId="3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localSheetId="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localSheetId="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localSheetId="3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localSheetId="4" hidden="1">{#N/A,#N/A,FALSE,"2003_Input - P&amp;L"}</definedName>
    <definedName name="wrn.total._.year." localSheetId="3" hidden="1">{#N/A,#N/A,FALSE,"2003_Input - P&amp;L"}</definedName>
    <definedName name="wrn.total._.year." hidden="1">{#N/A,#N/A,FALSE,"2003_Input - P&amp;L"}</definedName>
    <definedName name="wrn.Total.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localSheetId="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localSheetId="3" hidden="1">{"ESPAÑA_FF",#N/A,FALSE,"IBERICO";"PORTUGAL_FF",#N/A,FALSE,"IBERICO";"IBERICO_FF",#N/A,FALSE,"IBERICO"}</definedName>
    <definedName name="wrn.TOTAL_FF." hidden="1">{"ESPAÑA_FF",#N/A,FALSE,"IBERICO";"PORTUGAL_FF",#N/A,FALSE,"IBERICO";"IBERICO_FF",#N/A,FALSE,"IBERICO"}</definedName>
    <definedName name="wrn.Total4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localSheetId="3" hidden="1">{"comp1",#N/A,FALSE,"COMPS";"footnotes",#N/A,FALSE,"COMPS"}</definedName>
    <definedName name="wrn.totalcomp." hidden="1">{"comp1",#N/A,FALSE,"COMPS";"footnotes",#N/A,FALSE,"COMPS"}</definedName>
    <definedName name="wrn.Totar." localSheetId="4" hidden="1">{"Totax",#N/A,FALSE,"Sheet1";#N/A,#N/A,FALSE,"Law Output"}</definedName>
    <definedName name="wrn.Totar." localSheetId="3" hidden="1">{"Totax",#N/A,FALSE,"Sheet1";#N/A,#N/A,FALSE,"Law Output"}</definedName>
    <definedName name="wrn.Totar." hidden="1">{"Totax",#N/A,FALSE,"Sheet1";#N/A,#N/A,FALSE,"Law Output"}</definedName>
    <definedName name="wrn.Tout._.Sauf._.BG." localSheetId="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localSheetId="3" hidden="1">{#N/A,#N/A,FALSE,"TOWNSHIP"}</definedName>
    <definedName name="wrn.TOWNSHIP." hidden="1">{#N/A,#N/A,FALSE,"TOWNSHIP"}</definedName>
    <definedName name="wrn.Track." localSheetId="3" hidden="1">{#N/A,#N/A,FALSE,"Inc Stmt";#N/A,#N/A,FALSE,"Indirect Costs";#N/A,#N/A,FALSE,"Capital"}</definedName>
    <definedName name="wrn.Track." hidden="1">{#N/A,#N/A,FALSE,"Inc Stmt";#N/A,#N/A,FALSE,"Indirect Costs";#N/A,#N/A,FALSE,"Capital"}</definedName>
    <definedName name="wrn.trademark._.and._.trade._.name." localSheetId="4" hidden="1">{"trademark1",#N/A,FALSE,"Trademark(s) and Trade Name(s)"}</definedName>
    <definedName name="wrn.trademark._.and._.trade._.name." localSheetId="3" hidden="1">{"trademark1",#N/A,FALSE,"Trademark(s) and Trade Name(s)"}</definedName>
    <definedName name="wrn.trademark._.and._.trade._.name." hidden="1">{"trademark1",#N/A,FALSE,"Trademark(s) and Trade Name(s)"}</definedName>
    <definedName name="wrn.Trading._.Summary." localSheetId="3" hidden="1">{#N/A,#N/A,FALSE,"Trading Summary"}</definedName>
    <definedName name="wrn.Trading._.Summary." hidden="1">{#N/A,#N/A,FALSE,"Trading Summary"}</definedName>
    <definedName name="wrn.Trail._.Balance._.P.N.." localSheetId="4" hidden="1">{"Trail balance - P.N.",#N/A,FALSE,"Gilat Israel Trial balance"}</definedName>
    <definedName name="wrn.Trail._.Balance._.P.N.." localSheetId="3" hidden="1">{"Trail balance - P.N.",#N/A,FALSE,"Gilat Israel Trial balance"}</definedName>
    <definedName name="wrn.Trail._.Balance._.P.N.." hidden="1">{"Trail balance - P.N.",#N/A,FALSE,"Gilat Israel Trial balance"}</definedName>
    <definedName name="wrn.trans._.sum." localSheetId="3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fer._.Hose._.Mktg." localSheetId="3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localSheetId="3" hidden="1">{"TRANSPORT COSTS",#N/A,FALSE,"C.CENTRE"}</definedName>
    <definedName name="wrn.TRANSPORT._.COSTS." hidden="1">{"TRANSPORT COSTS",#N/A,FALSE,"C.CENTRE"}</definedName>
    <definedName name="wrn.TransPrcd_123." localSheetId="4" hidden="1">{#N/A,#N/A,TRUE,"TransPrcd 1";#N/A,#N/A,TRUE,"TransPrcd 2";#N/A,#N/A,TRUE,"TransPrcd 3"}</definedName>
    <definedName name="wrn.TransPrcd_123." localSheetId="3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ransPrcd_123._1" localSheetId="3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localSheetId="3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localSheetId="3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localSheetId="3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localSheetId="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localSheetId="3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localSheetId="3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localSheetId="3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localSheetId="3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localSheetId="3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localSheetId="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localSheetId="3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localSheetId="3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localSheetId="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localSheetId="3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localSheetId="3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localSheetId="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localSheetId="3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localSheetId="3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localSheetId="3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localSheetId="3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localSheetId="3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localSheetId="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localSheetId="3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localSheetId="3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localSheetId="3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localSheetId="3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localSheetId="3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localSheetId="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localSheetId="3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localSheetId="3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localSheetId="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localSheetId="3" hidden="1">{"cash",#N/A,FALSE,"A"}</definedName>
    <definedName name="wrn.Trial._.Balance." hidden="1">{"cash",#N/A,FALSE,"A"}</definedName>
    <definedName name="wrn.Triangles.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localSheetId="3" hidden="1">{"Portada",#N/A,FALSE,"Pres";"PL",#N/A,FALSE,"P&amp;L";"SFC",#N/A,FALSE,"SFC";"CE",#N/A,FALSE,"Capital Employed";"M+1",#N/A,FALSE,"Prev. (M+1)";"TRI",#N/A,FALSE,"Prev. Trim.";"YEF",#N/A,FALSE,"Prev. Fin Année"}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localSheetId="3" hidden="1">{#N/A,#N/A,FALSE,"IS";#N/A,#N/A,FALSE,"One pager";#N/A,#N/A,FALSE,"Revenue Detail"}</definedName>
    <definedName name="wrn.TUNE._.Model." hidden="1">{#N/A,#N/A,FALSE,"IS";#N/A,#N/A,FALSE,"One pager";#N/A,#N/A,FALSE,"Revenue Detail"}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localSheetId="3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weety._1" localSheetId="3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localSheetId="3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localSheetId="3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localSheetId="3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localSheetId="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localSheetId="3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localSheetId="3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localSheetId="3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localSheetId="3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localSheetId="3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localSheetId="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localSheetId="3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localSheetId="3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localSheetId="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localSheetId="3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localSheetId="3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localSheetId="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localSheetId="3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localSheetId="3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localSheetId="3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localSheetId="3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localSheetId="3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localSheetId="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localSheetId="3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localSheetId="3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localSheetId="3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localSheetId="3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localSheetId="3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localSheetId="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localSheetId="3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localSheetId="3" hidden="1">{"Consolidating BS",#N/A,FALSE,"ConsolidatingBS"}</definedName>
    <definedName name="wrn.Two._.Page." hidden="1">{"Consolidating BS",#N/A,FALSE,"ConsolidatingBS"}</definedName>
    <definedName name="wrn.Tycon._.Model." localSheetId="4" hidden="1">{"rtn",#N/A,FALSE,"RTN";"tables",#N/A,FALSE,"RTN";"cf",#N/A,FALSE,"CF";"stats",#N/A,FALSE,"Stats";"prop",#N/A,FALSE,"Prop"}</definedName>
    <definedName name="wrn.Tycon._.Model." localSheetId="3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Tycon._.Model._1" localSheetId="4" hidden="1">{"rtn",#N/A,FALSE,"RTN";"tables",#N/A,FALSE,"RTN";"cf",#N/A,FALSE,"CF";"stats",#N/A,FALSE,"Stats";"prop",#N/A,FALSE,"Prop"}</definedName>
    <definedName name="wrn.Tycon._.Model._1" localSheetId="3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localSheetId="3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localSheetId="3" hidden="1">{"typical",#N/A,FALSE,"Typical Absence"}</definedName>
    <definedName name="wrn.typical." hidden="1">{"typical",#N/A,FALSE,"Typical Absence"}</definedName>
    <definedName name="wrn.UNITARIOS_ACU." localSheetId="3" hidden="1">{"unit acu",#N/A,FALSE,"UNIT-ACUMULADO";"unit exp acu 1",#N/A,FALSE,"UNIT-ACUMULADO";"unit exp acu 2",#N/A,FALSE,"UNIT-ACUMULADO"}</definedName>
    <definedName name="wrn.UNITARIOS_ACU." hidden="1">{"unit acu",#N/A,FALSE,"UNIT-ACUMULADO";"unit exp acu 1",#N/A,FALSE,"UNIT-ACUMULADO";"unit exp acu 2",#N/A,FALSE,"UNIT-ACUMULADO"}</definedName>
    <definedName name="wrn.UNITARIOS_COMPLETO." localSheetId="3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3" hidden="1">{"unit nac",#N/A,FALSE,"UNIT-MENSUAL";"unit exp 1",#N/A,FALSE,"UNIT-MENSUAL";"unit exp 2",#N/A,FALSE,"UNIT-MENSUAL"}</definedName>
    <definedName name="wrn.UNITARIOS_MES." hidden="1">{"unit nac",#N/A,FALSE,"UNIT-MENSUAL";"unit exp 1",#N/A,FALSE,"UNIT-MENSUAL";"unit exp 2",#N/A,FALSE,"UNIT-MENSUAL"}</definedName>
    <definedName name="wrn.Universe." localSheetId="3" hidden="1">{"View_6",#N/A,FALSE,"Mix-Int-R&amp;D";"View_4",#N/A,FALSE,"Margins";"View_5",#N/A,FALSE,"Ratios";"View_3",#N/A,FALSE,"Mix";"View_2",#N/A,FALSE,"FV-EBITDA";"View_1",#N/A,FALSE,"EPS"}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localSheetId="3" hidden="1">{"up stand alones",#N/A,FALSE,"Acquiror"}</definedName>
    <definedName name="wrn.up." hidden="1">{"up stand alones",#N/A,FALSE,"Acquiror"}</definedName>
    <definedName name="wrn.Update._.certificate." localSheetId="4" hidden="1">{#N/A,#N/A,FALSE,"Update"}</definedName>
    <definedName name="wrn.Update._.certificate." localSheetId="3" hidden="1">{#N/A,#N/A,FALSE,"Update"}</definedName>
    <definedName name="wrn.Update._.certificate." hidden="1">{#N/A,#N/A,FALSE,"Update"}</definedName>
    <definedName name="wrn.UPDOWN." localSheetId="4" hidden="1">{"SCH54",#N/A,FALSE,"upside";"SCH55",#N/A,FALSE,"upside"}</definedName>
    <definedName name="wrn.UPDOWN." localSheetId="3" hidden="1">{"SCH54",#N/A,FALSE,"upside";"SCH55",#N/A,FALSE,"upside"}</definedName>
    <definedName name="wrn.UPDOWN." hidden="1">{"SCH54",#N/A,FALSE,"upside";"SCH55",#N/A,FALSE,"upside"}</definedName>
    <definedName name="wrn.Upper._.Case.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localSheetId="3" hidden="1">{"histincome",#N/A,FALSE,"hyfins";"closing balance",#N/A,FALSE,"hyfins"}</definedName>
    <definedName name="wrn.upstairs." hidden="1">{"histincome",#N/A,FALSE,"hyfins";"closing balance",#N/A,FALSE,"hyfins"}</definedName>
    <definedName name="wrn.US._.and._.Europe." localSheetId="3" hidden="1">{#N/A,#N/A,FALSE,"Consolidated Financials";#N/A,#N/A,FALSE,"US Mkt";#N/A,#N/A,FALSE,"Eur Mkt"}</definedName>
    <definedName name="wrn.US._.and._.Europe." hidden="1">{#N/A,#N/A,FALSE,"Consolidated Financials";#N/A,#N/A,FALSE,"US Mkt";#N/A,#N/A,FALSE,"Eur Mkt"}</definedName>
    <definedName name="wrn.USW." localSheetId="3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USW._1" localSheetId="3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localSheetId="3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localSheetId="3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localSheetId="3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localSheetId="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localSheetId="3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localSheetId="3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localSheetId="3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localSheetId="3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localSheetId="3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localSheetId="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localSheetId="3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localSheetId="3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localSheetId="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localSheetId="3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localSheetId="3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localSheetId="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localSheetId="3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localSheetId="3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localSheetId="3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localSheetId="3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localSheetId="3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localSheetId="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localSheetId="3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localSheetId="3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localSheetId="3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localSheetId="3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localSheetId="3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localSheetId="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localSheetId="3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localSheetId="3" hidden="1">{"UTL effect",#N/A,FALSE,"Sensitivity"}</definedName>
    <definedName name="wrn.UTL._.Position." hidden="1">{"UTL effect",#N/A,FALSE,"Sensitivity"}</definedName>
    <definedName name="wrn.uy." localSheetId="3" hidden="1">{"yyyy",#N/A,FALSE,"A&amp;M (2)";"uuu",#N/A,FALSE,"A&amp;M (2)"}</definedName>
    <definedName name="wrn.uy." hidden="1">{"yyyy",#N/A,FALSE,"A&amp;M (2)";"uuu",#N/A,FALSE,"A&amp;M (2)"}</definedName>
    <definedName name="wrn.valderrama." localSheetId="3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4" hidden="1">{#N/A,#N/A,FALSE,"Pooling";#N/A,#N/A,FALSE,"income";#N/A,#N/A,FALSE,"valuation"}</definedName>
    <definedName name="wrn.VALUATION." localSheetId="3" hidden="1">{#N/A,#N/A,FALSE,"Pooling";#N/A,#N/A,FALSE,"income";#N/A,#N/A,FALSE,"valuation"}</definedName>
    <definedName name="wrn.VALUATION." hidden="1">{#N/A,#N/A,FALSE,"Pooling";#N/A,#N/A,FALSE,"income";#N/A,#N/A,FALSE,"valuation"}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3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localSheetId="3" hidden="1">{#N/A,#N/A,FALSE,"Pooling";#N/A,#N/A,FALSE,"income";#N/A,#N/A,FALSE,"valuation"}</definedName>
    <definedName name="wrn.VALUATION._1" hidden="1">{#N/A,#N/A,FALSE,"Pooling";#N/A,#N/A,FALSE,"income";#N/A,#N/A,FALSE,"valuation"}</definedName>
    <definedName name="wrn.VALUATION._1_1" localSheetId="3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localSheetId="3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localSheetId="3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localSheetId="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localSheetId="3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localSheetId="3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localSheetId="3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localSheetId="3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localSheetId="3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localSheetId="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localSheetId="3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localSheetId="3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localSheetId="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localSheetId="3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localSheetId="3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localSheetId="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localSheetId="3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localSheetId="3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localSheetId="3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localSheetId="3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localSheetId="3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localSheetId="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localSheetId="3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localSheetId="3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localSheetId="3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localSheetId="3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localSheetId="3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localSheetId="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localSheetId="3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localSheetId="4" hidden="1">{"SCH47",#N/A,FALSE,"value";"sch48",#N/A,FALSE,"value"}</definedName>
    <definedName name="wrn.VALUE." localSheetId="3" hidden="1">{"SCH47",#N/A,FALSE,"value";"sch48",#N/A,FALSE,"value"}</definedName>
    <definedName name="wrn.VALUE." hidden="1">{"SCH47",#N/A,FALSE,"value";"sch48",#N/A,FALSE,"value"}</definedName>
    <definedName name="wrn.Variance." localSheetId="3" hidden="1">{"Act_vs_Budget",#N/A,FALSE,"QTRDPVAR";"Act_vs_Prior_Year",#N/A,FALSE,"QTRDPVAR"}</definedName>
    <definedName name="wrn.Variance." hidden="1">{"Act_vs_Budget",#N/A,FALSE,"QTRDPVAR";"Act_vs_Prior_Year",#N/A,FALSE,"QTRDPVAR"}</definedName>
    <definedName name="wrn.Variance._.3." localSheetId="3" hidden="1">{"Variance Q3",#N/A,FALSE,"Var"}</definedName>
    <definedName name="wrn.Variance._.3." hidden="1">{"Variance Q3",#N/A,FALSE,"Var"}</definedName>
    <definedName name="wrn.Variance._.3._1" localSheetId="3" hidden="1">{"Variance Q3",#N/A,FALSE,"Var"}</definedName>
    <definedName name="wrn.Variance._.3._1" hidden="1">{"Variance Q3",#N/A,FALSE,"Var"}</definedName>
    <definedName name="wrn.Variance._.3._2" localSheetId="3" hidden="1">{"Variance Q3",#N/A,FALSE,"Var"}</definedName>
    <definedName name="wrn.Variance._.3._2" hidden="1">{"Variance Q3",#N/A,FALSE,"Var"}</definedName>
    <definedName name="wrn.Variance._.3._3" localSheetId="3" hidden="1">{"Variance Q3",#N/A,FALSE,"Var"}</definedName>
    <definedName name="wrn.Variance._.3._3" hidden="1">{"Variance Q3",#N/A,FALSE,"Var"}</definedName>
    <definedName name="wrn.Variance._.3._4" localSheetId="3" hidden="1">{"Variance Q3",#N/A,FALSE,"Var"}</definedName>
    <definedName name="wrn.Variance._.3._4" hidden="1">{"Variance Q3",#N/A,FALSE,"Var"}</definedName>
    <definedName name="wrn.Variance._.3._5" localSheetId="3" hidden="1">{"Variance Q3",#N/A,FALSE,"Var"}</definedName>
    <definedName name="wrn.Variance._.3._5" hidden="1">{"Variance Q3",#N/A,FALSE,"Var"}</definedName>
    <definedName name="wrn.Variance._.Only._.Report." localSheetId="3" hidden="1">{"Variance",#N/A,FALSE,"Forecast"}</definedName>
    <definedName name="wrn.Variance._.Only._.Report." hidden="1">{"Variance",#N/A,FALSE,"Forecast"}</definedName>
    <definedName name="wrn.Variance._.Q1." localSheetId="3" hidden="1">{"Variance Q1",#N/A,FALSE,"Var"}</definedName>
    <definedName name="wrn.Variance._.Q1." hidden="1">{"Variance Q1",#N/A,FALSE,"Var"}</definedName>
    <definedName name="wrn.Variance._.Q1._1" localSheetId="3" hidden="1">{"Variance Q1",#N/A,FALSE,"Var"}</definedName>
    <definedName name="wrn.Variance._.Q1._1" hidden="1">{"Variance Q1",#N/A,FALSE,"Var"}</definedName>
    <definedName name="wrn.Variance._.Q1._2" localSheetId="3" hidden="1">{"Variance Q1",#N/A,FALSE,"Var"}</definedName>
    <definedName name="wrn.Variance._.Q1._2" hidden="1">{"Variance Q1",#N/A,FALSE,"Var"}</definedName>
    <definedName name="wrn.Variance._.Q1._3" localSheetId="3" hidden="1">{"Variance Q1",#N/A,FALSE,"Var"}</definedName>
    <definedName name="wrn.Variance._.Q1._3" hidden="1">{"Variance Q1",#N/A,FALSE,"Var"}</definedName>
    <definedName name="wrn.Variance._.Q1._4" localSheetId="3" hidden="1">{"Variance Q1",#N/A,FALSE,"Var"}</definedName>
    <definedName name="wrn.Variance._.Q1._4" hidden="1">{"Variance Q1",#N/A,FALSE,"Var"}</definedName>
    <definedName name="wrn.Variance._.Q1._5" localSheetId="3" hidden="1">{"Variance Q1",#N/A,FALSE,"Var"}</definedName>
    <definedName name="wrn.Variance._.Q1._5" hidden="1">{"Variance Q1",#N/A,FALSE,"Var"}</definedName>
    <definedName name="wrn.Variance._.Q2." localSheetId="3" hidden="1">{"Variance Q2",#N/A,FALSE,"Var"}</definedName>
    <definedName name="wrn.Variance._.Q2." hidden="1">{"Variance Q2",#N/A,FALSE,"Var"}</definedName>
    <definedName name="wrn.Variance._.Q2._1" localSheetId="3" hidden="1">{"Variance Q2",#N/A,FALSE,"Var"}</definedName>
    <definedName name="wrn.Variance._.Q2._1" hidden="1">{"Variance Q2",#N/A,FALSE,"Var"}</definedName>
    <definedName name="wrn.Variance._.Q2._2" localSheetId="3" hidden="1">{"Variance Q2",#N/A,FALSE,"Var"}</definedName>
    <definedName name="wrn.Variance._.Q2._2" hidden="1">{"Variance Q2",#N/A,FALSE,"Var"}</definedName>
    <definedName name="wrn.Variance._.Q2._3" localSheetId="3" hidden="1">{"Variance Q2",#N/A,FALSE,"Var"}</definedName>
    <definedName name="wrn.Variance._.Q2._3" hidden="1">{"Variance Q2",#N/A,FALSE,"Var"}</definedName>
    <definedName name="wrn.Variance._.Q2._4" localSheetId="3" hidden="1">{"Variance Q2",#N/A,FALSE,"Var"}</definedName>
    <definedName name="wrn.Variance._.Q2._4" hidden="1">{"Variance Q2",#N/A,FALSE,"Var"}</definedName>
    <definedName name="wrn.Variance._.Q2._5" localSheetId="3" hidden="1">{"Variance Q2",#N/A,FALSE,"Var"}</definedName>
    <definedName name="wrn.Variance._.Q2._5" hidden="1">{"Variance Q2",#N/A,FALSE,"Var"}</definedName>
    <definedName name="wrn.Variance._.Q3." localSheetId="3" hidden="1">{"Variance Q3",#N/A,FALSE,"Var"}</definedName>
    <definedName name="wrn.Variance._.Q3." hidden="1">{"Variance Q3",#N/A,FALSE,"Var"}</definedName>
    <definedName name="wrn.Variance._.Q3._1" localSheetId="3" hidden="1">{"Variance Q3",#N/A,FALSE,"Var"}</definedName>
    <definedName name="wrn.Variance._.Q3._1" hidden="1">{"Variance Q3",#N/A,FALSE,"Var"}</definedName>
    <definedName name="wrn.Variance._.Q3._2" localSheetId="3" hidden="1">{"Variance Q3",#N/A,FALSE,"Var"}</definedName>
    <definedName name="wrn.Variance._.Q3._2" hidden="1">{"Variance Q3",#N/A,FALSE,"Var"}</definedName>
    <definedName name="wrn.Variance._.Q3._3" localSheetId="3" hidden="1">{"Variance Q3",#N/A,FALSE,"Var"}</definedName>
    <definedName name="wrn.Variance._.Q3._3" hidden="1">{"Variance Q3",#N/A,FALSE,"Var"}</definedName>
    <definedName name="wrn.Variance._.Q3._4" localSheetId="3" hidden="1">{"Variance Q3",#N/A,FALSE,"Var"}</definedName>
    <definedName name="wrn.Variance._.Q3._4" hidden="1">{"Variance Q3",#N/A,FALSE,"Var"}</definedName>
    <definedName name="wrn.Variance._.Q3._5" localSheetId="3" hidden="1">{"Variance Q3",#N/A,FALSE,"Var"}</definedName>
    <definedName name="wrn.Variance._.Q3._5" hidden="1">{"Variance Q3",#N/A,FALSE,"Var"}</definedName>
    <definedName name="wrn.Variance._.Q4" localSheetId="3" hidden="1">{"Variance Q4",#N/A,FALSE,"Var"}</definedName>
    <definedName name="wrn.Variance._.Q4" hidden="1">{"Variance Q4",#N/A,FALSE,"Var"}</definedName>
    <definedName name="wrn.Variance._.Q4." localSheetId="3" hidden="1">{"Variance Q4",#N/A,FALSE,"Var"}</definedName>
    <definedName name="wrn.Variance._.Q4." hidden="1">{"Variance Q4",#N/A,FALSE,"Var"}</definedName>
    <definedName name="wrn.Variance._.Q4._1" localSheetId="3" hidden="1">{"Variance Q4",#N/A,FALSE,"Var"}</definedName>
    <definedName name="wrn.Variance._.Q4._1" hidden="1">{"Variance Q4",#N/A,FALSE,"Var"}</definedName>
    <definedName name="wrn.Variance._.Q4._2" localSheetId="3" hidden="1">{"Variance Q4",#N/A,FALSE,"Var"}</definedName>
    <definedName name="wrn.Variance._.Q4._2" hidden="1">{"Variance Q4",#N/A,FALSE,"Var"}</definedName>
    <definedName name="wrn.Variance._.Q4._3" localSheetId="3" hidden="1">{"Variance Q4",#N/A,FALSE,"Var"}</definedName>
    <definedName name="wrn.Variance._.Q4._3" hidden="1">{"Variance Q4",#N/A,FALSE,"Var"}</definedName>
    <definedName name="wrn.Variance._.Q4._4" localSheetId="3" hidden="1">{"Variance Q4",#N/A,FALSE,"Var"}</definedName>
    <definedName name="wrn.Variance._.Q4._4" hidden="1">{"Variance Q4",#N/A,FALSE,"Var"}</definedName>
    <definedName name="wrn.Variance._.Q4._5" localSheetId="3" hidden="1">{"Variance Q4",#N/A,FALSE,"Var"}</definedName>
    <definedName name="wrn.Variance._.Q4._5" hidden="1">{"Variance Q4",#N/A,FALSE,"Var"}</definedName>
    <definedName name="wrn.Variance._.Q4_1" localSheetId="3" hidden="1">{"Variance Q4",#N/A,FALSE,"Var"}</definedName>
    <definedName name="wrn.Variance._.Q4_1" hidden="1">{"Variance Q4",#N/A,FALSE,"Var"}</definedName>
    <definedName name="wrn.Variance._.Q4_2" localSheetId="3" hidden="1">{"Variance Q4",#N/A,FALSE,"Var"}</definedName>
    <definedName name="wrn.Variance._.Q4_2" hidden="1">{"Variance Q4",#N/A,FALSE,"Var"}</definedName>
    <definedName name="wrn.Variance._.Q4_3" localSheetId="3" hidden="1">{"Variance Q4",#N/A,FALSE,"Var"}</definedName>
    <definedName name="wrn.Variance._.Q4_3" hidden="1">{"Variance Q4",#N/A,FALSE,"Var"}</definedName>
    <definedName name="wrn.Variance._.Q4_4" localSheetId="3" hidden="1">{"Variance Q4",#N/A,FALSE,"Var"}</definedName>
    <definedName name="wrn.Variance._.Q4_4" hidden="1">{"Variance Q4",#N/A,FALSE,"Var"}</definedName>
    <definedName name="wrn.Variance._.Q4_5" localSheetId="3" hidden="1">{"Variance Q4",#N/A,FALSE,"Var"}</definedName>
    <definedName name="wrn.Variance._.Q4_5" hidden="1">{"Variance Q4",#N/A,FALSE,"Var"}</definedName>
    <definedName name="wrn.VMCs." localSheetId="3" hidden="1">{"VMCs",#N/A,FALSE,"Flash PL"}</definedName>
    <definedName name="wrn.VMCs." hidden="1">{"VMCs",#N/A,FALSE,"Flash PL"}</definedName>
    <definedName name="wrn.Wacc." localSheetId="4" hidden="1">{"Area1",#N/A,FALSE,"OREWACC";"Area2",#N/A,FALSE,"OREWACC"}</definedName>
    <definedName name="wrn.Wacc." localSheetId="3" hidden="1">{"Area1",#N/A,FALSE,"OREWACC";"Area2",#N/A,FALSE,"OREWACC"}</definedName>
    <definedName name="wrn.Wacc." hidden="1">{"Area1",#N/A,FALSE,"OREWACC";"Area2",#N/A,FALSE,"OREWACC"}</definedName>
    <definedName name="wrn.Wacc._1" localSheetId="3" hidden="1">{"Area1",#N/A,FALSE,"OREWACC";"Area2",#N/A,FALSE,"OREWACC"}</definedName>
    <definedName name="wrn.Wacc._1" hidden="1">{"Area1",#N/A,FALSE,"OREWACC";"Area2",#N/A,FALSE,"OREWACC"}</definedName>
    <definedName name="wrn.Wacc._2" localSheetId="3" hidden="1">{"Area1",#N/A,FALSE,"OREWACC";"Area2",#N/A,FALSE,"OREWACC"}</definedName>
    <definedName name="wrn.Wacc._2" hidden="1">{"Area1",#N/A,FALSE,"OREWACC";"Area2",#N/A,FALSE,"OREWACC"}</definedName>
    <definedName name="wrn.Wacc._3" localSheetId="3" hidden="1">{"Area1",#N/A,FALSE,"OREWACC";"Area2",#N/A,FALSE,"OREWACC"}</definedName>
    <definedName name="wrn.Wacc._3" hidden="1">{"Area1",#N/A,FALSE,"OREWACC";"Area2",#N/A,FALSE,"OREWACC"}</definedName>
    <definedName name="wrn.Wacc._4" localSheetId="3" hidden="1">{"Area1",#N/A,FALSE,"OREWACC";"Area2",#N/A,FALSE,"OREWACC"}</definedName>
    <definedName name="wrn.Wacc._4" hidden="1">{"Area1",#N/A,FALSE,"OREWACC";"Area2",#N/A,FALSE,"OREWACC"}</definedName>
    <definedName name="wrn.Wacc._5" localSheetId="3" hidden="1">{"Area1",#N/A,FALSE,"OREWACC";"Area2",#N/A,FALSE,"OREWACC"}</definedName>
    <definedName name="wrn.Wacc._5" hidden="1">{"Area1",#N/A,FALSE,"OREWACC";"Area2",#N/A,FALSE,"OREWACC"}</definedName>
    <definedName name="wrn.Water." localSheetId="3" hidden="1">{#N/A,#N/A,FALSE,"Water";#N/A,#N/A,FALSE,"Ballygowan";#N/A,#N/A,FALSE,"Volvic"}</definedName>
    <definedName name="wrn.Water." hidden="1">{#N/A,#N/A,FALSE,"Water";#N/A,#N/A,FALSE,"Ballygowan";#N/A,#N/A,FALSE,"Volvic"}</definedName>
    <definedName name="wrn.WATERTOWN._.BUDGET." localSheetId="3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localSheetId="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Valuation";#N/A,#N/A,TRUE,"Western";#N/A,#N/A,TRUE,"Kranson";#N/A,#N/A,TRUE,"Product";#N/A,#N/A,TRUE,"Precise"}</definedName>
    <definedName name="wrn.Western._.Metal." localSheetId="3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3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localSheetId="3" hidden="1">{"first page",#N/A,FALSE,"Cost_sheet";"second page",#N/A,FALSE,"Cost_sheet"}</definedName>
    <definedName name="wrn.whole._.thing." hidden="1">{"first page",#N/A,FALSE,"Cost_sheet";"second page",#N/A,FALSE,"Cost_sheet"}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3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localSheetId="4" hidden="1">{#N/A,#N/A,FALSE,"FACTSHEETS";#N/A,#N/A,FALSE,"pump";#N/A,#N/A,FALSE,"filter"}</definedName>
    <definedName name="wrn.wicor." localSheetId="3" hidden="1">{#N/A,#N/A,FALSE,"FACTSHEETS";#N/A,#N/A,FALSE,"pump";#N/A,#N/A,FALSE,"filter"}</definedName>
    <definedName name="wrn.wicor." hidden="1">{#N/A,#N/A,FALSE,"FACTSHEETS";#N/A,#N/A,FALSE,"pump";#N/A,#N/A,FALSE,"filter"}</definedName>
    <definedName name="wrn.wicor._1" localSheetId="3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localSheetId="3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localSheetId="3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localSheetId="3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localSheetId="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localSheetId="3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localSheetId="3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localSheetId="3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localSheetId="3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localSheetId="3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localSheetId="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localSheetId="3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localSheetId="3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localSheetId="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localSheetId="3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localSheetId="3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localSheetId="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localSheetId="3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localSheetId="3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localSheetId="3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localSheetId="3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localSheetId="3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localSheetId="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localSheetId="3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localSheetId="3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localSheetId="3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localSheetId="3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localSheetId="3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localSheetId="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localSheetId="3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localSheetId="3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.without._.sub._.detail." localSheetId="3" hidden="1">{#N/A,#N/A,FALSE,"Consolidated ";#N/A,#N/A,FALSE,"Cons Ratios";#N/A,#N/A,FALSE,"CONSOLIDATE STATEMENTS FINAL";#N/A,#N/A,FALSE,"Parent";#N/A,#N/A,FALSE,"Parent Ratios"}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localSheetId="3" hidden="1">{"INCOME STATEMENT",#N/A,FALSE,"IS";"WWSALES",#N/A,FALSE,"WWSALES";"USSALES",#N/A,FALSE,"USSALES";"INTLSALES",#N/A,FALSE,"INTLSALES"}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localSheetId="4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3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localSheetId="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localSheetId="3" hidden="1">{"working capital",#N/A,FALSE,"Bal. Sht.- Work Cap"}</definedName>
    <definedName name="wrn.WORKING._.CAPITAL." hidden="1">{"working capital",#N/A,FALSE,"Bal. Sht.- Work Cap"}</definedName>
    <definedName name="wrn.Working._.Version." localSheetId="3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localSheetId="3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localSheetId="4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" localSheetId="3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localSheetId="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localSheetId="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localSheetId="3" hidden="1">{#N/A,#N/A,FALSE,"WWY"}</definedName>
    <definedName name="wrn.WWY." hidden="1">{#N/A,#N/A,FALSE,"WWY"}</definedName>
    <definedName name="wrn.X140." localSheetId="3" hidden="1">{"page1",#N/A,FALSE,"X140withReclasses";"page2",#N/A,FALSE,"X140withReclasses";"page3",#N/A,FALSE,"X140withReclasses"}</definedName>
    <definedName name="wrn.X140." hidden="1">{"page1",#N/A,FALSE,"X140withReclasses";"page2",#N/A,FALSE,"X140withReclasses";"page3",#N/A,FALSE,"X140withReclasses"}</definedName>
    <definedName name="wrn.xrates." localSheetId="3" hidden="1">{#N/A,#N/A,FALSE,"1996";#N/A,#N/A,FALSE,"1995";#N/A,#N/A,FALSE,"1994"}</definedName>
    <definedName name="wrn.xrates." hidden="1">{#N/A,#N/A,FALSE,"1996";#N/A,#N/A,FALSE,"1995";#N/A,#N/A,FALSE,"1994"}</definedName>
    <definedName name="wrn.YEARLY." localSheetId="4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localSheetId="3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localSheetId="3" hidden="1">{"YTD",#N/A,FALSE,"SUM"}</definedName>
    <definedName name="wrn.YTD." hidden="1">{"YTD",#N/A,FALSE,"SUM"}</definedName>
    <definedName name="wrn.YTD._.CON._.VS._.BUD." localSheetId="3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localSheetId="3" hidden="1">{"YTD CONSOL IS",#N/A,FALSE,"CONSOL";"MTD CONSOL BS",#N/A,FALSE,"CONSOL";"YTD CONSOL CF",#N/A,FALSE,"CONSOL";"YTD CONSOL COGS",#N/A,FALSE,"CONSOL";"YTD CONSOL SGA",#N/A,FALSE,"CONSOL"}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localSheetId="3" hidden="1">{"YTD CTT IS",#N/A,FALSE,"CTT";"MTD CTT BS",#N/A,FALSE,"CTT";"YTD CTT CF",#N/A,FALSE,"CTT";"YTD CTT COGS",#N/A,FALSE,"CTT";"YTD CTT SGA",#N/A,FALSE,"CTT"}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localSheetId="3" hidden="1">{"YTD CTT IS",#N/A,FALSE,"CTT VS BUDGET";"MTD CTT VS BUD BS",#N/A,FALSE,"CTT VS BUDGET";"YTD CTT CF",#N/A,FALSE,"CTT VS BUDGET";"YTD CTT COGS",#N/A,FALSE,"CTT VS BUDGET";"YTD CTT SGA",#N/A,FALSE,"CTT VS BUDGET"}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localSheetId="3" hidden="1">{#N/A,#N/A,FALSE,"Stmt"}</definedName>
    <definedName name="wrn.YTD._.Income._.Statement." hidden="1">{#N/A,#N/A,FALSE,"Stmt"}</definedName>
    <definedName name="wrn.YTD._.Income._.Statement._1" localSheetId="3" hidden="1">{#N/A,#N/A,FALSE,"Stmt"}</definedName>
    <definedName name="wrn.YTD._.Income._.Statement._1" hidden="1">{#N/A,#N/A,FALSE,"Stmt"}</definedName>
    <definedName name="wrn.YTD._.Income._.Statement._1_1" localSheetId="3" hidden="1">{#N/A,#N/A,FALSE,"Stmt"}</definedName>
    <definedName name="wrn.YTD._.Income._.Statement._1_1" hidden="1">{#N/A,#N/A,FALSE,"Stmt"}</definedName>
    <definedName name="wrn.YTD._.Income._.Statement._1_2" localSheetId="3" hidden="1">{#N/A,#N/A,FALSE,"Stmt"}</definedName>
    <definedName name="wrn.YTD._.Income._.Statement._1_2" hidden="1">{#N/A,#N/A,FALSE,"Stmt"}</definedName>
    <definedName name="wrn.YTD._.Income._.Statement._1_3" localSheetId="3" hidden="1">{#N/A,#N/A,FALSE,"Stmt"}</definedName>
    <definedName name="wrn.YTD._.Income._.Statement._1_3" hidden="1">{#N/A,#N/A,FALSE,"Stmt"}</definedName>
    <definedName name="wrn.YTD._.Income._.Statement._1_4" localSheetId="3" hidden="1">{#N/A,#N/A,FALSE,"Stmt"}</definedName>
    <definedName name="wrn.YTD._.Income._.Statement._1_4" hidden="1">{#N/A,#N/A,FALSE,"Stmt"}</definedName>
    <definedName name="wrn.YTD._.Income._.Statement._1_5" localSheetId="3" hidden="1">{#N/A,#N/A,FALSE,"Stmt"}</definedName>
    <definedName name="wrn.YTD._.Income._.Statement._1_5" hidden="1">{#N/A,#N/A,FALSE,"Stmt"}</definedName>
    <definedName name="wrn.YTD._.Income._.Statement._2" localSheetId="3" hidden="1">{#N/A,#N/A,FALSE,"Stmt"}</definedName>
    <definedName name="wrn.YTD._.Income._.Statement._2" hidden="1">{#N/A,#N/A,FALSE,"Stmt"}</definedName>
    <definedName name="wrn.YTD._.Income._.Statement._2_1" localSheetId="3" hidden="1">{#N/A,#N/A,FALSE,"Stmt"}</definedName>
    <definedName name="wrn.YTD._.Income._.Statement._2_1" hidden="1">{#N/A,#N/A,FALSE,"Stmt"}</definedName>
    <definedName name="wrn.YTD._.Income._.Statement._2_2" localSheetId="3" hidden="1">{#N/A,#N/A,FALSE,"Stmt"}</definedName>
    <definedName name="wrn.YTD._.Income._.Statement._2_2" hidden="1">{#N/A,#N/A,FALSE,"Stmt"}</definedName>
    <definedName name="wrn.YTD._.Income._.Statement._2_3" localSheetId="3" hidden="1">{#N/A,#N/A,FALSE,"Stmt"}</definedName>
    <definedName name="wrn.YTD._.Income._.Statement._2_3" hidden="1">{#N/A,#N/A,FALSE,"Stmt"}</definedName>
    <definedName name="wrn.YTD._.Income._.Statement._2_4" localSheetId="3" hidden="1">{#N/A,#N/A,FALSE,"Stmt"}</definedName>
    <definedName name="wrn.YTD._.Income._.Statement._2_4" hidden="1">{#N/A,#N/A,FALSE,"Stmt"}</definedName>
    <definedName name="wrn.YTD._.Income._.Statement._2_5" localSheetId="3" hidden="1">{#N/A,#N/A,FALSE,"Stmt"}</definedName>
    <definedName name="wrn.YTD._.Income._.Statement._2_5" hidden="1">{#N/A,#N/A,FALSE,"Stmt"}</definedName>
    <definedName name="wrn.YTD._.Income._.Statement._3" localSheetId="3" hidden="1">{#N/A,#N/A,FALSE,"Stmt"}</definedName>
    <definedName name="wrn.YTD._.Income._.Statement._3" hidden="1">{#N/A,#N/A,FALSE,"Stmt"}</definedName>
    <definedName name="wrn.YTD._.Income._.Statement._3_1" localSheetId="3" hidden="1">{#N/A,#N/A,FALSE,"Stmt"}</definedName>
    <definedName name="wrn.YTD._.Income._.Statement._3_1" hidden="1">{#N/A,#N/A,FALSE,"Stmt"}</definedName>
    <definedName name="wrn.YTD._.Income._.Statement._3_2" localSheetId="3" hidden="1">{#N/A,#N/A,FALSE,"Stmt"}</definedName>
    <definedName name="wrn.YTD._.Income._.Statement._3_2" hidden="1">{#N/A,#N/A,FALSE,"Stmt"}</definedName>
    <definedName name="wrn.YTD._.Income._.Statement._3_3" localSheetId="3" hidden="1">{#N/A,#N/A,FALSE,"Stmt"}</definedName>
    <definedName name="wrn.YTD._.Income._.Statement._3_3" hidden="1">{#N/A,#N/A,FALSE,"Stmt"}</definedName>
    <definedName name="wrn.YTD._.Income._.Statement._3_4" localSheetId="3" hidden="1">{#N/A,#N/A,FALSE,"Stmt"}</definedName>
    <definedName name="wrn.YTD._.Income._.Statement._3_4" hidden="1">{#N/A,#N/A,FALSE,"Stmt"}</definedName>
    <definedName name="wrn.YTD._.Income._.Statement._3_5" localSheetId="3" hidden="1">{#N/A,#N/A,FALSE,"Stmt"}</definedName>
    <definedName name="wrn.YTD._.Income._.Statement._3_5" hidden="1">{#N/A,#N/A,FALSE,"Stmt"}</definedName>
    <definedName name="wrn.YTD._.Income._.Statement._4" localSheetId="3" hidden="1">{#N/A,#N/A,FALSE,"Stmt"}</definedName>
    <definedName name="wrn.YTD._.Income._.Statement._4" hidden="1">{#N/A,#N/A,FALSE,"Stmt"}</definedName>
    <definedName name="wrn.YTD._.Income._.Statement._4_1" localSheetId="3" hidden="1">{#N/A,#N/A,FALSE,"Stmt"}</definedName>
    <definedName name="wrn.YTD._.Income._.Statement._4_1" hidden="1">{#N/A,#N/A,FALSE,"Stmt"}</definedName>
    <definedName name="wrn.YTD._.Income._.Statement._4_2" localSheetId="3" hidden="1">{#N/A,#N/A,FALSE,"Stmt"}</definedName>
    <definedName name="wrn.YTD._.Income._.Statement._4_2" hidden="1">{#N/A,#N/A,FALSE,"Stmt"}</definedName>
    <definedName name="wrn.YTD._.Income._.Statement._4_3" localSheetId="3" hidden="1">{#N/A,#N/A,FALSE,"Stmt"}</definedName>
    <definedName name="wrn.YTD._.Income._.Statement._4_3" hidden="1">{#N/A,#N/A,FALSE,"Stmt"}</definedName>
    <definedName name="wrn.YTD._.Income._.Statement._4_4" localSheetId="3" hidden="1">{#N/A,#N/A,FALSE,"Stmt"}</definedName>
    <definedName name="wrn.YTD._.Income._.Statement._4_4" hidden="1">{#N/A,#N/A,FALSE,"Stmt"}</definedName>
    <definedName name="wrn.YTD._.Income._.Statement._4_5" localSheetId="3" hidden="1">{#N/A,#N/A,FALSE,"Stmt"}</definedName>
    <definedName name="wrn.YTD._.Income._.Statement._4_5" hidden="1">{#N/A,#N/A,FALSE,"Stmt"}</definedName>
    <definedName name="wrn.YTD._.Income._.Statement._5" localSheetId="3" hidden="1">{#N/A,#N/A,FALSE,"Stmt"}</definedName>
    <definedName name="wrn.YTD._.Income._.Statement._5" hidden="1">{#N/A,#N/A,FALSE,"Stmt"}</definedName>
    <definedName name="wrn.YTD._.Income._.Statement._5_1" localSheetId="3" hidden="1">{#N/A,#N/A,FALSE,"Stmt"}</definedName>
    <definedName name="wrn.YTD._.Income._.Statement._5_1" hidden="1">{#N/A,#N/A,FALSE,"Stmt"}</definedName>
    <definedName name="wrn.YTD._.Income._.Statement._5_2" localSheetId="3" hidden="1">{#N/A,#N/A,FALSE,"Stmt"}</definedName>
    <definedName name="wrn.YTD._.Income._.Statement._5_2" hidden="1">{#N/A,#N/A,FALSE,"Stmt"}</definedName>
    <definedName name="wrn.YTD._.Income._.Statement._5_3" localSheetId="3" hidden="1">{#N/A,#N/A,FALSE,"Stmt"}</definedName>
    <definedName name="wrn.YTD._.Income._.Statement._5_3" hidden="1">{#N/A,#N/A,FALSE,"Stmt"}</definedName>
    <definedName name="wrn.YTD._.Income._.Statement._5_4" localSheetId="3" hidden="1">{#N/A,#N/A,FALSE,"Stmt"}</definedName>
    <definedName name="wrn.YTD._.Income._.Statement._5_4" hidden="1">{#N/A,#N/A,FALSE,"Stmt"}</definedName>
    <definedName name="wrn.YTD._.Income._.Statement._5_5" localSheetId="3" hidden="1">{#N/A,#N/A,FALSE,"Stmt"}</definedName>
    <definedName name="wrn.YTD._.Income._.Statement._5_5" hidden="1">{#N/A,#N/A,FALSE,"Stmt"}</definedName>
    <definedName name="wrn.YTD._.PACKAGE." localSheetId="3" hidden="1">{"YD PACKAGE",#N/A,FALSE,"YTD"}</definedName>
    <definedName name="wrn.YTD._.PACKAGE." hidden="1">{"YD PACKAGE",#N/A,FALSE,"YTD"}</definedName>
    <definedName name="wrn.YTD._.PRS." localSheetId="3" hidden="1">{"YD PRS",#N/A,FALSE,"YTD"}</definedName>
    <definedName name="wrn.YTD._.PRS." hidden="1">{"YD PRS",#N/A,FALSE,"YTD"}</definedName>
    <definedName name="wrn.YTD._.WLLC._.STMTS." localSheetId="3" hidden="1">{"YTDIS",#N/A,FALSE,"WLLC";"MTDBS",#N/A,FALSE,"WLLC";"YTDCF",#N/A,FALSE,"WLLC";"YTDCOGS",#N/A,FALSE,"WLLC";"YTDSGA",#N/A,FALSE,"WLLC"}</definedName>
    <definedName name="wrn.YTD._.WLLC._.STMTS." hidden="1">{"YTDIS",#N/A,FALSE,"WLLC";"MTDBS",#N/A,FALSE,"WLLC";"YTDCF",#N/A,FALSE,"WLLC";"YTDCOGS",#N/A,FALSE,"WLLC";"YTDSGA",#N/A,FALSE,"WLLC"}</definedName>
    <definedName name="wrn.YTD._.WLLC._.VS._.BUDG." localSheetId="3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localSheetId="3" hidden="1">{"YD LAPO2",#N/A,FALSE,"YTD";"YD LPH2",#N/A,FALSE,"YTD";"YD LOUISIANA",#N/A,FALSE,"YTD";"YD GENERALH2",#N/A,FALSE,"YTD";"YD PRS",#N/A,FALSE,"YTD";"YD PACKAGE",#N/A,FALSE,"YTD";"YD OTHER",#N/A,FALSE,"YTD"}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localSheetId="3" hidden="1">{"YD GENERALH2",#N/A,FALSE,"YTD"}</definedName>
    <definedName name="wrn.YTD_GENERALH2." hidden="1">{"YD GENERALH2",#N/A,FALSE,"YTD"}</definedName>
    <definedName name="wrn.YTD_LAPORTE_O2N2." localSheetId="3" hidden="1">{"YD LAPO2",#N/A,FALSE,"YTD"}</definedName>
    <definedName name="wrn.YTD_LAPORTE_O2N2." hidden="1">{"YD LAPO2",#N/A,FALSE,"YTD"}</definedName>
    <definedName name="wrn.YTD_LOUISIANA." localSheetId="3" hidden="1">{"YD LOUISIANA",#N/A,FALSE,"YTD"}</definedName>
    <definedName name="wrn.YTD_LOUISIANA." hidden="1">{"YD LOUISIANA",#N/A,FALSE,"YTD"}</definedName>
    <definedName name="wrn.YTD_OTHER." localSheetId="3" hidden="1">{"YD OTHER",#N/A,FALSE,"YTD"}</definedName>
    <definedName name="wrn.YTD_OTHER." hidden="1">{"YD OTHER",#N/A,FALSE,"YTD"}</definedName>
    <definedName name="wrn.YTD_TEXAS._.HYCO." localSheetId="3" hidden="1">{"YD LPH2",#N/A,FALSE,"YTD"}</definedName>
    <definedName name="wrn.YTD_TEXAS._.HYCO." hidden="1">{"YD LPH2",#N/A,FALSE,"YTD"}</definedName>
    <definedName name="wrn.YTDvsBud." localSheetId="3" hidden="1">{"Pg1",#N/A,FALSE,"OpExYTDvsBud";"Pg2",#N/A,FALSE,"OpExYTDvsBud"}</definedName>
    <definedName name="wrn.YTDvsBud." hidden="1">{"Pg1",#N/A,FALSE,"OpExYTDvsBud";"Pg2",#N/A,FALSE,"OpExYTDvsBud"}</definedName>
    <definedName name="wrn.YTDvsPY." localSheetId="3" hidden="1">{"Pa1",#N/A,FALSE,"OpExYTDvsPY";"Pa2",#N/A,FALSE,"OpExYTDvsPY"}</definedName>
    <definedName name="wrn.YTDvsPY." hidden="1">{"Pa1",#N/A,FALSE,"OpExYTDvsPY";"Pa2",#N/A,FALSE,"OpExYTDvsPY"}</definedName>
    <definedName name="wrn.z_ALL." localSheetId="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localSheetId="4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localSheetId="4" hidden="1">{"ZELPG1",#N/A,FALSE,"1995";"ZELPG2",#N/A,FALSE,"1995";"ZELPG3",#N/A,FALSE,"1995"}</definedName>
    <definedName name="wrn.ZELLERS." localSheetId="3" hidden="1">{"ZELPG1",#N/A,FALSE,"1995";"ZELPG2",#N/A,FALSE,"1995";"ZELPG3",#N/A,FALSE,"1995"}</definedName>
    <definedName name="wrn.ZELLERS." hidden="1">{"ZELPG1",#N/A,FALSE,"1995";"ZELPG2",#N/A,FALSE,"1995";"ZELPG3",#N/A,FALSE,"1995"}</definedName>
    <definedName name="wrn.zolfo._.package." localSheetId="3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localSheetId="3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localSheetId="3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localSheetId="3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localSheetId="3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localSheetId="3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localSheetId="3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localSheetId="3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localSheetId="3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localSheetId="3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localSheetId="3" hidden="1">{"אגיס סוכנויות - מלאי",#N/A,FALSE,"מלאי";"הנחות מספקים",#N/A,FALSE,"מלאי";"פיצול קבוצה 44 חברה 30",#N/A,FALSE,"מלאי"}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localSheetId="3" hidden="1">{"רווח והפסד",#N/A,FALSE,"תכנית לבנק (2)";"באור_ראשון",#N/A,FALSE,"תכנית לבנק (2)";"באור_שני",#N/A,FALSE,"תכנית לבנק (2)";"מכירות",#N/A,FALSE,"SALES"}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localSheetId="3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localSheetId="3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localSheetId="4" hidden="1">{#N/A,#N/A,FALSE,"חודשי"}</definedName>
    <definedName name="wrn.הוצאות._.מכירה_חודשי." localSheetId="3" hidden="1">{#N/A,#N/A,FALSE,"חודשי"}</definedName>
    <definedName name="wrn.הוצאות._.מכירה_חודשי." hidden="1">{#N/A,#N/A,FALSE,"חודשי"}</definedName>
    <definedName name="wrn.הוצאות_מימון." localSheetId="4" hidden="1">{#N/A,#N/A,FALSE,"חודשי"}</definedName>
    <definedName name="wrn.הוצאות_מימון." localSheetId="3" hidden="1">{#N/A,#N/A,FALSE,"חודשי"}</definedName>
    <definedName name="wrn.הוצאות_מימון." hidden="1">{#N/A,#N/A,FALSE,"חודשי"}</definedName>
    <definedName name="wrn.הכנסות." localSheetId="4" hidden="1">{#N/A,#N/A,TRUE,"צפי הכנסות-צביקה"}</definedName>
    <definedName name="wrn.הכנסות." localSheetId="3" hidden="1">{#N/A,#N/A,TRUE,"צפי הכנסות-צביקה"}</definedName>
    <definedName name="wrn.הכנסות." hidden="1">{#N/A,#N/A,TRUE,"צפי הכנסות-צביקה"}</definedName>
    <definedName name="wrn.הכנסות_חודשי." localSheetId="4" hidden="1">{#N/A,#N/A,FALSE,"חודשי"}</definedName>
    <definedName name="wrn.הכנסות_חודשי." localSheetId="3" hidden="1">{#N/A,#N/A,FALSE,"חודשי"}</definedName>
    <definedName name="wrn.הכנסות_חודשי." hidden="1">{#N/A,#N/A,FALSE,"חודשי"}</definedName>
    <definedName name="wrn.הנהלה_וכלליות_חודשי." localSheetId="4" hidden="1">{#N/A,#N/A,FALSE,"חודשי"}</definedName>
    <definedName name="wrn.הנהלה_וכלליות_חודשי." localSheetId="3" hidden="1">{#N/A,#N/A,FALSE,"חודשי"}</definedName>
    <definedName name="wrn.הנהלה_וכלליות_חודשי." hidden="1">{#N/A,#N/A,FALSE,"חודשי"}</definedName>
    <definedName name="wrn.הערות._.רבעון._.3." localSheetId="3" hidden="1">{"הערות",#N/A,FALSE,"תקציב מול ביצוע (2)"}</definedName>
    <definedName name="wrn.הערות._.רבעון._.3." hidden="1">{"הערות",#N/A,FALSE,"תקציב מול ביצוע (2)"}</definedName>
    <definedName name="wrn.השוואה._.דוח._.כספי." localSheetId="4" hidden="1">{"מאזן אחוזים",#N/A,FALSE,"מאזן";"רוה""ס אחוזים",#N/A,FALSE,"רוה""ס";"תזרים אחוזים",#N/A,FALSE,"תזרים";"מגזרים אחוזים",#N/A,FALSE,"מגזרים"}</definedName>
    <definedName name="wrn.השוואה._.דוח._.כספי." localSheetId="3" hidden="1">{"מאזן אחוזים",#N/A,FALSE,"מאזן";"רוה""ס אחוזים",#N/A,FALSE,"רוה""ס";"תזרים אחוזים",#N/A,FALSE,"תזרים";"מגזרים אחוזים",#N/A,FALSE,"מגזרים"}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localSheetId="4" hidden="1">{#N/A,#N/A,FALSE,"השקעות"}</definedName>
    <definedName name="wrn.השקעות." localSheetId="3" hidden="1">{#N/A,#N/A,FALSE,"השקעות"}</definedName>
    <definedName name="wrn.השקעות." hidden="1">{#N/A,#N/A,FALSE,"השקעות"}</definedName>
    <definedName name="wrn.חוברת._.ניתוחים." localSheetId="3" hidden="1">{#N/A,#N/A,FALSE,"מאזנים"}</definedName>
    <definedName name="wrn.חוברת._.ניתוחים." hidden="1">{#N/A,#N/A,FALSE,"מאזנים"}</definedName>
    <definedName name="wrn.חוברת._.ניתוחים._1" localSheetId="3" hidden="1">{#N/A,#N/A,FALSE,"מאזנים"}</definedName>
    <definedName name="wrn.חוברת._.ניתוחים._1" hidden="1">{#N/A,#N/A,FALSE,"מאזנים"}</definedName>
    <definedName name="wrn.חטיבת._.לוגיסטיקה." localSheetId="3" hidden="1">{#N/A,#N/A,FALSE,"מערך הלוגיסטיקה"}</definedName>
    <definedName name="wrn.חטיבת._.לוגיסטיקה." hidden="1">{#N/A,#N/A,FALSE,"מערך הלוגיסטיקה"}</definedName>
    <definedName name="wrn.חלופות_לתקציב." localSheetId="4" hidden="1">{#N/A,#N/A,FALSE,"חלופות לתקציב"}</definedName>
    <definedName name="wrn.חלופות_לתקציב." localSheetId="3" hidden="1">{#N/A,#N/A,FALSE,"חלופות לתקציב"}</definedName>
    <definedName name="wrn.חלופות_לתקציב." hidden="1">{#N/A,#N/A,FALSE,"חלופות לתקציב"}</definedName>
    <definedName name="wrn.טבלאות_עזר." localSheetId="3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localSheetId="3" hidden="1">{#N/A,#N/A,FALSE,"חנויות כלבו"}</definedName>
    <definedName name="wrn.ירושליים._.מצטבר." hidden="1">{#N/A,#N/A,FALSE,"חנויות כלבו"}</definedName>
    <definedName name="wrn.ירושליים._.שוטף." localSheetId="3" hidden="1">{#N/A,#N/A,FALSE,"חנויות כלבו"}</definedName>
    <definedName name="wrn.ירושליים._.שוטף." hidden="1">{#N/A,#N/A,FALSE,"חנויות כלבו"}</definedName>
    <definedName name="wrn.ישראל._.מצטבר." localSheetId="3" hidden="1">{#N/A,#N/A,FALSE,"חנויות כלבו"}</definedName>
    <definedName name="wrn.ישראל._.מצטבר." hidden="1">{#N/A,#N/A,FALSE,"חנויות כלבו"}</definedName>
    <definedName name="wrn.ישראל._.שוטף." localSheetId="3" hidden="1">{#N/A,#N/A,FALSE,"חנויות כלבו"}</definedName>
    <definedName name="wrn.ישראל._.שוטף." hidden="1">{#N/A,#N/A,FALSE,"חנויות כלבו"}</definedName>
    <definedName name="wrn.כותרת._.הוצאות." localSheetId="3" hidden="1">{#N/A,#N/A,FALSE,"כותרת"}</definedName>
    <definedName name="wrn.כותרת._.הוצאות." hidden="1">{#N/A,#N/A,FALSE,"כותרת"}</definedName>
    <definedName name="wrn.כותרת._.מצטבר." localSheetId="3" hidden="1">{#N/A,#N/A,FALSE,"כותרת"}</definedName>
    <definedName name="wrn.כותרת._.מצטבר." hidden="1">{#N/A,#N/A,FALSE,"כותרת"}</definedName>
    <definedName name="wrn.כותרת._.ראשית." localSheetId="3" hidden="1">{#N/A,#N/A,FALSE,"כותרת"}</definedName>
    <definedName name="wrn.כותרת._.ראשית." hidden="1">{#N/A,#N/A,FALSE,"כותרת"}</definedName>
    <definedName name="wrn.כותרת._.שוטף." localSheetId="3" hidden="1">{#N/A,#N/A,FALSE,"כותרת"}</definedName>
    <definedName name="wrn.כותרת._.שוטף." hidden="1">{#N/A,#N/A,FALSE,"כותרת"}</definedName>
    <definedName name="wrn.לוח_תוכניות." localSheetId="4" hidden="1">{#N/A,#N/A,FALSE,"תוכניות"}</definedName>
    <definedName name="wrn.לוח_תוכניות." localSheetId="3" hidden="1">{#N/A,#N/A,FALSE,"תוכניות"}</definedName>
    <definedName name="wrn.לוח_תוכניות." hidden="1">{#N/A,#N/A,FALSE,"תוכניות"}</definedName>
    <definedName name="wrn.מאוחד._.מצטבר." localSheetId="3" hidden="1">{#N/A,#N/A,FALSE,"משביר ישראל מאוחד"}</definedName>
    <definedName name="wrn.מאוחד._.מצטבר." hidden="1">{#N/A,#N/A,FALSE,"משביר ישראל מאוחד"}</definedName>
    <definedName name="wrn.מאוחד._.מצטבר._.96." localSheetId="3" hidden="1">{#N/A,#N/A,FALSE,"משביר ישראל מאוחד"}</definedName>
    <definedName name="wrn.מאוחד._.מצטבר._.96." hidden="1">{#N/A,#N/A,FALSE,"משביר ישראל מאוחד"}</definedName>
    <definedName name="wrn.מאוחד._.שוטף." localSheetId="3" hidden="1">{#N/A,#N/A,FALSE,"משביר ישראל מאוחד"}</definedName>
    <definedName name="wrn.מאוחד._.שוטף." hidden="1">{#N/A,#N/A,FALSE,"משביר ישראל מאוחד"}</definedName>
    <definedName name="wrn.מאזן." localSheetId="3" hidden="1">{"מאזן",#N/A,FALSE,"מאזן בוחן"}</definedName>
    <definedName name="wrn.מאזן." hidden="1">{"מאזן",#N/A,FALSE,"מאזן בוחן"}</definedName>
    <definedName name="wrn.מאזן_בוחן_כללי." localSheetId="4" hidden="1">{#N/A,#N/A,FALSE,"מאזן בוחן";"כל_מאזן_בוחן",#N/A,FALSE,"מאזן בוחן"}</definedName>
    <definedName name="wrn.מאזן_בוחן_כללי." localSheetId="3" hidden="1">{#N/A,#N/A,FALSE,"מאזן בוחן";"כל_מאזן_בוחן",#N/A,FALSE,"מאזן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localSheetId="3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localSheetId="3" hidden="1">{#N/A,#N/A,FALSE,"משביר ישראל מאוחד"}</definedName>
    <definedName name="wrn.מואחד._.שוטף96." hidden="1">{#N/A,#N/A,FALSE,"משביר ישראל מאוחד"}</definedName>
    <definedName name="wrn.מופ." localSheetId="3" hidden="1">{"באור_מופ",#N/A,FALSE,"R&amp;D";"מופ_לפי_מוצרים",#N/A,FALSE,"R&amp;D"}</definedName>
    <definedName name="wrn.מופ." hidden="1">{"באור_מופ",#N/A,FALSE,"R&amp;D";"מופ_לפי_מוצרים",#N/A,FALSE,"R&amp;D"}</definedName>
    <definedName name="wrn.מלאי._.מת." localSheetId="3" hidden="1">{"מלאי מת טכניקון",#N/A,FALSE,"מלאי";"מלאי מת טאיקו",#N/A,FALSE,"מלאי";"מלאי מת יפס",#N/A,FALSE,"מלאי"}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localSheetId="3" hidden="1">{#N/A,#N/A,FALSE,"חנויות"}</definedName>
    <definedName name="wrn.משולב._.חנויות." hidden="1">{#N/A,#N/A,FALSE,"חנויות"}</definedName>
    <definedName name="wrn.משולב._.תאגידים." localSheetId="3" hidden="1">{#N/A,#N/A,FALSE,"תאגידים";#N/A,#N/A,FALSE,"תאגידים"}</definedName>
    <definedName name="wrn.משולב._.תאגידים." hidden="1">{#N/A,#N/A,FALSE,"תאגידים";#N/A,#N/A,FALSE,"תאגידים"}</definedName>
    <definedName name="wrn.ניירות._.עבודה.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localSheetId="4" hidden="1">{#N/A,#N/A,TRUE,"רבעוני מעודכן";#N/A,#N/A,TRUE,"השוואת תקציבים";#N/A,#N/A,TRUE,"הכנסות";#N/A,#N/A,TRUE,"רגישות"}</definedName>
    <definedName name="wrn.ניירות._.עבודה._.לועדת._.כספים." localSheetId="3" hidden="1">{#N/A,#N/A,TRUE,"רבעוני מעודכן";#N/A,#N/A,TRUE,"השוואת תקציבים";#N/A,#N/A,TRUE,"הכנסות";#N/A,#N/A,TRUE,"רגישות"}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localSheetId="4" hidden="1">{#N/A,#N/A,FALSE,"מאזן";#N/A,#N/A,FALSE,"רוה""ס";#N/A,#N/A,FALSE,"שינויים בהון";#N/A,#N/A,FALSE,"תזרים";#N/A,#N/A,FALSE,"מגזרים";#N/A,#N/A,FALSE,"שעח"}</definedName>
    <definedName name="wrn.נתוני._.דוח._.כספי." localSheetId="3" hidden="1">{#N/A,#N/A,FALSE,"מאזן";#N/A,#N/A,FALSE,"רוה""ס";#N/A,#N/A,FALSE,"שינויים בהון";#N/A,#N/A,FALSE,"תזרים";#N/A,#N/A,FALSE,"מגזרים";#N/A,#N/A,FALSE,"שעח"}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localSheetId="4" hidden="1">{#N/A,#N/A,FALSE,"חודשי"}</definedName>
    <definedName name="wrn.עלות._.השידורים_חודשי." localSheetId="3" hidden="1">{#N/A,#N/A,FALSE,"חודשי"}</definedName>
    <definedName name="wrn.עלות._.השידורים_חודשי." hidden="1">{#N/A,#N/A,FALSE,"חודשי"}</definedName>
    <definedName name="wrn.רווה." localSheetId="3" hidden="1">{"רווה",#N/A,FALSE,"מאזן בוחן"}</definedName>
    <definedName name="wrn.רווה." hidden="1">{"רווה",#N/A,FALSE,"מאזן בוחן"}</definedName>
    <definedName name="wrn.רווה_לפי_מוצרים." localSheetId="3" hidden="1">{"ossix",#N/A,FALSE,"ossix";"דרמיקול",#N/A,FALSE,"dermicol";"reflux",#N/A,FALSE,"reflux";"מופ_לפי_מוצרים",#N/A,FALSE,"R&amp;D"}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localSheetId="4" hidden="1">{#N/A,#N/A,FALSE,"חודשי"}</definedName>
    <definedName name="wrn.ריכוז_חודשי." localSheetId="3" hidden="1">{#N/A,#N/A,FALSE,"חודשי"}</definedName>
    <definedName name="wrn.ריכוז_חודשי." hidden="1">{#N/A,#N/A,FALSE,"חודשי"}</definedName>
    <definedName name="wrn.שכר_כולל." localSheetId="3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localSheetId="4" hidden="1">{#N/A,#N/A,FALSE,"שכר מרכז"}</definedName>
    <definedName name="wrn.שכר_מרכז." localSheetId="3" hidden="1">{#N/A,#N/A,FALSE,"שכר מרכז"}</definedName>
    <definedName name="wrn.שכר_מרכז." hidden="1">{#N/A,#N/A,FALSE,"שכר מרכז"}</definedName>
    <definedName name="wrn.תזרים." localSheetId="3" hidden="1">{"תזרים",#N/A,FALSE,"cf"}</definedName>
    <definedName name="wrn.תזרים." hidden="1">{"תזרים",#N/A,FALSE,"cf"}</definedName>
    <definedName name="wrn.תקורות_חודשי." localSheetId="4" hidden="1">{#N/A,#N/A,FALSE,"חודשי"}</definedName>
    <definedName name="wrn.תקורות_חודשי." localSheetId="3" hidden="1">{#N/A,#N/A,FALSE,"חודשי"}</definedName>
    <definedName name="wrn.תקורות_חודשי." hidden="1">{#N/A,#N/A,FALSE,"חודשי"}</definedName>
    <definedName name="wrn.תקציב._._תמחיר." localSheetId="4" hidden="1">{#N/A,#N/A,FALSE,"תקציב עפ""י תמחיר"}</definedName>
    <definedName name="wrn.תקציב._._תמחיר." localSheetId="3" hidden="1">{#N/A,#N/A,FALSE,"תקציב עפ""י תמחיר"}</definedName>
    <definedName name="wrn.תקציב._._תמחיר." hidden="1">{#N/A,#N/A,FALSE,"תקציב עפ""י תמחיר"}</definedName>
    <definedName name="wrn.תקציב_2002_רבעוני." localSheetId="4" hidden="1">{#N/A,#N/A,TRUE,"רבעוני"}</definedName>
    <definedName name="wrn.תקציב_2002_רבעוני." localSheetId="3" hidden="1">{#N/A,#N/A,TRUE,"רבעוני"}</definedName>
    <definedName name="wrn.תקציב_2002_רבעוני." hidden="1">{#N/A,#N/A,TRUE,"רבעוני"}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localSheetId="3" hidden="1">{#N/A,#N/A,TRUE,"인수_증설"}</definedName>
    <definedName name="wrn.인수." hidden="1">{#N/A,#N/A,TRUE,"인수_증설"}</definedName>
    <definedName name="wrn.조흥94세무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localSheetId="3" hidden="1">{#N/A,#N/A,FALSE,"포장단가"}</definedName>
    <definedName name="wrn.포장단가." hidden="1">{#N/A,#N/A,FALSE,"포장단가"}</definedName>
    <definedName name="wrn_eva" localSheetId="4" hidden="1">{"EVA",#N/A,FALSE,"EVA";"WACC",#N/A,FALSE,"WACC"}</definedName>
    <definedName name="wrn_eva" localSheetId="3" hidden="1">{"EVA",#N/A,FALSE,"EVA";"WACC",#N/A,FALSE,"WACC"}</definedName>
    <definedName name="wrn_eva" hidden="1">{"EVA",#N/A,FALSE,"EVA";"WACC",#N/A,FALSE,"WACC"}</definedName>
    <definedName name="wrn_otpt" localSheetId="4" hidden="1">{"DCF","UPSIDE CASE",FALSE,"Sheet1";"DCF","BASE CASE",FALSE,"Sheet1";"DCF","DOWNSIDE CASE",FALSE,"Sheet1"}</definedName>
    <definedName name="wrn_otpt" localSheetId="3">{"DCF","UPSIDE CASE",FALSE,"Sheet1";"DCF","BASE CASE",FALSE,"Sheet1";"DCF","DOWNSIDE CASE",FALSE,"Sheet1"}</definedName>
    <definedName name="wrn_otpt">{"DCF","UPSIDE CASE",FALSE,"Sheet1";"DCF","BASE CASE",FALSE,"Sheet1";"DCF","DOWNSIDE CASE",FALSE,"Sheet1"}</definedName>
    <definedName name="wrn1.Current._.Month._.Everything" localSheetId="3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localSheetId="3" hidden="1">{"DOWNLOAD",#N/A,FALSE,"GLDownload";"UPLOAD",#N/A,FALSE,"GLUpload"}</definedName>
    <definedName name="wrn1.PRINT." hidden="1">{"DOWNLOAD",#N/A,FALSE,"GLDownload";"UPLOAD",#N/A,FALSE,"GLUpload"}</definedName>
    <definedName name="wrn1.print._.all." localSheetId="3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1.repot" localSheetId="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localSheetId="3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localSheetId="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localSheetId="3" hidden="1">{#N/A,#N/A,FALSE,"e-Svc Level";#N/A,#N/A,FALSE,"e-Hosted";#N/A,#N/A,FALSE,"e-Licensed";#N/A,#N/A,FALSE,"Assumptions"}</definedName>
    <definedName name="wrn2.Basic" hidden="1">{#N/A,#N/A,FALSE,"e-Svc Level";#N/A,#N/A,FALSE,"e-Hosted";#N/A,#N/A,FALSE,"e-Licensed";#N/A,#N/A,FALSE,"Assumptions"}</definedName>
    <definedName name="wrn2.Basic." localSheetId="3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localSheetId="3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3.ALL." localSheetId="3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localSheetId="3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a.prod_1" localSheetId="3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localSheetId="3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localSheetId="3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localSheetId="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localSheetId="3" hidden="1">{"detail",#N/A,FALSE,"mfg";"summary",#N/A,FALSE,"mfg"}</definedName>
    <definedName name="wrnaboth" hidden="1">{"detail",#N/A,FALSE,"mfg";"summary",#N/A,FALSE,"mfg"}</definedName>
    <definedName name="wrnats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localSheetId="3" hidden="1">{"detail",#N/A,FALSE,"mfg";"summary",#N/A,FALSE,"mfg"}</definedName>
    <definedName name="wrnavboth" hidden="1">{"detail",#N/A,FALSE,"mfg";"summary",#N/A,FALSE,"mfg"}</definedName>
    <definedName name="wrnavpucspadd" localSheetId="3" hidden="1">{#N/A,"PURCHM",FALSE,"Business Analysis";#N/A,"SPADD",FALSE,"Business Analysis"}</definedName>
    <definedName name="wrnavpucspadd" hidden="1">{#N/A,"PURCHM",FALSE,"Business Analysis";#N/A,"SPADD",FALSE,"Business Analysis"}</definedName>
    <definedName name="wrnb213" localSheetId="3" hidden="1">{"detail",#N/A,FALSE,"mfg";"summary",#N/A,FALSE,"mfg"}</definedName>
    <definedName name="wrnb213" hidden="1">{"detail",#N/A,FALSE,"mfg";"summary",#N/A,FALSE,"mfg"}</definedName>
    <definedName name="wrnb412" localSheetId="3" hidden="1">{"detail",#N/A,FALSE,"mfg";"summary",#N/A,FALSE,"mfg"}</definedName>
    <definedName name="wrnb412" hidden="1">{"detail",#N/A,FALSE,"mfg";"summary",#N/A,FALSE,"mfg"}</definedName>
    <definedName name="wrnboth14a" localSheetId="3" hidden="1">{"detail",#N/A,FALSE,"mfg";"summary",#N/A,FALSE,"mfg"}</definedName>
    <definedName name="wrnboth14a" hidden="1">{"detail",#N/A,FALSE,"mfg";"summary",#N/A,FALSE,"mfg"}</definedName>
    <definedName name="wrnfy97" localSheetId="3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no" localSheetId="3" hidden="1">{"INTRON97",#N/A,FALSE,"REVCDLR";"MERCK1997",#N/A,FALSE,"REVCDLR";"SKB1997",#N/A,FALSE,"REVCDLR"}</definedName>
    <definedName name="wrno" hidden="1">{"INTRON97",#N/A,FALSE,"REVCDLR";"MERCK1997",#N/A,FALSE,"REVCDLR";"SKB1997",#N/A,FALSE,"REVCDLR"}</definedName>
    <definedName name="WRNP41" localSheetId="3" hidden="1">{#N/A,"PURCHM",FALSE,"Business Analysis";#N/A,"SPADD",FALSE,"Business Analysis"}</definedName>
    <definedName name="WRNP41" hidden="1">{#N/A,"PURCHM",FALSE,"Business Analysis";#N/A,"SPADD",FALSE,"Business Analysis"}</definedName>
    <definedName name="wrnp61" localSheetId="3" hidden="1">{#N/A,"PURCHM",FALSE,"Business Analysis";#N/A,"SPADD",FALSE,"Business Analysis"}</definedName>
    <definedName name="wrnp61" hidden="1">{#N/A,"PURCHM",FALSE,"Business Analysis";#N/A,"SPADD",FALSE,"Business Analysis"}</definedName>
    <definedName name="wrnpav" localSheetId="3" hidden="1">{#N/A,"PURCHM",FALSE,"Business Analysis";#N/A,"SPADD",FALSE,"Business Analysis"}</definedName>
    <definedName name="wrnpav" hidden="1">{#N/A,"PURCHM",FALSE,"Business Analysis";#N/A,"SPADD",FALSE,"Business Analysis"}</definedName>
    <definedName name="wrnpr5" localSheetId="3" hidden="1">{#N/A,#N/A,FALSE,"Financial";#N/A,#N/A,FALSE,"Balance Sheet";#N/A,#N/A,FALSE,"Income stmt";#N/A,#N/A,FALSE,"Ratio"}</definedName>
    <definedName name="wrnpr5" hidden="1">{#N/A,#N/A,FALSE,"Financial";#N/A,#N/A,FALSE,"Balance Sheet";#N/A,#N/A,FALSE,"Income stmt";#N/A,#N/A,FALSE,"Ratio"}</definedName>
    <definedName name="wrnpuc213" localSheetId="3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localSheetId="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localSheetId="3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localSheetId="3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localSheetId="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localSheetId="3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localSheetId="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localSheetId="3" hidden="1">{#N/A,"PURCHM",FALSE,"Business Analysis";#N/A,"SPADD",FALSE,"Business Analysis"}</definedName>
    <definedName name="wrnpvcs" hidden="1">{#N/A,"PURCHM",FALSE,"Business Analysis";#N/A,"SPADD",FALSE,"Business Analysis"}</definedName>
    <definedName name="wrnt5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localSheetId="3" hidden="1">{"main",#N/A,FALSE,"Variables";"target",#N/A,FALSE,"finstmts - target";"target base",#N/A,FALSE,"finstmts - target - base";"offer price",#N/A,FALSE,"Offer Price"}</definedName>
    <definedName name="wro.model" hidden="1">{"main",#N/A,FALSE,"Variables";"target",#N/A,FALSE,"finstmts - target";"target base",#N/A,FALSE,"finstmts - target - base";"offer price",#N/A,FALSE,"Offer Price"}</definedName>
    <definedName name="WRR" localSheetId="3" hidden="1">{#N/A,#N/A,FALSE,"Pharm";#N/A,#N/A,FALSE,"WWCM"}</definedName>
    <definedName name="WRR" hidden="1">{#N/A,#N/A,FALSE,"Pharm";#N/A,#N/A,FALSE,"WWCM"}</definedName>
    <definedName name="WRR_1" localSheetId="3" hidden="1">{#N/A,#N/A,FALSE,"Pharm";#N/A,#N/A,FALSE,"WWCM"}</definedName>
    <definedName name="WRR_1" hidden="1">{#N/A,#N/A,FALSE,"Pharm";#N/A,#N/A,FALSE,"WWCM"}</definedName>
    <definedName name="WRR_2" localSheetId="3" hidden="1">{#N/A,#N/A,FALSE,"Pharm";#N/A,#N/A,FALSE,"WWCM"}</definedName>
    <definedName name="WRR_2" hidden="1">{#N/A,#N/A,FALSE,"Pharm";#N/A,#N/A,FALSE,"WWCM"}</definedName>
    <definedName name="WRR_3" localSheetId="3" hidden="1">{#N/A,#N/A,FALSE,"Pharm";#N/A,#N/A,FALSE,"WWCM"}</definedName>
    <definedName name="WRR_3" hidden="1">{#N/A,#N/A,FALSE,"Pharm";#N/A,#N/A,FALSE,"WWCM"}</definedName>
    <definedName name="WRR_4" localSheetId="3" hidden="1">{#N/A,#N/A,FALSE,"Pharm";#N/A,#N/A,FALSE,"WWCM"}</definedName>
    <definedName name="WRR_4" hidden="1">{#N/A,#N/A,FALSE,"Pharm";#N/A,#N/A,FALSE,"WWCM"}</definedName>
    <definedName name="wrre" localSheetId="3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localSheetId="3" hidden="1">{#N/A,#N/A,FALSE,"REPORT"}</definedName>
    <definedName name="wrrrrr" hidden="1">{#N/A,#N/A,FALSE,"REPORT"}</definedName>
    <definedName name="wrrrrr_1" localSheetId="3" hidden="1">{#N/A,#N/A,FALSE,"REPORT"}</definedName>
    <definedName name="wrrrrr_1" hidden="1">{#N/A,#N/A,FALSE,"REPORT"}</definedName>
    <definedName name="wrrrrr_2" localSheetId="3" hidden="1">{#N/A,#N/A,FALSE,"REPORT"}</definedName>
    <definedName name="wrrrrr_2" hidden="1">{#N/A,#N/A,FALSE,"REPORT"}</definedName>
    <definedName name="wrrrrr_3" localSheetId="3" hidden="1">{#N/A,#N/A,FALSE,"REPORT"}</definedName>
    <definedName name="wrrrrr_3" hidden="1">{#N/A,#N/A,FALSE,"REPORT"}</definedName>
    <definedName name="wrrrrr_4" localSheetId="3" hidden="1">{#N/A,#N/A,FALSE,"REPORT"}</definedName>
    <definedName name="wrrrrr_4" hidden="1">{#N/A,#N/A,FALSE,"REPORT"}</definedName>
    <definedName name="wrsum1" localSheetId="3" hidden="1">{#N/A,#N/A,FALSE,"Summary";#N/A,#N/A,FALSE,"CF";#N/A,#N/A,FALSE,"P&amp;L";"summary",#N/A,FALSE,"Returns";#N/A,#N/A,FALSE,"BS";"summary",#N/A,FALSE,"Analysis";#N/A,#N/A,FALSE,"Assumptions"}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localSheetId="3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u.actual._.data._ent" localSheetId="3" hidden="1">{#N/A,#N/A,FALSE,"Sales"}</definedName>
    <definedName name="wru.actual._.data._ent" hidden="1">{#N/A,#N/A,FALSE,"Sales"}</definedName>
    <definedName name="wru.prn5" localSheetId="3" hidden="1">{#N/A,#N/A,FALSE,"Sales"}</definedName>
    <definedName name="wru.prn5" hidden="1">{#N/A,#N/A,FALSE,"Sales"}</definedName>
    <definedName name="wrwer" localSheetId="3" hidden="1">{#N/A,#N/A,FALSE,"Umsatz 99";#N/A,#N/A,FALSE,"ER 99 "}</definedName>
    <definedName name="wrwer" hidden="1">{#N/A,#N/A,FALSE,"Umsatz 99";#N/A,#N/A,FALSE,"ER 99 "}</definedName>
    <definedName name="wrxave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localSheetId="3" hidden="1">{"YD LAPO2",#N/A,FALSE,"YTD"}</definedName>
    <definedName name="wry" hidden="1">{"YD LAPO2",#N/A,FALSE,"YTD"}</definedName>
    <definedName name="wryt" localSheetId="3">{"'Sheet1'!$A$1:$AI$34","'Sheet1'!$A$1:$AI$31","'Sheet1'!$B$2:$AM$25"}</definedName>
    <definedName name="wryt">{"'Sheet1'!$A$1:$AI$34","'Sheet1'!$A$1:$AI$31","'Sheet1'!$B$2:$AM$25"}</definedName>
    <definedName name="wrytyt" localSheetId="3">{"'1-TheatreBkgs'!$A$1:$L$102"}</definedName>
    <definedName name="wrytyt">{"'1-TheatreBkgs'!$A$1:$L$102"}</definedName>
    <definedName name="wsdklsdad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localSheetId="3" hidden="1">{#N/A,#N/A,FALSE,"FY97";#N/A,#N/A,FALSE,"FY98";#N/A,#N/A,FALSE,"FY99";#N/A,#N/A,FALSE,"FY00";#N/A,#N/A,FALSE,"FY01"}</definedName>
    <definedName name="wt" hidden="1">{#N/A,#N/A,FALSE,"FY97";#N/A,#N/A,FALSE,"FY98";#N/A,#N/A,FALSE,"FY99";#N/A,#N/A,FALSE,"FY00";#N/A,#N/A,FALSE,"FY01"}</definedName>
    <definedName name="wte" localSheetId="3" hidden="1">{#N/A,#N/A,FALSE,"ALM-ASISC"}</definedName>
    <definedName name="wte" hidden="1">{#N/A,#N/A,FALSE,"ALM-ASISC"}</definedName>
    <definedName name="wtf" localSheetId="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 localSheetId="3">{"'August 2000'!$A$1:$J$101"}</definedName>
    <definedName name="wtwertwt">{"'August 2000'!$A$1:$J$101"}</definedName>
    <definedName name="wv" localSheetId="3" hidden="1">{#N/A,#N/A,FALSE,"Pharm";#N/A,#N/A,FALSE,"WWCM"}</definedName>
    <definedName name="wv" hidden="1">{#N/A,#N/A,FALSE,"Pharm";#N/A,#N/A,FALSE,"WWCM"}</definedName>
    <definedName name="wv_1" localSheetId="3" hidden="1">{#N/A,#N/A,FALSE,"Pharm";#N/A,#N/A,FALSE,"WWCM"}</definedName>
    <definedName name="wv_1" hidden="1">{#N/A,#N/A,FALSE,"Pharm";#N/A,#N/A,FALSE,"WWCM"}</definedName>
    <definedName name="wv_2" localSheetId="3" hidden="1">{#N/A,#N/A,FALSE,"Pharm";#N/A,#N/A,FALSE,"WWCM"}</definedName>
    <definedName name="wv_2" hidden="1">{#N/A,#N/A,FALSE,"Pharm";#N/A,#N/A,FALSE,"WWCM"}</definedName>
    <definedName name="wv_3" localSheetId="3" hidden="1">{#N/A,#N/A,FALSE,"Pharm";#N/A,#N/A,FALSE,"WWCM"}</definedName>
    <definedName name="wv_3" hidden="1">{#N/A,#N/A,FALSE,"Pharm";#N/A,#N/A,FALSE,"WWCM"}</definedName>
    <definedName name="wv_4" localSheetId="3" hidden="1">{#N/A,#N/A,FALSE,"Pharm";#N/A,#N/A,FALSE,"WWCM"}</definedName>
    <definedName name="wv_4" hidden="1">{#N/A,#N/A,FALSE,"Pharm";#N/A,#N/A,FALSE,"WWCM"}</definedName>
    <definedName name="wvbub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localSheetId="3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localSheetId="3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localSheetId="3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localSheetId="3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localSheetId="3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localSheetId="3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localSheetId="4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1." localSheetId="3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localSheetId="4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RP_backlog2." localSheetId="3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localSheetId="3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localSheetId="3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localSheetId="3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localSheetId="3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localSheetId="3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localSheetId="3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localSheetId="3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localSheetId="3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localSheetId="3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localSheetId="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localSheetId="3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localSheetId="3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localSheetId="3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localSheetId="3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localSheetId="3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localSheetId="3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localSheetId="3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localSheetId="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localSheetId="3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localSheetId="3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localSheetId="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localSheetId="3" hidden="1">{#N/A,#N/A,FALSE,"Detailed";#N/A,#N/A,FALSE,"Total";#N/A,#N/A,FALSE,"Detailed (2)"}</definedName>
    <definedName name="ww_1" hidden="1">{#N/A,#N/A,FALSE,"Detailed";#N/A,#N/A,FALSE,"Total";#N/A,#N/A,FALSE,"Detailed (2)"}</definedName>
    <definedName name="ww_2" localSheetId="3" hidden="1">{#N/A,#N/A,FALSE,"Pharm";#N/A,#N/A,FALSE,"WWCM"}</definedName>
    <definedName name="ww_2" hidden="1">{#N/A,#N/A,FALSE,"Pharm";#N/A,#N/A,FALSE,"WWCM"}</definedName>
    <definedName name="ww_3" localSheetId="3" hidden="1">{#N/A,#N/A,FALSE,"Pharm";#N/A,#N/A,FALSE,"WWCM"}</definedName>
    <definedName name="ww_3" hidden="1">{#N/A,#N/A,FALSE,"Pharm";#N/A,#N/A,FALSE,"WWCM"}</definedName>
    <definedName name="ww_4" localSheetId="3" hidden="1">{#N/A,#N/A,FALSE,"Pharm";#N/A,#N/A,FALSE,"WWCM"}</definedName>
    <definedName name="ww_4" hidden="1">{#N/A,#N/A,FALSE,"Pharm";#N/A,#N/A,FALSE,"WWCM"}</definedName>
    <definedName name="wwe.kkjk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 localSheetId="4">'[65]Budget New'!#REF!</definedName>
    <definedName name="WWS">#REF!</definedName>
    <definedName name="wwt" localSheetId="3" hidden="1">{"YD LAPO2",#N/A,FALSE,"YTD"}</definedName>
    <definedName name="wwt" hidden="1">{"YD LAPO2",#N/A,FALSE,"YTD"}</definedName>
    <definedName name="www" localSheetId="3" hidden="1">{#N/A,#N/A,FALSE,"Detailed";#N/A,#N/A,FALSE,"Total";#N/A,#N/A,FALSE,"Detailed (2)"}</definedName>
    <definedName name="www" hidden="1">{#N/A,#N/A,FALSE,"Detailed";#N/A,#N/A,FALSE,"Total";#N/A,#N/A,FALSE,"Detailed (2)"}</definedName>
    <definedName name="www.reve." localSheetId="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localSheetId="3" hidden="1">{#N/A,#N/A,FALSE,"Detailed";#N/A,#N/A,FALSE,"Total";#N/A,#N/A,FALSE,"Detailed (2)"}</definedName>
    <definedName name="www_1" hidden="1">{#N/A,#N/A,FALSE,"Detailed";#N/A,#N/A,FALSE,"Total";#N/A,#N/A,FALSE,"Detailed (2)"}</definedName>
    <definedName name="wwwd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localSheetId="3" hidden="1">{#N/A,#N/A,FALSE,"Detailed";#N/A,#N/A,FALSE,"Total";#N/A,#N/A,FALSE,"Detailed (2)"}</definedName>
    <definedName name="wwww" hidden="1">{#N/A,#N/A,FALSE,"Detailed";#N/A,#N/A,FALSE,"Total";#N/A,#N/A,FALSE,"Detailed (2)"}</definedName>
    <definedName name="wwww_1" localSheetId="3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localSheetId="3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localSheetId="3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localSheetId="3" hidden="1">{"YTD",#N/A,FALSE,"SUM"}</definedName>
    <definedName name="wwwwwwwww" hidden="1">{"YTD",#N/A,FALSE,"SUM"}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localSheetId="3" hidden="1">{"YD PACKAGE",#N/A,FALSE,"YTD"}</definedName>
    <definedName name="wwwwwwwwwww" hidden="1">{"YD PACKAGE",#N/A,FALSE,"YTD"}</definedName>
    <definedName name="wwwwwwwwwwwwww" localSheetId="3" hidden="1">{"detail",#N/A,FALSE,"mfg";"summary",#N/A,FALSE,"mfg"}</definedName>
    <definedName name="wwwwwwwwwwwwww" hidden="1">{"detail",#N/A,FALSE,"mfg";"summary",#N/A,FALSE,"mfg"}</definedName>
    <definedName name="wx" localSheetId="3" hidden="1">{#N/A,#N/A,FALSE,"Pharm";#N/A,#N/A,FALSE,"WWCM"}</definedName>
    <definedName name="wx" hidden="1">{#N/A,#N/A,FALSE,"Pharm";#N/A,#N/A,FALSE,"WWCM"}</definedName>
    <definedName name="wx_1" localSheetId="3" hidden="1">{#N/A,#N/A,FALSE,"Pharm";#N/A,#N/A,FALSE,"WWCM"}</definedName>
    <definedName name="wx_1" hidden="1">{#N/A,#N/A,FALSE,"Pharm";#N/A,#N/A,FALSE,"WWCM"}</definedName>
    <definedName name="wx_2" localSheetId="3" hidden="1">{#N/A,#N/A,FALSE,"Pharm";#N/A,#N/A,FALSE,"WWCM"}</definedName>
    <definedName name="wx_2" hidden="1">{#N/A,#N/A,FALSE,"Pharm";#N/A,#N/A,FALSE,"WWCM"}</definedName>
    <definedName name="wx_3" localSheetId="3" hidden="1">{#N/A,#N/A,FALSE,"Pharm";#N/A,#N/A,FALSE,"WWCM"}</definedName>
    <definedName name="wx_3" hidden="1">{#N/A,#N/A,FALSE,"Pharm";#N/A,#N/A,FALSE,"WWCM"}</definedName>
    <definedName name="wx_4" localSheetId="3" hidden="1">{#N/A,#N/A,FALSE,"Pharm";#N/A,#N/A,FALSE,"WWCM"}</definedName>
    <definedName name="wx_4" hidden="1">{#N/A,#N/A,FALSE,"Pharm";#N/A,#N/A,FALSE,"WWCM"}</definedName>
    <definedName name="wyh" localSheetId="4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h" localSheetId="3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localSheetId="3" hidden="1">{#N/A,#N/A,FALSE,"Umsatz 99";#N/A,#N/A,FALSE,"ER 99 "}</definedName>
    <definedName name="WYTQTE" hidden="1">{#N/A,#N/A,FALSE,"Umsatz 99";#N/A,#N/A,FALSE,"ER 99 "}</definedName>
    <definedName name="WYTQTE_1" localSheetId="3" hidden="1">{#N/A,#N/A,FALSE,"Umsatz 99";#N/A,#N/A,FALSE,"ER 99 "}</definedName>
    <definedName name="WYTQTE_1" hidden="1">{#N/A,#N/A,FALSE,"Umsatz 99";#N/A,#N/A,FALSE,"ER 99 "}</definedName>
    <definedName name="WYTQTE_1_1" localSheetId="3" hidden="1">{#N/A,#N/A,FALSE,"Umsatz 99";#N/A,#N/A,FALSE,"ER 99 "}</definedName>
    <definedName name="WYTQTE_1_1" hidden="1">{#N/A,#N/A,FALSE,"Umsatz 99";#N/A,#N/A,FALSE,"ER 99 "}</definedName>
    <definedName name="WYTQTE_1_2" localSheetId="3" hidden="1">{#N/A,#N/A,FALSE,"Umsatz 99";#N/A,#N/A,FALSE,"ER 99 "}</definedName>
    <definedName name="WYTQTE_1_2" hidden="1">{#N/A,#N/A,FALSE,"Umsatz 99";#N/A,#N/A,FALSE,"ER 99 "}</definedName>
    <definedName name="WYTQTE_1_3" localSheetId="3" hidden="1">{#N/A,#N/A,FALSE,"Umsatz 99";#N/A,#N/A,FALSE,"ER 99 "}</definedName>
    <definedName name="WYTQTE_1_3" hidden="1">{#N/A,#N/A,FALSE,"Umsatz 99";#N/A,#N/A,FALSE,"ER 99 "}</definedName>
    <definedName name="WYTQTE_1_4" localSheetId="3" hidden="1">{#N/A,#N/A,FALSE,"Umsatz 99";#N/A,#N/A,FALSE,"ER 99 "}</definedName>
    <definedName name="WYTQTE_1_4" hidden="1">{#N/A,#N/A,FALSE,"Umsatz 99";#N/A,#N/A,FALSE,"ER 99 "}</definedName>
    <definedName name="WYTQTE_1_5" localSheetId="3" hidden="1">{#N/A,#N/A,FALSE,"Umsatz 99";#N/A,#N/A,FALSE,"ER 99 "}</definedName>
    <definedName name="WYTQTE_1_5" hidden="1">{#N/A,#N/A,FALSE,"Umsatz 99";#N/A,#N/A,FALSE,"ER 99 "}</definedName>
    <definedName name="WYTQTE_2" localSheetId="3" hidden="1">{#N/A,#N/A,FALSE,"Umsatz 99";#N/A,#N/A,FALSE,"ER 99 "}</definedName>
    <definedName name="WYTQTE_2" hidden="1">{#N/A,#N/A,FALSE,"Umsatz 99";#N/A,#N/A,FALSE,"ER 99 "}</definedName>
    <definedName name="WYTQTE_2_1" localSheetId="3" hidden="1">{#N/A,#N/A,FALSE,"Umsatz 99";#N/A,#N/A,FALSE,"ER 99 "}</definedName>
    <definedName name="WYTQTE_2_1" hidden="1">{#N/A,#N/A,FALSE,"Umsatz 99";#N/A,#N/A,FALSE,"ER 99 "}</definedName>
    <definedName name="WYTQTE_2_2" localSheetId="3" hidden="1">{#N/A,#N/A,FALSE,"Umsatz 99";#N/A,#N/A,FALSE,"ER 99 "}</definedName>
    <definedName name="WYTQTE_2_2" hidden="1">{#N/A,#N/A,FALSE,"Umsatz 99";#N/A,#N/A,FALSE,"ER 99 "}</definedName>
    <definedName name="WYTQTE_2_3" localSheetId="3" hidden="1">{#N/A,#N/A,FALSE,"Umsatz 99";#N/A,#N/A,FALSE,"ER 99 "}</definedName>
    <definedName name="WYTQTE_2_3" hidden="1">{#N/A,#N/A,FALSE,"Umsatz 99";#N/A,#N/A,FALSE,"ER 99 "}</definedName>
    <definedName name="WYTQTE_2_4" localSheetId="3" hidden="1">{#N/A,#N/A,FALSE,"Umsatz 99";#N/A,#N/A,FALSE,"ER 99 "}</definedName>
    <definedName name="WYTQTE_2_4" hidden="1">{#N/A,#N/A,FALSE,"Umsatz 99";#N/A,#N/A,FALSE,"ER 99 "}</definedName>
    <definedName name="WYTQTE_2_5" localSheetId="3" hidden="1">{#N/A,#N/A,FALSE,"Umsatz 99";#N/A,#N/A,FALSE,"ER 99 "}</definedName>
    <definedName name="WYTQTE_2_5" hidden="1">{#N/A,#N/A,FALSE,"Umsatz 99";#N/A,#N/A,FALSE,"ER 99 "}</definedName>
    <definedName name="WYTQTE_3" localSheetId="3" hidden="1">{#N/A,#N/A,FALSE,"Umsatz 99";#N/A,#N/A,FALSE,"ER 99 "}</definedName>
    <definedName name="WYTQTE_3" hidden="1">{#N/A,#N/A,FALSE,"Umsatz 99";#N/A,#N/A,FALSE,"ER 99 "}</definedName>
    <definedName name="WYTQTE_3_1" localSheetId="3" hidden="1">{#N/A,#N/A,FALSE,"Umsatz 99";#N/A,#N/A,FALSE,"ER 99 "}</definedName>
    <definedName name="WYTQTE_3_1" hidden="1">{#N/A,#N/A,FALSE,"Umsatz 99";#N/A,#N/A,FALSE,"ER 99 "}</definedName>
    <definedName name="WYTQTE_3_2" localSheetId="3" hidden="1">{#N/A,#N/A,FALSE,"Umsatz 99";#N/A,#N/A,FALSE,"ER 99 "}</definedName>
    <definedName name="WYTQTE_3_2" hidden="1">{#N/A,#N/A,FALSE,"Umsatz 99";#N/A,#N/A,FALSE,"ER 99 "}</definedName>
    <definedName name="WYTQTE_3_3" localSheetId="3" hidden="1">{#N/A,#N/A,FALSE,"Umsatz 99";#N/A,#N/A,FALSE,"ER 99 "}</definedName>
    <definedName name="WYTQTE_3_3" hidden="1">{#N/A,#N/A,FALSE,"Umsatz 99";#N/A,#N/A,FALSE,"ER 99 "}</definedName>
    <definedName name="WYTQTE_3_4" localSheetId="3" hidden="1">{#N/A,#N/A,FALSE,"Umsatz 99";#N/A,#N/A,FALSE,"ER 99 "}</definedName>
    <definedName name="WYTQTE_3_4" hidden="1">{#N/A,#N/A,FALSE,"Umsatz 99";#N/A,#N/A,FALSE,"ER 99 "}</definedName>
    <definedName name="WYTQTE_3_5" localSheetId="3" hidden="1">{#N/A,#N/A,FALSE,"Umsatz 99";#N/A,#N/A,FALSE,"ER 99 "}</definedName>
    <definedName name="WYTQTE_3_5" hidden="1">{#N/A,#N/A,FALSE,"Umsatz 99";#N/A,#N/A,FALSE,"ER 99 "}</definedName>
    <definedName name="WYTQTE_4" localSheetId="3" hidden="1">{#N/A,#N/A,FALSE,"Umsatz 99";#N/A,#N/A,FALSE,"ER 99 "}</definedName>
    <definedName name="WYTQTE_4" hidden="1">{#N/A,#N/A,FALSE,"Umsatz 99";#N/A,#N/A,FALSE,"ER 99 "}</definedName>
    <definedName name="WYTQTE_4_1" localSheetId="3" hidden="1">{#N/A,#N/A,FALSE,"Umsatz 99";#N/A,#N/A,FALSE,"ER 99 "}</definedName>
    <definedName name="WYTQTE_4_1" hidden="1">{#N/A,#N/A,FALSE,"Umsatz 99";#N/A,#N/A,FALSE,"ER 99 "}</definedName>
    <definedName name="WYTQTE_4_2" localSheetId="3" hidden="1">{#N/A,#N/A,FALSE,"Umsatz 99";#N/A,#N/A,FALSE,"ER 99 "}</definedName>
    <definedName name="WYTQTE_4_2" hidden="1">{#N/A,#N/A,FALSE,"Umsatz 99";#N/A,#N/A,FALSE,"ER 99 "}</definedName>
    <definedName name="WYTQTE_4_3" localSheetId="3" hidden="1">{#N/A,#N/A,FALSE,"Umsatz 99";#N/A,#N/A,FALSE,"ER 99 "}</definedName>
    <definedName name="WYTQTE_4_3" hidden="1">{#N/A,#N/A,FALSE,"Umsatz 99";#N/A,#N/A,FALSE,"ER 99 "}</definedName>
    <definedName name="WYTQTE_4_4" localSheetId="3" hidden="1">{#N/A,#N/A,FALSE,"Umsatz 99";#N/A,#N/A,FALSE,"ER 99 "}</definedName>
    <definedName name="WYTQTE_4_4" hidden="1">{#N/A,#N/A,FALSE,"Umsatz 99";#N/A,#N/A,FALSE,"ER 99 "}</definedName>
    <definedName name="WYTQTE_4_5" localSheetId="3" hidden="1">{#N/A,#N/A,FALSE,"Umsatz 99";#N/A,#N/A,FALSE,"ER 99 "}</definedName>
    <definedName name="WYTQTE_4_5" hidden="1">{#N/A,#N/A,FALSE,"Umsatz 99";#N/A,#N/A,FALSE,"ER 99 "}</definedName>
    <definedName name="WYTQTE_5" localSheetId="3" hidden="1">{#N/A,#N/A,FALSE,"Umsatz 99";#N/A,#N/A,FALSE,"ER 99 "}</definedName>
    <definedName name="WYTQTE_5" hidden="1">{#N/A,#N/A,FALSE,"Umsatz 99";#N/A,#N/A,FALSE,"ER 99 "}</definedName>
    <definedName name="WYTQTE_5_1" localSheetId="3" hidden="1">{#N/A,#N/A,FALSE,"Umsatz 99";#N/A,#N/A,FALSE,"ER 99 "}</definedName>
    <definedName name="WYTQTE_5_1" hidden="1">{#N/A,#N/A,FALSE,"Umsatz 99";#N/A,#N/A,FALSE,"ER 99 "}</definedName>
    <definedName name="WYTQTE_5_2" localSheetId="3" hidden="1">{#N/A,#N/A,FALSE,"Umsatz 99";#N/A,#N/A,FALSE,"ER 99 "}</definedName>
    <definedName name="WYTQTE_5_2" hidden="1">{#N/A,#N/A,FALSE,"Umsatz 99";#N/A,#N/A,FALSE,"ER 99 "}</definedName>
    <definedName name="WYTQTE_5_3" localSheetId="3" hidden="1">{#N/A,#N/A,FALSE,"Umsatz 99";#N/A,#N/A,FALSE,"ER 99 "}</definedName>
    <definedName name="WYTQTE_5_3" hidden="1">{#N/A,#N/A,FALSE,"Umsatz 99";#N/A,#N/A,FALSE,"ER 99 "}</definedName>
    <definedName name="WYTQTE_5_4" localSheetId="3" hidden="1">{#N/A,#N/A,FALSE,"Umsatz 99";#N/A,#N/A,FALSE,"ER 99 "}</definedName>
    <definedName name="WYTQTE_5_4" hidden="1">{#N/A,#N/A,FALSE,"Umsatz 99";#N/A,#N/A,FALSE,"ER 99 "}</definedName>
    <definedName name="WYTQTE_5_5" localSheetId="3" hidden="1">{#N/A,#N/A,FALSE,"Umsatz 99";#N/A,#N/A,FALSE,"ER 99 "}</definedName>
    <definedName name="WYTQTE_5_5" hidden="1">{#N/A,#N/A,FALSE,"Umsatz 99";#N/A,#N/A,FALSE,"ER 99 "}</definedName>
    <definedName name="X" localSheetId="4">'[90]Page 300'!$B$4</definedName>
    <definedName name="X">#REF!</definedName>
    <definedName name="x_1" localSheetId="3" hidden="1">{#N/A,#N/A,FALSE,"REPORT"}</definedName>
    <definedName name="x_1" hidden="1">{#N/A,#N/A,FALSE,"REPORT"}</definedName>
    <definedName name="x_2" localSheetId="3" hidden="1">{#N/A,#N/A,FALSE,"REPORT"}</definedName>
    <definedName name="x_2" hidden="1">{#N/A,#N/A,FALSE,"REPORT"}</definedName>
    <definedName name="x_3" localSheetId="3" hidden="1">{#N/A,#N/A,FALSE,"REPORT"}</definedName>
    <definedName name="x_3" hidden="1">{#N/A,#N/A,FALSE,"REPORT"}</definedName>
    <definedName name="x_4" localSheetId="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localSheetId="3" hidden="1">{"BA detail",#N/A,FALSE,"Q3YTD "}</definedName>
    <definedName name="xb" hidden="1">{"BA detail",#N/A,FALSE,"Q3YTD "}</definedName>
    <definedName name="XBFXZB" localSheetId="3" hidden="1">{#N/A,#N/A,FALSE,"FINAL"}</definedName>
    <definedName name="XBFXZB" hidden="1">{#N/A,#N/A,FALSE,"FINAL"}</definedName>
    <definedName name="xc" localSheetId="3" hidden="1">Main.SAPF4Help()</definedName>
    <definedName name="xc" hidden="1">Main.SAPF4Help()</definedName>
    <definedName name="xcft" localSheetId="3" hidden="1">{#N/A,#N/A,FALSE,"PGW"}</definedName>
    <definedName name="xcft" hidden="1">{#N/A,#N/A,FALSE,"PGW"}</definedName>
    <definedName name="XCGFHTGF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localSheetId="3" hidden="1">{#N/A,#N/A,FALSE,"Pharm";#N/A,#N/A,FALSE,"WWCM"}</definedName>
    <definedName name="xcv" hidden="1">{#N/A,#N/A,FALSE,"Pharm";#N/A,#N/A,FALSE,"WWCM"}</definedName>
    <definedName name="xcv_1" localSheetId="3" hidden="1">{#N/A,#N/A,FALSE,"Pharm";#N/A,#N/A,FALSE,"WWCM"}</definedName>
    <definedName name="xcv_1" hidden="1">{#N/A,#N/A,FALSE,"Pharm";#N/A,#N/A,FALSE,"WWCM"}</definedName>
    <definedName name="xcv_2" localSheetId="3" hidden="1">{#N/A,#N/A,FALSE,"Pharm";#N/A,#N/A,FALSE,"WWCM"}</definedName>
    <definedName name="xcv_2" hidden="1">{#N/A,#N/A,FALSE,"Pharm";#N/A,#N/A,FALSE,"WWCM"}</definedName>
    <definedName name="xcv_3" localSheetId="3" hidden="1">{#N/A,#N/A,FALSE,"Pharm";#N/A,#N/A,FALSE,"WWCM"}</definedName>
    <definedName name="xcv_3" hidden="1">{#N/A,#N/A,FALSE,"Pharm";#N/A,#N/A,FALSE,"WWCM"}</definedName>
    <definedName name="xcv_4" localSheetId="3" hidden="1">{#N/A,#N/A,FALSE,"Pharm";#N/A,#N/A,FALSE,"WWCM"}</definedName>
    <definedName name="xcv_4" hidden="1">{#N/A,#N/A,FALSE,"Pharm";#N/A,#N/A,FALSE,"WWCM"}</definedName>
    <definedName name="xcvbxcvbcx" localSheetId="3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localSheetId="3" hidden="1">{#N/A,#N/A,FALSE,"SUMMARY";#N/A,#N/A,FALSE,"SUMMARY"}</definedName>
    <definedName name="xcvg" hidden="1">{#N/A,#N/A,FALSE,"SUMMARY";#N/A,#N/A,FALSE,"SUMMARY"}</definedName>
    <definedName name="xcxc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localSheetId="3" hidden="1">{#N/A,#N/A,FALSE,"AD_Purchase";#N/A,#N/A,FALSE,"Credit";#N/A,#N/A,FALSE,"PF Acquisition";#N/A,#N/A,FALSE,"PF Offering"}</definedName>
    <definedName name="xcxzc" hidden="1">{#N/A,#N/A,FALSE,"AD_Purchase";#N/A,#N/A,FALSE,"Credit";#N/A,#N/A,FALSE,"PF Acquisition";#N/A,#N/A,FALSE,"PF Offering"}</definedName>
    <definedName name="xDates">#REF!</definedName>
    <definedName name="xdft" localSheetId="3" hidden="1">{#N/A,#N/A,FALSE,"ISBL"}</definedName>
    <definedName name="xdft" hidden="1">{#N/A,#N/A,FALSE,"ISBL"}</definedName>
    <definedName name="xdrt" localSheetId="3" hidden="1">{#N/A,#N/A,FALSE,"Aging Summary";#N/A,#N/A,FALSE,"Ratio Analysis";#N/A,#N/A,FALSE,"Test 120 Day Accts";#N/A,#N/A,FALSE,"Tickmarks"}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localSheetId="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localSheetId="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localSheetId="3" hidden="1">{"oct_res_comm",#N/A,FALSE,"VarToBud"}</definedName>
    <definedName name="xn" hidden="1">{"oct_res_comm",#N/A,FALSE,"VarToBud"}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 localSheetId="4" hidden="1">6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localSheetId="4" hidden="1">9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[228]הערות!#REF!</definedName>
    <definedName name="XRefPaste8Row" hidden="1">#REF!</definedName>
    <definedName name="XRefPasteRangeCount" localSheetId="4" hidden="1">7</definedName>
    <definedName name="XRefPasteRangeCount">2</definedName>
    <definedName name="xRng_0501afb080e54ff195060d9a71fa1752" localSheetId="4">[229]Presentation!#REF!</definedName>
    <definedName name="xRng_0501afb080e54ff195060d9a71fa1752">#REF!</definedName>
    <definedName name="xRng_1897eeece23c410ca84517f26e629565" localSheetId="4">[229]Presentation!#REF!</definedName>
    <definedName name="xRng_1897eeece23c410ca84517f26e629565">#REF!</definedName>
    <definedName name="xRng_44b937e490fa410b9057361946c8b05b" localSheetId="4">[229]Presentation!#REF!</definedName>
    <definedName name="xRng_44b937e490fa410b9057361946c8b05b">#REF!</definedName>
    <definedName name="xRng_4bbdf78078d94f438eb85e5f0b525669" localSheetId="4">[229]Presentation!#REF!</definedName>
    <definedName name="xRng_4bbdf78078d94f438eb85e5f0b525669">#REF!</definedName>
    <definedName name="xRng_552f93d99b8f4121b57f9df5d5c77295" localSheetId="4">[229]Presentation!#REF!</definedName>
    <definedName name="xRng_552f93d99b8f4121b57f9df5d5c77295">#REF!</definedName>
    <definedName name="xRng_55721ab198cc4e07941e24b889f11a0b" localSheetId="4">[229]Presentation!#REF!</definedName>
    <definedName name="xRng_55721ab198cc4e07941e24b889f11a0b">#REF!</definedName>
    <definedName name="xRng_5b04a8ff08b448f39e672bcf4a5dcf8c" localSheetId="4">[229]Presentation!#REF!</definedName>
    <definedName name="xRng_5b04a8ff08b448f39e672bcf4a5dcf8c">#REF!</definedName>
    <definedName name="xRng_6ad6f25b993e476b93de1af7700c1eab" localSheetId="4">[229]Presentation!#REF!</definedName>
    <definedName name="xRng_6ad6f25b993e476b93de1af7700c1eab">#REF!</definedName>
    <definedName name="xRng_71c8b1de650844e58f87e9da0095402f" localSheetId="4">[229]Presentation!#REF!</definedName>
    <definedName name="xRng_71c8b1de650844e58f87e9da0095402f">#REF!</definedName>
    <definedName name="xRng_8346e4e8afac4af6a134f69594396f27" localSheetId="4">[229]Presentation!#REF!</definedName>
    <definedName name="xRng_8346e4e8afac4af6a134f69594396f27">#REF!</definedName>
    <definedName name="xRng_98d12bb78c87460e9a4d186ad80762ce" localSheetId="4">[229]Presentation!#REF!</definedName>
    <definedName name="xRng_98d12bb78c87460e9a4d186ad80762ce">#REF!</definedName>
    <definedName name="xRng_a429daf4495743419a3a83d5b10facb9" localSheetId="4">[229]Presentation!#REF!</definedName>
    <definedName name="xRng_a429daf4495743419a3a83d5b10facb9">#REF!</definedName>
    <definedName name="xRng_b7fdb5aeb62e43e6afc3915afc707918" localSheetId="4">[229]Presentation!#REF!</definedName>
    <definedName name="xRng_b7fdb5aeb62e43e6afc3915afc707918">#REF!</definedName>
    <definedName name="xRng_b93fec1a138a4f1d90449155dc9c093f" localSheetId="4">[229]Presentation!#REF!</definedName>
    <definedName name="xRng_b93fec1a138a4f1d90449155dc9c093f">#REF!</definedName>
    <definedName name="xRng_be64ed841c11451da6e0b2ac97a322c5" localSheetId="4">[229]Presentation!#REF!</definedName>
    <definedName name="xRng_be64ed841c11451da6e0b2ac97a322c5">#REF!</definedName>
    <definedName name="xRng_e1ef4ba090fe4d80b9e5929239690897" localSheetId="4">[229]Presentation!#REF!</definedName>
    <definedName name="xRng_e1ef4ba090fe4d80b9e5929239690897">#REF!</definedName>
    <definedName name="xRng_f9ffd5c155db4b4f9aac6e40ed05b371" localSheetId="4">[229]Presentation!#REF!</definedName>
    <definedName name="xRng_f9ffd5c155db4b4f9aac6e40ed05b371">#REF!</definedName>
    <definedName name="xrt" localSheetId="3" hidden="1">{#N/A,#N/A,FALSE,"OSBL"}</definedName>
    <definedName name="xrt" hidden="1">{#N/A,#N/A,FALSE,"OSBL"}</definedName>
    <definedName name="xs" localSheetId="3" hidden="1">{#N/A,"PURCHM",FALSE,"Business Analysis";#N/A,"SPADD",FALSE,"Business Analysis"}</definedName>
    <definedName name="xs" hidden="1">{#N/A,"PURCHM",FALSE,"Business Analysis";#N/A,"SPADD",FALSE,"Business Analysis"}</definedName>
    <definedName name="XS014562443">#REF!</definedName>
    <definedName name="xsd" localSheetId="3" hidden="1">{"detail",#N/A,FALSE,"mfg";"summary",#N/A,FALSE,"mfg"}</definedName>
    <definedName name="xsd" hidden="1">{"detail",#N/A,FALSE,"mfg";"summary",#N/A,FALSE,"mfg"}</definedName>
    <definedName name="xsssw" localSheetId="3" hidden="1">{#N/A,#N/A,FALSE,"Créances";#N/A,#N/A,FALSE,"Effectifs";#N/A,#N/A,FALSE,"SI"}</definedName>
    <definedName name="xsssw" hidden="1">{#N/A,#N/A,FALSE,"Créances";#N/A,#N/A,FALSE,"Effectifs";#N/A,#N/A,FALSE,"SI"}</definedName>
    <definedName name="xsxa" localSheetId="3" hidden="1">{"'Sheet1'!$A$4386:$N$4591"}</definedName>
    <definedName name="xsxa" hidden="1">{"'Sheet1'!$A$4386:$N$4591"}</definedName>
    <definedName name="xt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localSheetId="3" hidden="1">{#N/A,#N/A,FALSE,"QTD";#N/A,#N/A,FALSE,"Lic Fees";#N/A,#N/A,FALSE,"Unapproved";#N/A,#N/A,FALSE,"Wkly Notes"}</definedName>
    <definedName name="xuan" hidden="1">{#N/A,#N/A,FALSE,"QTD";#N/A,#N/A,FALSE,"Lic Fees";#N/A,#N/A,FALSE,"Unapproved";#N/A,#N/A,FALSE,"Wkly Notes"}</definedName>
    <definedName name="xv" localSheetId="3" hidden="1">{"Commentary",#N/A,FALSE,"May"}</definedName>
    <definedName name="xv" hidden="1">{"Commentary",#N/A,FALSE,"May"}</definedName>
    <definedName name="xx" localSheetId="4" hidden="1">{"Current V Prior, Current Month",#N/A,FALSE,"Current v Prior"}</definedName>
    <definedName name="xx" localSheetId="3" hidden="1">{"Current V Prior, Current Month",#N/A,FALSE,"Current v Prior"}</definedName>
    <definedName name="xx" hidden="1">{"Current V Prior, Current Month",#N/A,FALSE,"Current v Prior"}</definedName>
    <definedName name="xx_1" localSheetId="3" hidden="1">{#N/A,#N/A,FALSE,"²Ä1­Ó¤ë"}</definedName>
    <definedName name="xx_1" hidden="1">{#N/A,#N/A,FALSE,"²Ä1­Ó¤ë"}</definedName>
    <definedName name="xx_1_1" localSheetId="3" hidden="1">{#N/A,#N/A,FALSE,"²Ä1­Ó¤ë"}</definedName>
    <definedName name="xx_1_1" hidden="1">{#N/A,#N/A,FALSE,"²Ä1­Ó¤ë"}</definedName>
    <definedName name="xx_1_2" localSheetId="3" hidden="1">{#N/A,#N/A,FALSE,"²Ä1­Ó¤ë"}</definedName>
    <definedName name="xx_1_2" hidden="1">{#N/A,#N/A,FALSE,"²Ä1­Ó¤ë"}</definedName>
    <definedName name="xx_1_3" localSheetId="3" hidden="1">{#N/A,#N/A,FALSE,"²Ä1­Ó¤ë"}</definedName>
    <definedName name="xx_1_3" hidden="1">{#N/A,#N/A,FALSE,"²Ä1­Ó¤ë"}</definedName>
    <definedName name="xx_1_4" localSheetId="3" hidden="1">{#N/A,#N/A,FALSE,"²Ä1­Ó¤ë"}</definedName>
    <definedName name="xx_1_4" hidden="1">{#N/A,#N/A,FALSE,"²Ä1­Ó¤ë"}</definedName>
    <definedName name="xx_1_5" localSheetId="3" hidden="1">{#N/A,#N/A,FALSE,"²Ä1­Ó¤ë"}</definedName>
    <definedName name="xx_1_5" hidden="1">{#N/A,#N/A,FALSE,"²Ä1­Ó¤ë"}</definedName>
    <definedName name="xx_2" localSheetId="3" hidden="1">{#N/A,#N/A,FALSE,"²Ä1­Ó¤ë"}</definedName>
    <definedName name="xx_2" hidden="1">{#N/A,#N/A,FALSE,"²Ä1­Ó¤ë"}</definedName>
    <definedName name="xx_2_1" localSheetId="3" hidden="1">{#N/A,#N/A,FALSE,"²Ä1­Ó¤ë"}</definedName>
    <definedName name="xx_2_1" hidden="1">{#N/A,#N/A,FALSE,"²Ä1­Ó¤ë"}</definedName>
    <definedName name="xx_2_2" localSheetId="3" hidden="1">{#N/A,#N/A,FALSE,"²Ä1­Ó¤ë"}</definedName>
    <definedName name="xx_2_2" hidden="1">{#N/A,#N/A,FALSE,"²Ä1­Ó¤ë"}</definedName>
    <definedName name="xx_2_3" localSheetId="3" hidden="1">{#N/A,#N/A,FALSE,"²Ä1­Ó¤ë"}</definedName>
    <definedName name="xx_2_3" hidden="1">{#N/A,#N/A,FALSE,"²Ä1­Ó¤ë"}</definedName>
    <definedName name="xx_2_4" localSheetId="3" hidden="1">{#N/A,#N/A,FALSE,"²Ä1­Ó¤ë"}</definedName>
    <definedName name="xx_2_4" hidden="1">{#N/A,#N/A,FALSE,"²Ä1­Ó¤ë"}</definedName>
    <definedName name="xx_2_5" localSheetId="3" hidden="1">{#N/A,#N/A,FALSE,"²Ä1­Ó¤ë"}</definedName>
    <definedName name="xx_2_5" hidden="1">{#N/A,#N/A,FALSE,"²Ä1­Ó¤ë"}</definedName>
    <definedName name="xx_3" localSheetId="3" hidden="1">{#N/A,#N/A,FALSE,"²Ä1­Ó¤ë"}</definedName>
    <definedName name="xx_3" hidden="1">{#N/A,#N/A,FALSE,"²Ä1­Ó¤ë"}</definedName>
    <definedName name="xx_3_1" localSheetId="3" hidden="1">{#N/A,#N/A,FALSE,"²Ä1­Ó¤ë"}</definedName>
    <definedName name="xx_3_1" hidden="1">{#N/A,#N/A,FALSE,"²Ä1­Ó¤ë"}</definedName>
    <definedName name="xx_3_2" localSheetId="3" hidden="1">{#N/A,#N/A,FALSE,"²Ä1­Ó¤ë"}</definedName>
    <definedName name="xx_3_2" hidden="1">{#N/A,#N/A,FALSE,"²Ä1­Ó¤ë"}</definedName>
    <definedName name="xx_3_3" localSheetId="3" hidden="1">{#N/A,#N/A,FALSE,"²Ä1­Ó¤ë"}</definedName>
    <definedName name="xx_3_3" hidden="1">{#N/A,#N/A,FALSE,"²Ä1­Ó¤ë"}</definedName>
    <definedName name="xx_3_4" localSheetId="3" hidden="1">{#N/A,#N/A,FALSE,"²Ä1­Ó¤ë"}</definedName>
    <definedName name="xx_3_4" hidden="1">{#N/A,#N/A,FALSE,"²Ä1­Ó¤ë"}</definedName>
    <definedName name="xx_3_5" localSheetId="3" hidden="1">{#N/A,#N/A,FALSE,"²Ä1­Ó¤ë"}</definedName>
    <definedName name="xx_3_5" hidden="1">{#N/A,#N/A,FALSE,"²Ä1­Ó¤ë"}</definedName>
    <definedName name="xx_4" localSheetId="3" hidden="1">{#N/A,#N/A,FALSE,"²Ä1­Ó¤ë"}</definedName>
    <definedName name="xx_4" hidden="1">{#N/A,#N/A,FALSE,"²Ä1­Ó¤ë"}</definedName>
    <definedName name="xx_4_1" localSheetId="3" hidden="1">{#N/A,#N/A,FALSE,"²Ä1­Ó¤ë"}</definedName>
    <definedName name="xx_4_1" hidden="1">{#N/A,#N/A,FALSE,"²Ä1­Ó¤ë"}</definedName>
    <definedName name="xx_4_2" localSheetId="3" hidden="1">{#N/A,#N/A,FALSE,"²Ä1­Ó¤ë"}</definedName>
    <definedName name="xx_4_2" hidden="1">{#N/A,#N/A,FALSE,"²Ä1­Ó¤ë"}</definedName>
    <definedName name="xx_4_3" localSheetId="3" hidden="1">{#N/A,#N/A,FALSE,"²Ä1­Ó¤ë"}</definedName>
    <definedName name="xx_4_3" hidden="1">{#N/A,#N/A,FALSE,"²Ä1­Ó¤ë"}</definedName>
    <definedName name="xx_4_4" localSheetId="3" hidden="1">{#N/A,#N/A,FALSE,"²Ä1­Ó¤ë"}</definedName>
    <definedName name="xx_4_4" hidden="1">{#N/A,#N/A,FALSE,"²Ä1­Ó¤ë"}</definedName>
    <definedName name="xx_4_5" localSheetId="3" hidden="1">{#N/A,#N/A,FALSE,"²Ä1­Ó¤ë"}</definedName>
    <definedName name="xx_4_5" hidden="1">{#N/A,#N/A,FALSE,"²Ä1­Ó¤ë"}</definedName>
    <definedName name="xx_5" localSheetId="3" hidden="1">{#N/A,#N/A,FALSE,"²Ä1­Ó¤ë"}</definedName>
    <definedName name="xx_5" hidden="1">{#N/A,#N/A,FALSE,"²Ä1­Ó¤ë"}</definedName>
    <definedName name="xx_5_1" localSheetId="3" hidden="1">{#N/A,#N/A,FALSE,"²Ä1­Ó¤ë"}</definedName>
    <definedName name="xx_5_1" hidden="1">{#N/A,#N/A,FALSE,"²Ä1­Ó¤ë"}</definedName>
    <definedName name="xx_5_2" localSheetId="3" hidden="1">{#N/A,#N/A,FALSE,"²Ä1­Ó¤ë"}</definedName>
    <definedName name="xx_5_2" hidden="1">{#N/A,#N/A,FALSE,"²Ä1­Ó¤ë"}</definedName>
    <definedName name="xx_5_3" localSheetId="3" hidden="1">{#N/A,#N/A,FALSE,"²Ä1­Ó¤ë"}</definedName>
    <definedName name="xx_5_3" hidden="1">{#N/A,#N/A,FALSE,"²Ä1­Ó¤ë"}</definedName>
    <definedName name="xx_5_4" localSheetId="3" hidden="1">{#N/A,#N/A,FALSE,"²Ä1­Ó¤ë"}</definedName>
    <definedName name="xx_5_4" hidden="1">{#N/A,#N/A,FALSE,"²Ä1­Ó¤ë"}</definedName>
    <definedName name="xx_5_5" localSheetId="3" hidden="1">{#N/A,#N/A,FALSE,"²Ä1­Ó¤ë"}</definedName>
    <definedName name="xx_5_5" hidden="1">{#N/A,#N/A,FALSE,"²Ä1­Ó¤ë"}</definedName>
    <definedName name="xx1stb" localSheetId="3" hidden="1">{#N/A,#N/A,FALSE,"CMN_FE"}</definedName>
    <definedName name="xx1stb" hidden="1">{#N/A,#N/A,FALSE,"CMN_FE"}</definedName>
    <definedName name="xx1stb2" localSheetId="3" hidden="1">{#N/A,#N/A,FALSE,"CMN_FE"}</definedName>
    <definedName name="xx1stb2" hidden="1">{#N/A,#N/A,FALSE,"CMN_FE"}</definedName>
    <definedName name="xxccvf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xxx" localSheetId="3">{"'NPCGUIDELINES'!$A$1:$J$41"}</definedName>
    <definedName name="xxx">{"'NPCGUIDELINES'!$A$1:$J$41"}</definedName>
    <definedName name="xxx.gb._Hm." localSheetId="3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localSheetId="3" hidden="1">{"INCOME",#N/A,FALSE,"INCOME STATEMENT"}</definedName>
    <definedName name="xxx.xxx" hidden="1">{"INCOME",#N/A,FALSE,"INCOME STATEMENT"}</definedName>
    <definedName name="XXX_1" localSheetId="3" hidden="1">{#N/A,#N/A,FALSE,"Other";#N/A,#N/A,FALSE,"Ace";#N/A,#N/A,FALSE,"Derm"}</definedName>
    <definedName name="XXX_1" hidden="1">{#N/A,#N/A,FALSE,"Other";#N/A,#N/A,FALSE,"Ace";#N/A,#N/A,FALSE,"Derm"}</definedName>
    <definedName name="XXX_2" localSheetId="3" hidden="1">{#N/A,#N/A,FALSE,"Other";#N/A,#N/A,FALSE,"Ace";#N/A,#N/A,FALSE,"Derm"}</definedName>
    <definedName name="XXX_2" hidden="1">{#N/A,#N/A,FALSE,"Other";#N/A,#N/A,FALSE,"Ace";#N/A,#N/A,FALSE,"Derm"}</definedName>
    <definedName name="XXX_3" localSheetId="3" hidden="1">{#N/A,#N/A,FALSE,"Other";#N/A,#N/A,FALSE,"Ace";#N/A,#N/A,FALSE,"Derm"}</definedName>
    <definedName name="XXX_3" hidden="1">{#N/A,#N/A,FALSE,"Other";#N/A,#N/A,FALSE,"Ace";#N/A,#N/A,FALSE,"Derm"}</definedName>
    <definedName name="XXX_4" localSheetId="3" hidden="1">{#N/A,#N/A,FALSE,"Other";#N/A,#N/A,FALSE,"Ace";#N/A,#N/A,FALSE,"Derm"}</definedName>
    <definedName name="XXX_4" hidden="1">{#N/A,#N/A,FALSE,"Other";#N/A,#N/A,FALSE,"Ace";#N/A,#N/A,FALSE,"Derm"}</definedName>
    <definedName name="xxx2" localSheetId="3" hidden="1">{"oct_res_comm",#N/A,FALSE,"VarToBud"}</definedName>
    <definedName name="xxx2" hidden="1">{"oct_res_comm",#N/A,FALSE,"VarToBud"}</definedName>
    <definedName name="xxxc" localSheetId="3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localSheetId="4" hidden="1">{#N/A,#N/A,FALSE,"Sheet1";#N/A,#N/A,FALSE,"Sheet2";#N/A,#N/A,FALSE,"Sheet3";#N/A,#N/A,FALSE,"Sheet4";#N/A,#N/A,FALSE,"Sheet5";#N/A,#N/A,FALSE,"Sheet6"}</definedName>
    <definedName name="xxxx" localSheetId="3" hidden="1">{"PAGE 1",#N/A,FALSE,"WEST_OT"}</definedName>
    <definedName name="xxxx" hidden="1">{"PAGE 1",#N/A,FALSE,"WEST_OT"}</definedName>
    <definedName name="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localSheetId="3" hidden="1">{#N/A,#N/A,FALSE,"Pharm";#N/A,#N/A,FALSE,"WWCM"}</definedName>
    <definedName name="xxxxx_1" hidden="1">{#N/A,#N/A,FALSE,"Pharm";#N/A,#N/A,FALSE,"WWCM"}</definedName>
    <definedName name="xxxxx_2" localSheetId="3" hidden="1">{#N/A,#N/A,FALSE,"Pharm";#N/A,#N/A,FALSE,"WWCM"}</definedName>
    <definedName name="xxxxx_2" hidden="1">{#N/A,#N/A,FALSE,"Pharm";#N/A,#N/A,FALSE,"WWCM"}</definedName>
    <definedName name="xxxxx_3" localSheetId="3" hidden="1">{#N/A,#N/A,FALSE,"Pharm";#N/A,#N/A,FALSE,"WWCM"}</definedName>
    <definedName name="xxxxx_3" hidden="1">{#N/A,#N/A,FALSE,"Pharm";#N/A,#N/A,FALSE,"WWCM"}</definedName>
    <definedName name="xxxxx_4" localSheetId="3" hidden="1">{#N/A,#N/A,FALSE,"Pharm";#N/A,#N/A,FALSE,"WWCM"}</definedName>
    <definedName name="xxxxx_4" hidden="1">{#N/A,#N/A,FALSE,"Pharm";#N/A,#N/A,FALSE,"WWCM"}</definedName>
    <definedName name="xxxxxx" localSheetId="3" hidden="1">{#N/A,#N/A,FALSE,"Offshore 2002 Comparative Fore ";#N/A,#N/A,FALSE,"Offshore Div 6";#N/A,#N/A,FALSE,"Deepwater Div 9"}</definedName>
    <definedName name="xxxxxx" hidden="1">{#N/A,#N/A,FALSE,"Offshore 2002 Comparative Fore ";#N/A,#N/A,FALSE,"Offshore Div 6";#N/A,#N/A,FALSE,"Deepwater Div 9"}</definedName>
    <definedName name="xxxxxxxx" localSheetId="3" hidden="1">{#N/A,#N/A,FALSE,"REPORT"}</definedName>
    <definedName name="xxxxxxxx" hidden="1">{#N/A,#N/A,FALSE,"REPORT"}</definedName>
    <definedName name="xxxxxxxxxx" localSheetId="3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localSheetId="3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localSheetId="3" hidden="1">{#N/A,#N/A,FALSE,"NGM Consolidated";#N/A,#N/A,FALSE,"NGM";#N/A,#N/A,FALSE,"NGP"}</definedName>
    <definedName name="xxxxxxxxxxxx" hidden="1">{#N/A,#N/A,FALSE,"NGM Consolidated";#N/A,#N/A,FALSE,"NGM";#N/A,#N/A,FALSE,"NGP"}</definedName>
    <definedName name="xxxxxxxxxxxxx" localSheetId="3" hidden="1">{#N/A,#N/A,FALSE,"Créances";#N/A,#N/A,FALSE,"Effectifs";#N/A,#N/A,FALSE,"SI"}</definedName>
    <definedName name="xxxxxxxxxxxxx" hidden="1">{#N/A,#N/A,FALSE,"Créances";#N/A,#N/A,FALSE,"Effectifs";#N/A,#N/A,FALSE,"SI"}</definedName>
    <definedName name="xxxxxxxxxxxxxxxx" localSheetId="3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localSheetId="3" hidden="1">{#N/A,#N/A,FALSE,"NTI";#N/A,#N/A,FALSE,"Co 04 - Pipeline Corp";#N/A,#N/A,FALSE,"Gasdel Pipeline";#N/A,#N/A,FALSE,"Producers Service Inc";#N/A,#N/A,FALSE,"HGC Inc";#N/A,#N/A,FALSE,"HIPS Inc"}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localSheetId="3" hidden="1">{"Geographic P1",#N/A,FALSE,"Division &amp; Geog"}</definedName>
    <definedName name="xxxxxxxxxxxxxxxxxxxxxx" hidden="1">{"Geographic P1",#N/A,FALSE,"Division &amp; Geog"}</definedName>
    <definedName name="xxxxxxxxxxxxxxxxxxxxxxx" localSheetId="3" hidden="1">{"EUUTI","COMPANIES",TRUE}</definedName>
    <definedName name="xxxxxxxxxxxxxxxxxxxxxxx" hidden="1">{"EUUTI","COMPANIES",TRUE}</definedName>
    <definedName name="xxxxxxxxxxxxxxxxxxxxxxxxxx" localSheetId="3" hidden="1">{#N/A,#N/A,FALSE,"NAI";#N/A,#N/A,FALSE,"NAI Eliminations";#N/A,#N/A,FALSE,"Ardmore";#N/A,#N/A,FALSE,"NPM Inc";#N/A,#N/A,FALSE,"Co 45 - Royalty Corp";#N/A,#N/A,FALSE,"Samedan Eliminations (10-49)"}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localSheetId="3" hidden="1">{#N/A,#N/A,FALSE,"CMN_FE"}</definedName>
    <definedName name="xz" hidden="1">{#N/A,#N/A,FALSE,"CMN_FE"}</definedName>
    <definedName name="xzf" localSheetId="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 localSheetId="3">{"'NPCGUIDELINES'!$A$1:$J$41"}</definedName>
    <definedName name="xZxa">{"'NPCGUIDELINES'!$A$1:$J$41"}</definedName>
    <definedName name="xzxz" localSheetId="3" hidden="1">{#N/A,"PURCHM",FALSE,"Business Analysis";#N/A,"SPADD",FALSE,"Business Analysis"}</definedName>
    <definedName name="xzxz" hidden="1">{#N/A,"PURCHM",FALSE,"Business Analysis";#N/A,"SPADD",FALSE,"Business Analysis"}</definedName>
    <definedName name="y">#REF!</definedName>
    <definedName name="y_1" localSheetId="3" hidden="1">{#N/A,#N/A,FALSE,"Pharm";#N/A,#N/A,FALSE,"WWCM"}</definedName>
    <definedName name="y_1" hidden="1">{#N/A,#N/A,FALSE,"Pharm";#N/A,#N/A,FALSE,"WWCM"}</definedName>
    <definedName name="y_2" localSheetId="3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localSheetId="3" hidden="1">{#N/A,#N/A,FALSE,"Pharm";#N/A,#N/A,FALSE,"WWCM"}</definedName>
    <definedName name="y_3" hidden="1">{#N/A,#N/A,FALSE,"Pharm";#N/A,#N/A,FALSE,"WWCM"}</definedName>
    <definedName name="y_4" localSheetId="3" hidden="1">{#N/A,#N/A,FALSE,"Pharm";#N/A,#N/A,FALSE,"WWCM"}</definedName>
    <definedName name="y_4" hidden="1">{#N/A,#N/A,FALSE,"Pharm";#N/A,#N/A,FALSE,"WWCM"}</definedName>
    <definedName name="Y_Resolution__mm___Pixels">#REF!</definedName>
    <definedName name="yan" localSheetId="3" hidden="1">{"table",#N/A,FALSE,"COVER";"income_statement",#N/A,FALSE,"COVER"}</definedName>
    <definedName name="yan" hidden="1">{"table",#N/A,FALSE,"COVER";"income_statement",#N/A,FALSE,"COVER"}</definedName>
    <definedName name="yaron" localSheetId="3" hidden="1">{#N/A,#N/A,FALSE,"Japan 2003";#N/A,#N/A,FALSE,"Sheet2"}</definedName>
    <definedName name="yaron" hidden="1">{#N/A,#N/A,FALSE,"Japan 2003";#N/A,#N/A,FALSE,"Sheet2"}</definedName>
    <definedName name="yaron_1" localSheetId="3" hidden="1">{#N/A,#N/A,FALSE,"Japan 2003";#N/A,#N/A,FALSE,"Sheet2"}</definedName>
    <definedName name="yaron_1" hidden="1">{#N/A,#N/A,FALSE,"Japan 2003";#N/A,#N/A,FALSE,"Sheet2"}</definedName>
    <definedName name="ye">#REF!</definedName>
    <definedName name="YEAH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 localSheetId="4">'[230]ריכוז ופריסת הוצאה'!$B$64</definedName>
    <definedName name="YEAR1">#REF!</definedName>
    <definedName name="Year1_Retention">#REF!</definedName>
    <definedName name="Year10">#REF!</definedName>
    <definedName name="Year11">#REF!</definedName>
    <definedName name="YEAR2" localSheetId="4">'[230]ריכוז ופריסת הוצאה'!$B$85</definedName>
    <definedName name="YEAR2">#REF!</definedName>
    <definedName name="Year2_Retention">#REF!</definedName>
    <definedName name="year2001">#REF!</definedName>
    <definedName name="YEAR3" localSheetId="4">'[230]ריכוז ופריסת הוצאה'!$B$107</definedName>
    <definedName name="YEAR3">#REF!</definedName>
    <definedName name="Year3_Retention">#REF!</definedName>
    <definedName name="YEAR4" localSheetId="4">'[230]ריכוז ופריסת הוצאה'!$B$129</definedName>
    <definedName name="YEAR4">#REF!</definedName>
    <definedName name="Year4_Retention">#REF!</definedName>
    <definedName name="YEAR5" localSheetId="4">'[230]ריכוז ופריסת הוצאה'!$B$151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 localSheetId="4">[91]עזר!#REF!</definedName>
    <definedName name="Yes" localSheetId="3">{"adj95mult",#N/A,FALSE,"COMPCO";"adj95est",#N/A,FALSE,"COMPCO"}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localSheetId="3" hidden="1">{#N/A,#N/A,FALSE,"PGW"}</definedName>
    <definedName name="yeya" hidden="1">{#N/A,#N/A,FALSE,"PGW"}</definedName>
    <definedName name="yfrhgtjg" localSheetId="3" hidden="1">{#N/A,#N/A,FALSE,"Aging Summary";#N/A,#N/A,FALSE,"Ratio Analysis";#N/A,#N/A,FALSE,"Test 120 Day Accts";#N/A,#N/A,FALSE,"Tickmarks"}</definedName>
    <definedName name="yfrhgtjg" hidden="1">{#N/A,#N/A,FALSE,"Aging Summary";#N/A,#N/A,FALSE,"Ratio Analysis";#N/A,#N/A,FALSE,"Test 120 Day Accts";#N/A,#N/A,FALSE,"Tickmarks"}</definedName>
    <definedName name="yfrhgtjg_1" localSheetId="3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localSheetId="3" hidden="1">{"Polymers Details",#N/A,FALSE,"Current Yr";"Polymer Details",#N/A,FALSE,"Budget";"Polymer Details",#N/A,FALSE,"Prior Year"}</definedName>
    <definedName name="yg" hidden="1">{"Polymers Details",#N/A,FALSE,"Current Yr";"Polymer Details",#N/A,FALSE,"Budget";"Polymer Details",#N/A,FALSE,"Prior Year"}</definedName>
    <definedName name="yh" localSheetId="3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localSheetId="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localSheetId="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localSheetId="3" hidden="1">{#N/A,"PURCHM",FALSE,"Business Analysis";#N/A,"SPADD",FALSE,"Business Analysis"}</definedName>
    <definedName name="ym" hidden="1">{#N/A,"PURCHM",FALSE,"Business Analysis";#N/A,"SPADD",FALSE,"Business Analysis"}</definedName>
    <definedName name="yn" localSheetId="3" hidden="1">{"AS REP",#N/A,FALSE,"EEFSNAP2";"PROP",#N/A,FALSE,"EEFSNAP2";"RISKS",#N/A,FALSE,"EEFSNAP2";"VIEW ALL",#N/A,FALSE,"EEFSNAP2"}</definedName>
    <definedName name="yn" hidden="1">{"AS REP",#N/A,FALSE,"EEFSNAP2";"PROP",#N/A,FALSE,"EEFSNAP2";"RISKS",#N/A,FALSE,"EEFSNAP2";"VIEW ALL",#N/A,FALSE,"EEFSNAP2"}</definedName>
    <definedName name="yoram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localSheetId="3" hidden="1">{#N/A,#N/A,FALSE,"AD_Purchase";#N/A,#N/A,FALSE,"Credit";#N/A,#N/A,FALSE,"PF Acquisition";#N/A,#N/A,FALSE,"PF Offering"}</definedName>
    <definedName name="youh" hidden="1">{#N/A,#N/A,FALSE,"AD_Purchase";#N/A,#N/A,FALSE,"Credit";#N/A,#N/A,FALSE,"PF Acquisition";#N/A,#N/A,FALSE,"PF Offering"}</definedName>
    <definedName name="yp" localSheetId="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localSheetId="3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localSheetId="4" hidden="1">{"PAGE 1",#N/A,FALSE,"WEST_OT"}</definedName>
    <definedName name="yrd" localSheetId="3" hidden="1">{"PAGE 1",#N/A,FALSE,"WEST_OT"}</definedName>
    <definedName name="yrd" hidden="1">{"PAGE 1",#N/A,FALSE,"WEST_OT"}</definedName>
    <definedName name="YrEnd_FFr_USD">0.1767</definedName>
    <definedName name="yrh" localSheetId="3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t" localSheetId="3" hidden="1">{#N/A,#N/A,FALSE,"Pharm";#N/A,#N/A,FALSE,"WWCM"}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localSheetId="3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localSheetId="3" hidden="1">{"overview",#N/A,FALSE,"summary";"net assets",#N/A,FALSE,"summary";"asset turnover",#N/A,FALSE,"summary";"orona",#N/A,FALSE,"summary"}</definedName>
    <definedName name="ytre" hidden="1">{"overview",#N/A,FALSE,"summary";"net assets",#N/A,FALSE,"summary";"asset turnover",#N/A,FALSE,"summary";"orona",#N/A,FALSE,"summary"}</definedName>
    <definedName name="ytrrrrr" localSheetId="4" hidden="1">{#N/A,#N/A,TRUE,"רבעוני מעודכן";#N/A,#N/A,TRUE,"השוואת תקציבים";#N/A,#N/A,TRUE,"הכנסות";#N/A,#N/A,TRUE,"רגישות"}</definedName>
    <definedName name="ytrrrrr" localSheetId="3" hidden="1">{#N/A,#N/A,TRUE,"רבעוני מעודכן";#N/A,#N/A,TRUE,"השוואת תקציבים";#N/A,#N/A,TRUE,"הכנסות";#N/A,#N/A,TRUE,"רגישות"}</definedName>
    <definedName name="ytrrrrr" hidden="1">{#N/A,#N/A,TRUE,"רבעוני מעודכן";#N/A,#N/A,TRUE,"השוואת תקציבים";#N/A,#N/A,TRUE,"הכנסות";#N/A,#N/A,TRUE,"רגישות"}</definedName>
    <definedName name="YTUJHE" localSheetId="3" hidden="1">{#N/A,#N/A,FALSE,"ALM-ASISC"}</definedName>
    <definedName name="YTUJHE" hidden="1">{#N/A,#N/A,FALSE,"ALM-ASISC"}</definedName>
    <definedName name="yty" localSheetId="3" hidden="1">{#N/A,#N/A,FALSE,"Pharm";#N/A,#N/A,FALSE,"WWCM"}</definedName>
    <definedName name="yty" hidden="1">{#N/A,#N/A,FALSE,"Pharm";#N/A,#N/A,FALSE,"WWCM"}</definedName>
    <definedName name="YTY1">#REF!</definedName>
    <definedName name="YTY2">#REF!</definedName>
    <definedName name="yu" localSheetId="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localSheetId="3" hidden="1">{"Commentary",#N/A,FALSE,"May"}</definedName>
    <definedName name="yui" hidden="1">{"Commentary",#N/A,FALSE,"May"}</definedName>
    <definedName name="yuio" localSheetId="3" hidden="1">{"oct_res_comm",#N/A,FALSE,"VarToBud"}</definedName>
    <definedName name="yuio" hidden="1">{"oct_res_comm",#N/A,FALSE,"VarToBud"}</definedName>
    <definedName name="yuk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 localSheetId="3">{"'1-TheatreBkgs'!$A$1:$L$102"}</definedName>
    <definedName name="yuoiyu">{"'1-TheatreBkgs'!$A$1:$L$102"}</definedName>
    <definedName name="yuop" localSheetId="3" hidden="1">{"OTHER",#N/A,FALSE,"CM"}</definedName>
    <definedName name="yuop" hidden="1">{"OTHER",#N/A,FALSE,"CM"}</definedName>
    <definedName name="yuoto" localSheetId="3">{"'1-TheatreBkgs'!$A$1:$L$102"}</definedName>
    <definedName name="yuoto">{"'1-TheatreBkgs'!$A$1:$L$102"}</definedName>
    <definedName name="yurt" localSheetId="3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localSheetId="3" hidden="1">{"ratios",#N/A,FALSE,"Summary Accounts"}</definedName>
    <definedName name="yuuuuuuu" hidden="1">{"ratios",#N/A,FALSE,"Summary Accounts"}</definedName>
    <definedName name="yv" localSheetId="3" hidden="1">{"sales growth",#N/A,FALSE,"summary";"oper income",#N/A,FALSE,"summary";"oros rank",#N/A,FALSE,"summary";"net assets",#N/A,FALSE,"summary";"asset turnover",#N/A,FALSE,"summary";"orona",#N/A,FALSE,"summary"}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localSheetId="3" hidden="1">{"overview",#N/A,FALSE,"summary";"net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localSheetId="3" hidden="1">{#N/A,#N/A,FALSE,"Umsatz 99";#N/A,#N/A,FALSE,"ER 99 "}</definedName>
    <definedName name="yxcxycxy" hidden="1">{#N/A,#N/A,FALSE,"Umsatz 99";#N/A,#N/A,FALSE,"ER 99 "}</definedName>
    <definedName name="yy" localSheetId="4" hidden="1">{#N/A,#N/A,FALSE,"contents";#N/A,#N/A,FALSE,"Balance sheet";#N/A,#N/A,FALSE,"income";#N/A,#N/A,FALSE,"Cash-flow";#N/A,#N/A,FALSE,"Equity";#N/A,#N/A,FALSE,"Notes";#N/A,#N/A,FALSE,"Supplemental"}</definedName>
    <definedName name="yy" localSheetId="3" hidden="1">{#N/A,#N/A,FALSE,"Sheet1"}</definedName>
    <definedName name="yy" hidden="1">{#N/A,#N/A,FALSE,"Sheet1"}</definedName>
    <definedName name="yy.7" localSheetId="3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localSheetId="3" hidden="1">{"table",#N/A,FALSE,"COVER";"income_statement",#N/A,FALSE,"COVER"}</definedName>
    <definedName name="yyy" hidden="1">{"table",#N/A,FALSE,"COVER";"income_statement",#N/A,FALSE,"COVER"}</definedName>
    <definedName name="yyy_1" localSheetId="3" hidden="1">{#N/A,#N/A,FALSE,"Other";#N/A,#N/A,FALSE,"Ace";#N/A,#N/A,FALSE,"Derm"}</definedName>
    <definedName name="yyy_1" hidden="1">{#N/A,#N/A,FALSE,"Other";#N/A,#N/A,FALSE,"Ace";#N/A,#N/A,FALSE,"Derm"}</definedName>
    <definedName name="yyy_2" localSheetId="3" hidden="1">{#N/A,#N/A,FALSE,"Other";#N/A,#N/A,FALSE,"Ace";#N/A,#N/A,FALSE,"Derm"}</definedName>
    <definedName name="yyy_2" hidden="1">{#N/A,#N/A,FALSE,"Other";#N/A,#N/A,FALSE,"Ace";#N/A,#N/A,FALSE,"Derm"}</definedName>
    <definedName name="yyy_3" localSheetId="3" hidden="1">{#N/A,#N/A,FALSE,"Other";#N/A,#N/A,FALSE,"Ace";#N/A,#N/A,FALSE,"Derm"}</definedName>
    <definedName name="yyy_3" hidden="1">{#N/A,#N/A,FALSE,"Other";#N/A,#N/A,FALSE,"Ace";#N/A,#N/A,FALSE,"Derm"}</definedName>
    <definedName name="yyy_4" localSheetId="3" hidden="1">{#N/A,#N/A,FALSE,"Other";#N/A,#N/A,FALSE,"Ace";#N/A,#N/A,FALSE,"Derm"}</definedName>
    <definedName name="yyy_4" hidden="1">{#N/A,#N/A,FALSE,"Other";#N/A,#N/A,FALSE,"Ace";#N/A,#N/A,FALSE,"Derm"}</definedName>
    <definedName name="yyyy" localSheetId="3" hidden="1">{#N/A,#N/A,FALSE,"Debt Accr";#N/A,#N/A,FALSE,"Stock Accr";#N/A,#N/A,FALSE,"Debt Stock Accr"}</definedName>
    <definedName name="yyyy" hidden="1">{#N/A,#N/A,FALSE,"Debt Accr";#N/A,#N/A,FALSE,"Stock Accr";#N/A,#N/A,FALSE,"Debt Stock Accr"}</definedName>
    <definedName name="yyyyyy" localSheetId="3" hidden="1">{"p_l",#N/A,FALSE,"Summary Accounts"}</definedName>
    <definedName name="yyyyyy" hidden="1">{"p_l",#N/A,FALSE,"Summary Accounts"}</definedName>
    <definedName name="z" localSheetId="4" hidden="1">{"Budget V Actual YTD",#N/A,FALSE,"Budget v Actual"}</definedName>
    <definedName name="z" localSheetId="3" hidden="1">{"Budget V Actual YTD",#N/A,FALSE,"Budget v Actual"}</definedName>
    <definedName name="z" hidden="1">{"Budget V Actual YTD",#N/A,FALSE,"Budget v Actual"}</definedName>
    <definedName name="z.l" localSheetId="3" hidden="1">{#N/A,#N/A,FALSE,"KA CH  (2)"}</definedName>
    <definedName name="z.l" hidden="1">{#N/A,#N/A,FALSE,"KA CH  (2)"}</definedName>
    <definedName name="z.xls" localSheetId="3" hidden="1">{#N/A,#N/A,FALSE,"CMN_FE"}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localSheetId="4" hidden="1">'[231]A-1  Recovery'!$A$1:$I$103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localSheetId="4" hidden="1">'[231]A-1  Recovery'!$A$1:$I$103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localSheetId="4" hidden="1">'[231]A-1  Recovery'!$A$1:$I$103</definedName>
    <definedName name="Z_BF8CB76B_C2F2_419C_ADA1_D11F03C9BFF9_.wvu.PrintArea" hidden="1">#REF!</definedName>
    <definedName name="Z_C333B5C7_D048_4A52_831A_785A38527B47_.wvu.PrintArea" localSheetId="4" hidden="1">'[231]A-1  Recovery'!$A$1:$I$103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localSheetId="4" hidden="1">'[231]A-1  Recovery'!$A$1:$I$103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localSheetId="3" hidden="1">{"detail",#N/A,FALSE,"mfg";"summary",#N/A,FALSE,"mfg"}</definedName>
    <definedName name="za" hidden="1">{"detail",#N/A,FALSE,"mfg";"summary",#N/A,FALSE,"mfg"}</definedName>
    <definedName name="zaCQW" localSheetId="3" hidden="1">{"turnover",#N/A,FALSE;"profits",#N/A,FALSE;"cash",#N/A,FALSE}</definedName>
    <definedName name="zaCQW" hidden="1">{"turnover",#N/A,FALSE;"profits",#N/A,FALSE;"cash",#N/A,FALSE}</definedName>
    <definedName name="zaq" localSheetId="3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z" localSheetId="3" hidden="1">{#N/A,"PURCHM",FALSE,"Business Analysis";#N/A,"SPADD",FALSE,"Business Analysis"}</definedName>
    <definedName name="zaz" hidden="1">{#N/A,"PURCHM",FALSE,"Business Analysis";#N/A,"SPADD",FALSE,"Business Analysis"}</definedName>
    <definedName name="zcvqa" localSheetId="3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zaa" localSheetId="3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xzxva" localSheetId="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localSheetId="3" hidden="1">{#N/A,#N/A,FALSE,"FINAL"}</definedName>
    <definedName name="ZDFGD" hidden="1">{#N/A,#N/A,FALSE,"FINAL"}</definedName>
    <definedName name="zdfs" localSheetId="3">{"'1-TheatreBkgs'!$A$1:$L$102"}</definedName>
    <definedName name="zdfs">{"'1-TheatreBkgs'!$A$1:$L$102"}</definedName>
    <definedName name="zdsfg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localSheetId="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localSheetId="3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esewe" localSheetId="3" hidden="1">{#N/A,#N/A,FALSE,"FREE"}</definedName>
    <definedName name="zesewe" hidden="1">{#N/A,#N/A,FALSE,"FREE"}</definedName>
    <definedName name="zezere" localSheetId="3">{"'1-TheatreBkgs'!$A$1:$L$102"}</definedName>
    <definedName name="zezere">{"'1-TheatreBkgs'!$A$1:$L$102"}</definedName>
    <definedName name="zhu" localSheetId="3" hidden="1">{#N/A,#N/A,FALSE,"REPORT"}</definedName>
    <definedName name="zhu" hidden="1">{#N/A,#N/A,FALSE,"REPORT"}</definedName>
    <definedName name="zhu_1" localSheetId="3" hidden="1">{#N/A,#N/A,FALSE,"REPORT"}</definedName>
    <definedName name="zhu_1" hidden="1">{#N/A,#N/A,FALSE,"REPORT"}</definedName>
    <definedName name="zhu_2" localSheetId="3" hidden="1">{#N/A,#N/A,FALSE,"REPORT"}</definedName>
    <definedName name="zhu_2" hidden="1">{#N/A,#N/A,FALSE,"REPORT"}</definedName>
    <definedName name="zhu_3" localSheetId="3" hidden="1">{#N/A,#N/A,FALSE,"REPORT"}</definedName>
    <definedName name="zhu_3" hidden="1">{#N/A,#N/A,FALSE,"REPORT"}</definedName>
    <definedName name="zhu_4" localSheetId="3" hidden="1">{#N/A,#N/A,FALSE,"REPORT"}</definedName>
    <definedName name="zhu_4" hidden="1">{#N/A,#N/A,FALSE,"REPORT"}</definedName>
    <definedName name="zhutr" localSheetId="3" hidden="1">{#N/A,#N/A,FALSE,"REPORT"}</definedName>
    <definedName name="zhutr" hidden="1">{#N/A,#N/A,FALSE,"REPORT"}</definedName>
    <definedName name="zhutr_1" localSheetId="3" hidden="1">{#N/A,#N/A,FALSE,"REPORT"}</definedName>
    <definedName name="zhutr_1" hidden="1">{#N/A,#N/A,FALSE,"REPORT"}</definedName>
    <definedName name="zhutr_2" localSheetId="3" hidden="1">{#N/A,#N/A,FALSE,"REPORT"}</definedName>
    <definedName name="zhutr_2" hidden="1">{#N/A,#N/A,FALSE,"REPORT"}</definedName>
    <definedName name="zhutr_3" localSheetId="3" hidden="1">{#N/A,#N/A,FALSE,"REPORT"}</definedName>
    <definedName name="zhutr_3" hidden="1">{#N/A,#N/A,FALSE,"REPORT"}</definedName>
    <definedName name="zhutr_4" localSheetId="3" hidden="1">{#N/A,#N/A,FALSE,"REPORT"}</definedName>
    <definedName name="zhutr_4" hidden="1">{#N/A,#N/A,FALSE,"REPORT"}</definedName>
    <definedName name="zioio" localSheetId="3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localSheetId="3" hidden="1">{#N/A,"PURCHM",FALSE,"Business Analysis";#N/A,"SPADD",FALSE,"Business Analysis"}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localSheetId="3" hidden="1">{"summary",#N/A,FALSE,"2000 vs 1999";"detail",#N/A,FALSE,"2000 vs 1999"}</definedName>
    <definedName name="ZS" hidden="1">{"summary",#N/A,FALSE,"2000 vs 1999";"detail",#N/A,FALSE,"2000 vs 1999"}</definedName>
    <definedName name="zscz" localSheetId="3" hidden="1">{#N/A,#N/A,FALSE,"Pooling";#N/A,#N/A,FALSE,"income";#N/A,#N/A,FALSE,"valuation"}</definedName>
    <definedName name="zscz" hidden="1">{#N/A,#N/A,FALSE,"Pooling";#N/A,#N/A,FALSE,"income";#N/A,#N/A,FALSE,"valuation"}</definedName>
    <definedName name="zsdfksksk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localSheetId="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localSheetId="3" hidden="1">{#N/A,#N/A,FALSE,"AD_Purchase";#N/A,#N/A,FALSE,"Credit";#N/A,#N/A,FALSE,"PF Acquisition";#N/A,#N/A,FALSE,"PF Offering"}</definedName>
    <definedName name="zx" hidden="1">{#N/A,#N/A,FALSE,"AD_Purchase";#N/A,#N/A,FALSE,"Credit";#N/A,#N/A,FALSE,"PF Acquisition";#N/A,#N/A,FALSE,"PF Offering"}</definedName>
    <definedName name="zxcc" localSheetId="3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localSheetId="3" hidden="1">{"oct_res_comm",#N/A,FALSE,"VarToBud"}</definedName>
    <definedName name="zxzx" hidden="1">{"oct_res_comm",#N/A,FALSE,"VarToBud"}</definedName>
    <definedName name="zy" localSheetId="3" hidden="1">{#N/A,#N/A,FALSE,"CMN_FE"}</definedName>
    <definedName name="zy" hidden="1">{#N/A,#N/A,FALSE,"CMN_FE"}</definedName>
    <definedName name="zyz" localSheetId="3" hidden="1">{#N/A,#N/A,FALSE,"CMN_FE"}</definedName>
    <definedName name="zyz" hidden="1">{#N/A,#N/A,FALSE,"CMN_FE"}</definedName>
    <definedName name="ZZ" localSheetId="4">#REF!</definedName>
    <definedName name="zz" localSheetId="3" hidden="1">{"Budget V Actual YTD",#N/A,FALSE,"Budget v Actual"}</definedName>
    <definedName name="zz" hidden="1">{"Budget V Actual YTD",#N/A,FALSE,"Budget v Actual"}</definedName>
    <definedName name="zza4pg" localSheetId="3" hidden="1">{#N/A,#N/A,FALSE,"REPORT"}</definedName>
    <definedName name="zza4pg" hidden="1">{#N/A,#N/A,FALSE,"REPORT"}</definedName>
    <definedName name="zza4pg_1" localSheetId="3" hidden="1">{#N/A,#N/A,FALSE,"REPORT"}</definedName>
    <definedName name="zza4pg_1" hidden="1">{#N/A,#N/A,FALSE,"REPORT"}</definedName>
    <definedName name="zza4pg_2" localSheetId="3" hidden="1">{#N/A,#N/A,FALSE,"REPORT"}</definedName>
    <definedName name="zza4pg_2" hidden="1">{#N/A,#N/A,FALSE,"REPORT"}</definedName>
    <definedName name="zza4pg_3" localSheetId="3" hidden="1">{#N/A,#N/A,FALSE,"REPORT"}</definedName>
    <definedName name="zza4pg_3" hidden="1">{#N/A,#N/A,FALSE,"REPORT"}</definedName>
    <definedName name="zza4pg_4" localSheetId="3" hidden="1">{#N/A,#N/A,FALSE,"REPORT"}</definedName>
    <definedName name="zza4pg_4" hidden="1">{#N/A,#N/A,FALSE,"REPORT"}</definedName>
    <definedName name="zzaxz" localSheetId="3" hidden="1">{"detail",#N/A,FALSE,"mfg";"summary",#N/A,FALSE,"mfg"}</definedName>
    <definedName name="zzaxz" hidden="1">{"detail",#N/A,FALSE,"mfg";"summary",#N/A,FALSE,"mfg"}</definedName>
    <definedName name="zzee" localSheetId="3" hidden="1">{#N/A,#N/A,FALSE,"Pharm";#N/A,#N/A,FALSE,"WWCM"}</definedName>
    <definedName name="zzee" hidden="1">{#N/A,#N/A,FALSE,"Pharm";#N/A,#N/A,FALSE,"WWCM"}</definedName>
    <definedName name="zzee_1" localSheetId="3" hidden="1">{#N/A,#N/A,FALSE,"Pharm";#N/A,#N/A,FALSE,"WWCM"}</definedName>
    <definedName name="zzee_1" hidden="1">{#N/A,#N/A,FALSE,"Pharm";#N/A,#N/A,FALSE,"WWCM"}</definedName>
    <definedName name="zzee_2" localSheetId="3" hidden="1">{#N/A,#N/A,FALSE,"Pharm";#N/A,#N/A,FALSE,"WWCM"}</definedName>
    <definedName name="zzee_2" hidden="1">{#N/A,#N/A,FALSE,"Pharm";#N/A,#N/A,FALSE,"WWCM"}</definedName>
    <definedName name="zzee_3" localSheetId="3" hidden="1">{#N/A,#N/A,FALSE,"Pharm";#N/A,#N/A,FALSE,"WWCM"}</definedName>
    <definedName name="zzee_3" hidden="1">{#N/A,#N/A,FALSE,"Pharm";#N/A,#N/A,FALSE,"WWCM"}</definedName>
    <definedName name="zzee_4" localSheetId="3" hidden="1">{#N/A,#N/A,FALSE,"Pharm";#N/A,#N/A,FALSE,"WWCM"}</definedName>
    <definedName name="zzee_4" hidden="1">{#N/A,#N/A,FALSE,"Pharm";#N/A,#N/A,FALSE,"WWCM"}</definedName>
    <definedName name="zzi.7" localSheetId="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localSheetId="3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localSheetId="3" hidden="1">{#N/A,#N/A,FALSE,"REPORT"}</definedName>
    <definedName name="zzzzz" hidden="1">{#N/A,#N/A,FALSE,"REPORT"}</definedName>
    <definedName name="zzzzz_1" localSheetId="3" hidden="1">{#N/A,#N/A,FALSE,"REPORT"}</definedName>
    <definedName name="zzzzz_1" hidden="1">{#N/A,#N/A,FALSE,"REPORT"}</definedName>
    <definedName name="zzzzz_2" localSheetId="3" hidden="1">{#N/A,#N/A,FALSE,"REPORT"}</definedName>
    <definedName name="zzzzz_2" hidden="1">{#N/A,#N/A,FALSE,"REPORT"}</definedName>
    <definedName name="zzzzz_3" localSheetId="3" hidden="1">{#N/A,#N/A,FALSE,"REPORT"}</definedName>
    <definedName name="zzzzz_3" hidden="1">{#N/A,#N/A,FALSE,"REPORT"}</definedName>
    <definedName name="zzzzz_4" localSheetId="3" hidden="1">{#N/A,#N/A,FALSE,"REPORT"}</definedName>
    <definedName name="zzzzz_4" hidden="1">{#N/A,#N/A,FALSE,"REPORT"}</definedName>
    <definedName name="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localSheetId="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 localSheetId="3">{"'1-TheatreBkgs'!$A$1:$L$102"}</definedName>
    <definedName name="zzzzzzzzzzzzzz">{"'1-TheatreBkgs'!$A$1:$L$102"}</definedName>
    <definedName name="σ">#REF!</definedName>
    <definedName name="ﾘｽﾄ">#REF!</definedName>
    <definedName name="א" localSheetId="4" hidden="1">{#N/A,#N/A,FALSE,"מאזן בוחן";"כל_מאזן_בוחן",#N/A,FALSE,"מאזן בוחן"}</definedName>
    <definedName name="א" localSheetId="3" hidden="1">{#N/A,#N/A,FALSE,"מאזן בוחן";"כל_מאזן_בוחן",#N/A,FALSE,"מאזן בוחן"}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 localSheetId="4">[232]איחוד!#REF!</definedName>
    <definedName name="אא">#REF!</definedName>
    <definedName name="אאא" localSheetId="4" hidden="1">{#N/A,#N/A,FALSE,"מאזן בוחן";"כל_מאזן_בוחן",#N/A,FALSE,"מאזן בוחן"}</definedName>
    <definedName name="אאא" localSheetId="3" hidden="1">{#N/A,#N/A,FALSE,"מאזן בוחן";"כל_מאזן_בוחן",#N/A,FALSE,"מאזן בוחן"}</definedName>
    <definedName name="אאא" hidden="1">{#N/A,#N/A,FALSE,"מאזן בוחן";"כל_מאזן_בוחן",#N/A,FALSE,"מאזן בוחן"}</definedName>
    <definedName name="אאא1" localSheetId="4" hidden="1">{#N/A,#N/A,FALSE,"מאזן בוחן";"כל_מאזן_בוחן",#N/A,FALSE,"מאזן בוחן"}</definedName>
    <definedName name="אאא1" localSheetId="3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localSheetId="4" hidden="1">{#N/A,#N/A,FALSE,"Aging Summary";#N/A,#N/A,FALSE,"Ratio Analysis";#N/A,#N/A,FALSE,"Test 120 Day Accts";#N/A,#N/A,FALSE,"Tickmarks"}</definedName>
    <definedName name="אאאא" localSheetId="3" hidden="1">{#N/A,#N/A,FALSE,"Aging Summary";#N/A,#N/A,FALSE,"Ratio Analysis";#N/A,#N/A,FALSE,"Test 120 Day Accts";#N/A,#N/A,FALSE,"Tickmarks"}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localSheetId="4" hidden="1">{#N/A,#N/A,FALSE,"חודשי"}</definedName>
    <definedName name="אה" localSheetId="3" hidden="1">{#N/A,#N/A,FALSE,"חודשי"}</definedName>
    <definedName name="אה" hidden="1">{#N/A,#N/A,FALSE,"חודשי"}</definedName>
    <definedName name="אהרוני" localSheetId="4" hidden="1">{#N/A,#N/A,TRUE,"צפי הכנסות-צביקה"}</definedName>
    <definedName name="אהרוני" localSheetId="3" hidden="1">{#N/A,#N/A,TRUE,"צפי הכנסות-צביקה"}</definedName>
    <definedName name="אהרוני" hidden="1">{#N/A,#N/A,TRUE,"צפי הכנסות-צביקה"}</definedName>
    <definedName name="אואואואוא" localSheetId="4" hidden="1">{#N/A,#N/A,FALSE,"Aging Summary";#N/A,#N/A,FALSE,"Ratio Analysis";#N/A,#N/A,FALSE,"Test 120 Day Accts";#N/A,#N/A,FALSE,"Tickmarks"}</definedName>
    <definedName name="אואואואוא" localSheetId="3" hidden="1">{#N/A,#N/A,FALSE,"Aging Summary";#N/A,#N/A,FALSE,"Ratio Analysis";#N/A,#N/A,FALSE,"Test 120 Day Accts";#N/A,#N/A,FALSE,"Tickmarks"}</definedName>
    <definedName name="אואואואוא" hidden="1">{#N/A,#N/A,FALSE,"Aging Summary";#N/A,#N/A,FALSE,"Ratio Analysis";#N/A,#N/A,FALSE,"Test 120 Day Accts";#N/A,#N/A,FALSE,"Tickmarks"}</definedName>
    <definedName name="אוגוסט">[233]index!$B$9</definedName>
    <definedName name="אוגוסט_02">#REF!</definedName>
    <definedName name="אוגוסט_03">#REF!</definedName>
    <definedName name="אוחכח" localSheetId="4" hidden="1">{#N/A,#N/A,FALSE,"Aging Summary";#N/A,#N/A,FALSE,"Ratio Analysis";#N/A,#N/A,FALSE,"Test 120 Day Accts";#N/A,#N/A,FALSE,"Tickmarks"}</definedName>
    <definedName name="אוחכח" localSheetId="3" hidden="1">{#N/A,#N/A,FALSE,"Aging Summary";#N/A,#N/A,FALSE,"Ratio Analysis";#N/A,#N/A,FALSE,"Test 120 Day Accts";#N/A,#N/A,FALSE,"Tickmarks"}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'[234]תעודה א'!#REF!</definedName>
    <definedName name="אוקטובר_02">#REF!</definedName>
    <definedName name="אוקטובר_03">#REF!</definedName>
    <definedName name="אחסון">[235]טבלאות!$B$4:$B$11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[236]אלדור!$C$6:$I$68,[236]אלדור!$C$70:$I$111,[236]אלדור!$C$116:$I$159</definedName>
    <definedName name="אםםאםא">'[237]שינויים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 localSheetId="4">'[238]ניתוח אנליטי-רו"ה'!$M$1:$Y$41</definedName>
    <definedName name="אנליטי98">#REF!</definedName>
    <definedName name="אפריל" localSheetId="4">[233]index!$B$5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 localSheetId="4">'[239]פקודות נוספות קדנט בע"מ'!$W$4:$W$150</definedName>
    <definedName name="אר">#REF!</definedName>
    <definedName name="אריהנ" localSheetId="3" hidden="1">{#N/A,#N/A,FALSE,"מערך הלוגיסטיקה"}</definedName>
    <definedName name="אריהנ" hidden="1">{#N/A,#N/A,FALSE,"מערך הלוגיסטיקה"}</definedName>
    <definedName name="ארינה" localSheetId="3" hidden="1">{#N/A,#N/A,FALSE,"מערך הלוגיסטיקה"}</definedName>
    <definedName name="ארינה" hidden="1">{#N/A,#N/A,FALSE,"מערך הלוגיסטיקה"}</definedName>
    <definedName name="ארינה1" localSheetId="3" hidden="1">{#N/A,#N/A,FALSE,"מערך הלוגיסטיקה"}</definedName>
    <definedName name="ארינה1" hidden="1">{#N/A,#N/A,FALSE,"מערך הלוגיסטיקה"}</definedName>
    <definedName name="ארינה2" localSheetId="3" hidden="1">{#N/A,#N/A,FALSE,"מערך הלוגיסטיקה"}</definedName>
    <definedName name="ארינה2" hidden="1">{#N/A,#N/A,FALSE,"מערך הלוגיסטיקה"}</definedName>
    <definedName name="ארינה3" localSheetId="3" hidden="1">{#N/A,#N/A,FALSE,"מערך הלוגיסטיקה"}</definedName>
    <definedName name="ארינה3" hidden="1">{#N/A,#N/A,FALSE,"מערך הלוגיסטיקה"}</definedName>
    <definedName name="אריק" localSheetId="3" hidden="1">{#N/A,#N/A,FALSE,"Aging Summary";#N/A,#N/A,FALSE,"Ratio Analysis";#N/A,#N/A,FALSE,"Test 120 Day Accts";#N/A,#N/A,FALSE,"Tickmarks"}</definedName>
    <definedName name="אריק" hidden="1">{#N/A,#N/A,FALSE,"Aging Summary";#N/A,#N/A,FALSE,"Ratio Analysis";#N/A,#N/A,FALSE,"Test 120 Day Accts";#N/A,#N/A,FALSE,"Tickmarks"}</definedName>
    <definedName name="אריק_1" localSheetId="3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" localSheetId="3" hidden="1">{#N/A,#N/A,FALSE,"מאזן בוחן";"כל_מאזן_בוחן",#N/A,FALSE,"מאזן בוחן"}</definedName>
    <definedName name="ב" hidden="1">{#N/A,#N/A,FALSE,"מאזן בוחן";"כל_מאזן_בוחן",#N/A,FALSE,"מאזן בוחן"}</definedName>
    <definedName name="ב.הצמדה" localSheetId="4">[240]ביאורים!$I$3:$N$45,[240]ביאורים!$I$50:$N$72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[67]מאזן!$Q$48:$AA$125</definedName>
    <definedName name="באורמפ">[67]מאזן!$S$58:$AC$135</definedName>
    <definedName name="באוררב">[67]מאזן!$P$156:$Z$289</definedName>
    <definedName name="באוררפ">[67]מאזן!$S$168:$AB$305</definedName>
    <definedName name="בב" localSheetId="4">[232]איחוד!#REF!</definedName>
    <definedName name="בב">#REF!</definedName>
    <definedName name="בג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ג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 localSheetId="4">[241]תזרים!#REF!</definedName>
    <definedName name="ביאור_הלוואות">#REF!</definedName>
    <definedName name="ביאור_השקעות">#REF!</definedName>
    <definedName name="ביאור_מופ" localSheetId="4">[241]תזרים!#REF!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localSheetId="4">#N/A</definedName>
    <definedName name="ג" localSheetId="3" hidden="1">{#N/A,#N/A,FALSE,"מאזן בוחן";"כל_מאזן_בוחן",#N/A,FALSE,"מאזן בוחן"}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localSheetId="4" hidden="1">{#N/A,#N/A,FALSE,"תוכניות"}</definedName>
    <definedName name="גגגגג" localSheetId="3" hidden="1">{#N/A,#N/A,FALSE,"תוכניות"}</definedName>
    <definedName name="גגגגג" hidden="1">{#N/A,#N/A,FALSE,"תוכניות"}</definedName>
    <definedName name="גגגגגגגגגגגג" localSheetId="3" hidden="1">{#N/A,#N/A,FALSE,"Summary";#N/A,#N/A,FALSE,"proj1";#N/A,#N/A,FALSE,"proj2"}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localSheetId="4" hidden="1">{#N/A,#N/A,FALSE,"חודשי"}</definedName>
    <definedName name="גכ" localSheetId="3" hidden="1">{#N/A,#N/A,FALSE,"חודשי"}</definedName>
    <definedName name="גכ" hidden="1">{#N/A,#N/A,FALSE,"חודשי"}</definedName>
    <definedName name="גכג">#REF!</definedName>
    <definedName name="גככ" localSheetId="3" hidden="1">{#N/A,#N/A,FALSE,"Sheet1";#N/A,#N/A,FALSE,"Summary";#N/A,#N/A,FALSE,"proj1";#N/A,#N/A,FALSE,"proj2"}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localSheetId="4">#REF!</definedName>
    <definedName name="ד" localSheetId="3" hidden="1">______feb05-#REF!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דד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'[242]דוח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 localSheetId="4">'[243]תזרים מתואם'!#REF!</definedName>
    <definedName name="דוח_תזרים">#REF!</definedName>
    <definedName name="דוח_תזרים_ארהב">#REF!</definedName>
    <definedName name="דוח_תזרים_הגשה" localSheetId="4">'[244]דוח מתכונת הגשה '!#REF!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 localSheetId="4">[245]CFS!#REF!</definedName>
    <definedName name="דוח_תזרים_צרפת">#REF!</definedName>
    <definedName name="דוח_תזרים_קיימן" localSheetId="4">[245]CFS!#REF!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 localSheetId="4">'[246]דוחות כספיים'!#REF!,'[246]דוחות כספיים'!$B$1:$F$19,'[246]דוחות כספיים'!$B$21:$J$42,'[246]דוחות כספיים'!$B$45:$H$64,'[246]דוחות כספיים'!#REF!</definedName>
    <definedName name="דוחות_כספיים_מאוחדים">#REF!,#REF!,#REF!,#REF!,#REF!</definedName>
    <definedName name="דוחות_שח" localSheetId="4">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'[247]שמ"מ מ"ה'!#REF!</definedName>
    <definedName name="דכ">#REF!</definedName>
    <definedName name="דכדשדכשד" localSheetId="3" hidden="1">{#N/A,#N/A,FALSE,"מערך הלוגיסטיקה"}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 localSheetId="4">[248]index!$B$13</definedName>
    <definedName name="דצמבר">#REF!</definedName>
    <definedName name="דצמבר_02">#REF!</definedName>
    <definedName name="דצמבר_03">#REF!</definedName>
    <definedName name="דצמבר02" localSheetId="4" hidden="1">{#N/A,#N/A,FALSE,"מאזן בוחן";"כל_מאזן_בוחן",#N/A,FALSE,"מאזן בוחן"}</definedName>
    <definedName name="דצמבר02" localSheetId="3" hidden="1">{#N/A,#N/A,FALSE,"מאזן בוחן";"כל_מאזן_בוחן",#N/A,FALSE,"מאזן בוחן"}</definedName>
    <definedName name="דצמבר02" hidden="1">{#N/A,#N/A,FALSE,"מאזן בוחן";"כל_מאזן_בוחן",#N/A,FALSE,"מאזן בוחן"}</definedName>
    <definedName name="דצמברשנהקודמת">[248]index!$B$1</definedName>
    <definedName name="הב" localSheetId="4">'[52]COGS Q-1 2005'!#REF!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 localSheetId="4">#N/A</definedName>
    <definedName name="הדפסת_דוח_מתכונת_הגשה">#REF!</definedName>
    <definedName name="הדרכה" localSheetId="4">'[249]סיון הדרכה '!$C$5:$I$60,'[249]סיון הדרכה '!$C$62:$I$114,'[249]סיון הדרכה '!$C$119:$I$190</definedName>
    <definedName name="הדרכה">#REF!,#REF!,#REF!</definedName>
    <definedName name="הה">#REF!</definedName>
    <definedName name="ההה" localSheetId="3" hidden="1">{#N/A,#N/A,FALSE,"מאזנים"}</definedName>
    <definedName name="ההה" hidden="1">{#N/A,#N/A,FALSE,"מאזנים"}</definedName>
    <definedName name="ההה_1" localSheetId="3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 localSheetId="4">'[250]מכירה - 1996'!$A$47:$I$62,'[250]מכירה - 1996'!$U$2:$AR$40</definedName>
    <definedName name="הוצ_מכירה_1996">#REF!,#REF!</definedName>
    <definedName name="הוצ_עמלת_גביה">#REF!</definedName>
    <definedName name="הוצ_פחת">#REF!</definedName>
    <definedName name="הוצאה">'[251]הרכבה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 localSheetId="4">'[252]הנה"כ'!$A$1:$X$37,'[252]הנה"כ'!$A$46:$H$57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'[253]רווח והפסד'!#REF!</definedName>
    <definedName name="הוצאות_מימון_95" localSheetId="4">[254]דוחות!#REF!</definedName>
    <definedName name="הוצאות_מימון_95">#REF!</definedName>
    <definedName name="הוצאות_מימון_נטו">#REF!</definedName>
    <definedName name="הוצאות_מכירה" localSheetId="4">'[252]מכירה - 1996'!$A$1:$AA$46,'[252]מכירה - 1996'!$A$50:$J$65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 localSheetId="4">'[255]מעגל רכוש קבוע'!$L$17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 localSheetId="4">[256]קפריסין!$H$32,[256]קפריסין!$A$3:$O$52,[256]קפריסין!$A$54:$O$103,[256]קפריסין!$A$105:$O$146,[256]קפריסין!$A$180:$I$198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 localSheetId="4">'[250]הנה"כ - 1996'!$A$47:$G$55,'[250]הנה"כ - 1996'!$Z$2:$AM$38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localSheetId="4" hidden="1">{#N/A,#N/A,FALSE,"Aging Summary";#N/A,#N/A,FALSE,"Ratio Analysis";#N/A,#N/A,FALSE,"Test 120 Day Accts";#N/A,#N/A,FALSE,"Tickmarks"}</definedName>
    <definedName name="הסתגלות2007" localSheetId="3" hidden="1">{#N/A,#N/A,FALSE,"Aging Summary";#N/A,#N/A,FALSE,"Ratio Analysis";#N/A,#N/A,FALSE,"Test 120 Day Accts";#N/A,#N/A,FALSE,"Tickmarks"}</definedName>
    <definedName name="הסתגלות2007" hidden="1">{#N/A,#N/A,FALSE,"Aging Summary";#N/A,#N/A,FALSE,"Ratio Analysis";#N/A,#N/A,FALSE,"Test 120 Day Accts";#N/A,#N/A,FALSE,"Tickmarks"}</definedName>
    <definedName name="העמסה" localSheetId="4">[241]תזרים!#REF!</definedName>
    <definedName name="העמסה">#REF!</definedName>
    <definedName name="העמסת_הוצאות_כלליות">#REF!</definedName>
    <definedName name="הפסד_דולר" localSheetId="4">[257]דוחות!$B$46:$G$69</definedName>
    <definedName name="הפסד_דולר">#REF!</definedName>
    <definedName name="הפסד_לפני_מיסים_על_הכנסה">#REF!</definedName>
    <definedName name="הפסד_שח" localSheetId="4">[257]דוחות!$L$46:$P$67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localSheetId="4" hidden="1">{#N/A,#N/A,FALSE,"חודשי"}</definedName>
    <definedName name="הפרשה" localSheetId="3" hidden="1">{#N/A,#N/A,FALSE,"חודשי"}</definedName>
    <definedName name="הפרשה" hidden="1">{#N/A,#N/A,FALSE,"חודשי"}</definedName>
    <definedName name="הפרשהלבונוס">#REF!</definedName>
    <definedName name="הרחבות_VOICE">[12]מחירון!#REF!</definedName>
    <definedName name="הרחבות_VOICE_EXTRA">[12]מחירון!#REF!</definedName>
    <definedName name="הרכבה" localSheetId="4">'[29]pldt:תזרים '!$B$1:$F$28,'[29]pldt:תזרים '!$B$30:$F$62</definedName>
    <definedName name="הרכבה">#REF!,#REF!</definedName>
    <definedName name="הרכבה.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 localSheetId="4">'[258]הרכבה מאוחד'!$B$8:$L$46,'[258]הרכבה מאוחד'!$B$49:$L$86,'[258]הרכבה מאוחד'!$B$91:$L$124,'[258]הרכבה מאוחד'!$B$126:$L$163,'[258]הרכבה מאוחד'!$B$165:$L$198,'[258]הרכבה מאוחד'!$B$200:$L$237,'[258]הרכבה מאוחד'!$B$239:$L$277</definedName>
    <definedName name="הרכבהמאוחד">#REF!,#REF!,#REF!,#REF!,#REF!,#REF!,#REF!</definedName>
    <definedName name="הרכבהסו2" localSheetId="4">[55]הרכבה!$A$1:$Q$56,[55]הרכבה!$A$57:$Q$100,[55]הרכבה!$A$101:$Q$166</definedName>
    <definedName name="הרכבהסו2">#REF!,#REF!,#REF!</definedName>
    <definedName name="השוואה" localSheetId="3" hidden="1">{#N/A,#N/A,FALSE,"Projections";#N/A,#N/A,FALSE,"Multiples Valuation";#N/A,#N/A,FALSE,"LBO";#N/A,#N/A,FALSE,"Multiples_Sensitivity";#N/A,#N/A,FALSE,"Summary"}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 localSheetId="4">'[255]פקדונות וניירות ערך'!$F$8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[253]השקעות!#REF!</definedName>
    <definedName name="השקעה_לזמן_ארוך">#REF!</definedName>
    <definedName name="השקעהבטכם" localSheetId="4">[55]ATL!$E$172:$H$196,[55]ATL!$E$145:$H$169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 localSheetId="4">[241]תזרים!#REF!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localSheetId="4" hidden="1">{#N/A,#N/A,FALSE,"חודשי"}</definedName>
    <definedName name="וטן" localSheetId="3" hidden="1">{#N/A,#N/A,FALSE,"חודשי"}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[135]נוספות!#REF!</definedName>
    <definedName name="זכיינים">#REF!</definedName>
    <definedName name="ח" localSheetId="4">#REF!</definedName>
    <definedName name="ח" localSheetId="3" hidden="1">{#N/A,#N/A,FALSE,"חודשי"}</definedName>
    <definedName name="ח" hidden="1">{#N/A,#N/A,FALSE,"חודשי"}</definedName>
    <definedName name="חברה">[259]כללי!#REF!</definedName>
    <definedName name="חברות_מוחזקות_ואחרות">#REF!</definedName>
    <definedName name="חו_זים_בינחברתיים">#REF!</definedName>
    <definedName name="חובה_שח">[135]נוספות!#REF!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localSheetId="4" hidden="1">{#N/A,#N/A,FALSE,"מאזן בוחן";"כל_מאזן_בוחן",#N/A,FALSE,"מאזן בוחן"}</definedName>
    <definedName name="חח" localSheetId="3" hidden="1">{#N/A,#N/A,FALSE,"מאזן בוחן";"כל_מאזן_בוחן",#N/A,FALSE,"מאזן בוחן"}</definedName>
    <definedName name="חח" hidden="1">{#N/A,#N/A,FALSE,"מאזן בוחן";"כל_מאזן_בוחן",#N/A,FALSE,"מאזן בוחן"}</definedName>
    <definedName name="חח_1" localSheetId="3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חחח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localSheetId="4" hidden="1">{#N/A,#N/A,FALSE,"שכר מרכז"}</definedName>
    <definedName name="חחיעיעטא" localSheetId="3" hidden="1">{#N/A,#N/A,FALSE,"שכר מרכז"}</definedName>
    <definedName name="חחיעיעטא" hidden="1">{#N/A,#N/A,FALSE,"שכר מרכז"}</definedName>
    <definedName name="חחם">{"סעיף",0,"Auto","Auto",""}</definedName>
    <definedName name="חי" localSheetId="4" hidden="1">{#N/A,#N/A,FALSE,"חודשי"}</definedName>
    <definedName name="חי" localSheetId="3" hidden="1">{#N/A,#N/A,FALSE,"חודשי"}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localSheetId="4" hidden="1">{#N/A,#N/A,FALSE,"מאזן בוחן";"כל_מאזן_בוחן",#N/A,FALSE,"מאזן בוחן"}</definedName>
    <definedName name="חישוביםםםם" localSheetId="3" hidden="1">{#N/A,#N/A,FALSE,"מאזן בוחן";"כל_מאזן_בוחן",#N/A,FALSE,"מאזן בוחן"}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 localSheetId="4">'[260]ארהב+אנגליה+ספרד'!$A$2:$O$21</definedName>
    <definedName name="ט">#REF!</definedName>
    <definedName name="טאיקו">#REF!</definedName>
    <definedName name="טט">#REF!</definedName>
    <definedName name="טטטט" localSheetId="4">[261]details!$B$7</definedName>
    <definedName name="טטטט">#REF!</definedName>
    <definedName name="טלדור">'[236]קבוצת טלדור'!$N$6:$T$58,'[236]קבוצת טלדור'!$N$60:$T$108,'[236]קבוצת טלדור'!$N$113:$T$154</definedName>
    <definedName name="טלי">#REF!</definedName>
    <definedName name="טנדם">[236]טנדם!$C$6:$J$68,[236]טנדם!$C$70:$J$108,[236]טנדם!$C$113:$J$155</definedName>
    <definedName name="טתנ">'[236]קבוצת טלדור'!$C$6:$K$68,'[236]קבוצת טלדור'!$C$70:$K$108,'[236]קבוצת טלדור'!$C$113:$K$154</definedName>
    <definedName name="י">#REF!</definedName>
    <definedName name="יולי">[233]index!$B$8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localSheetId="3" hidden="1">{#N/A,#N/A,FALSE,"משביר ישראל מאוחד"}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'[262]דוח פיצויים'!#REF!</definedName>
    <definedName name="ינואר" localSheetId="4">'[234]תעודה א'!#REF!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localSheetId="3" hidden="1">{#N/A,#N/A,FALSE,"New Depr Sch-150% DB";#N/A,#N/A,FALSE,"Cash Flows RLP";#N/A,#N/A,FALSE,"IRR";#N/A,#N/A,FALSE,"Proforma IS";#N/A,#N/A,FALSE,"Assumptions"}</definedName>
    <definedName name="יפעת" hidden="1">{#N/A,#N/A,FALSE,"New Depr Sch-150% DB";#N/A,#N/A,FALSE,"Cash Flows RLP";#N/A,#N/A,FALSE,"IRR";#N/A,#N/A,FALSE,"Proforma IS";#N/A,#N/A,FALSE,"Assumptions"}</definedName>
    <definedName name="יפעת_1" localSheetId="3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localSheetId="4" hidden="1">{#N/A,#N/A,FALSE,"Aging Summary";#N/A,#N/A,FALSE,"Ratio Analysis";#N/A,#N/A,FALSE,"Test 120 Day Accts";#N/A,#N/A,FALSE,"Tickmarks"}</definedName>
    <definedName name="יתרתהסתגלות" localSheetId="3" hidden="1">{#N/A,#N/A,FALSE,"Aging Summary";#N/A,#N/A,FALSE,"Ratio Analysis";#N/A,#N/A,FALSE,"Test 120 Day Accts";#N/A,#N/A,FALSE,"Tickmarks"}</definedName>
    <definedName name="יתרתהסתגלות" hidden="1">{#N/A,#N/A,FALSE,"Aging Summary";#N/A,#N/A,FALSE,"Ratio Analysis";#N/A,#N/A,FALSE,"Test 120 Day Accts";#N/A,#N/A,FALSE,"Tickmarks"}</definedName>
    <definedName name="כ" localSheetId="4">[263]עודפות!$A$50:$L$81</definedName>
    <definedName name="כ" localSheetId="3" hidden="1">{#N/A,#N/A,FALSE,"TSUM";#N/A,#N/A,FALSE,"shares";#N/A,#N/A,FALSE,"earnout";#N/A,#N/A,FALSE,"Heaty";#N/A,#N/A,FALSE,"self-tend";#N/A,#N/A,FALSE,"self-sum"}</definedName>
    <definedName name="כ" hidden="1">{#N/A,#N/A,FALSE,"TSUM";#N/A,#N/A,FALSE,"shares";#N/A,#N/A,FALSE,"earnout";#N/A,#N/A,FALSE,"Heaty";#N/A,#N/A,FALSE,"self-tend";#N/A,#N/A,FALSE,"self-sum"}</definedName>
    <definedName name="כגגגג" localSheetId="4" hidden="1">{#N/A,#N/A,FALSE,"תקציב עפ""י תמחיר"}</definedName>
    <definedName name="כגגגג" localSheetId="3" hidden="1">{#N/A,#N/A,FALSE,"תקציב עפ""י תמחיר"}</definedName>
    <definedName name="כגגגג" hidden="1">{#N/A,#N/A,FALSE,"תקציב עפ""י תמחיר"}</definedName>
    <definedName name="כגכ" localSheetId="3">{"סעיף",0,"Auto","Auto",""}</definedName>
    <definedName name="כגכ">{"סעיף",0,"Auto","Auto",""}</definedName>
    <definedName name="כגכ_1" localSheetId="3">{"סעיף",0,"Auto","Auto",""}</definedName>
    <definedName name="כגכ_1">{"סעיף",0,"Auto","Auto",""}</definedName>
    <definedName name="כגכג" localSheetId="3" hidden="1">{#N/A,#N/A,FALSE,"Aging Summary";#N/A,#N/A,FALSE,"Ratio Analysis";#N/A,#N/A,FALSE,"Test 120 Day Accts";#N/A,#N/A,FALSE,"Tickmarks"}</definedName>
    <definedName name="כגכג" hidden="1">{#N/A,#N/A,FALSE,"Aging Summary";#N/A,#N/A,FALSE,"Ratio Analysis";#N/A,#N/A,FALSE,"Test 120 Day Accts";#N/A,#N/A,FALSE,"Tickmarks"}</definedName>
    <definedName name="כגכגכ" localSheetId="3" hidden="1">{#N/A,#N/A,FALSE,"AD_Purchase";#N/A,#N/A,FALSE,"Credit";#N/A,#N/A,FALSE,"PF Acquisition";#N/A,#N/A,FALSE,"PF Offering"}</definedName>
    <definedName name="כגכגכ" hidden="1">{#N/A,#N/A,FALSE,"AD_Purchase";#N/A,#N/A,FALSE,"Credit";#N/A,#N/A,FALSE,"PF Acquisition";#N/A,#N/A,FALSE,"PF Offering"}</definedName>
    <definedName name="כגעכגעכ" localSheetId="3" hidden="1">{#N/A,#N/A,TRUE,"Cover letter";#N/A,#N/A,TRUE,"Definitions";#N/A,#N/A,TRUE,"financial data";#N/A,#N/A,TRUE,"general data"}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localSheetId="4" hidden="1">{#N/A,#N/A,FALSE,"מאזן בוחן";"כל_מאזן_בוחן",#N/A,FALSE,"מאזן בוחן"}</definedName>
    <definedName name="ככ" localSheetId="3" hidden="1">{"P&amp;L",#N/A,TRUE,"Summary";"Bal",#N/A,TRUE,"Summary";"Cash",#N/A,TRUE,"Summary"}</definedName>
    <definedName name="ככ" hidden="1">{"P&amp;L",#N/A,TRUE,"Summary";"Bal",#N/A,TRUE,"Summary";"Cash",#N/A,TRUE,"Summary"}</definedName>
    <definedName name="ככ_1" localSheetId="3" hidden="1">{#N/A,#N/A,FALSE,"מאזן בוחן";"כל_מאזן_בוחן",#N/A,FALSE,"מאזן בוחן"}</definedName>
    <definedName name="ככ_1" hidden="1">{#N/A,#N/A,FALSE,"מאזן בוחן";"כל_מאזן_בוחן",#N/A,FALSE,"מאזן בוחן"}</definedName>
    <definedName name="כככ" localSheetId="4" hidden="1">{#N/A,#N/A,FALSE,"חודשי"}</definedName>
    <definedName name="כככ" localSheetId="3" hidden="1">{#N/A,#N/A,FALSE,"חודשי"}</definedName>
    <definedName name="כככ" hidden="1">{#N/A,#N/A,FALSE,"חודשי"}</definedName>
    <definedName name="כככי">#REF!</definedName>
    <definedName name="ככככ" localSheetId="4" hidden="1">{#N/A,#N/A,FALSE,"חודשי"}</definedName>
    <definedName name="ככככ" localSheetId="3" hidden="1">{#N/A,#N/A,FALSE,"חודשי"}</definedName>
    <definedName name="ככככ" hidden="1">{#N/A,#N/A,FALSE,"חודשי"}</definedName>
    <definedName name="כככככ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כככככ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localSheetId="4" hidden="1">{#N/A,#N/A,FALSE,"תוכניות"}</definedName>
    <definedName name="ךךךךךךךךךךךךךךך" localSheetId="3" hidden="1">{#N/A,#N/A,FALSE,"תוכניות"}</definedName>
    <definedName name="ךךךךךךךךךךךךךךך" hidden="1">{#N/A,#N/A,FALSE,"תוכניות"}</definedName>
    <definedName name="ככעע">#N/A</definedName>
    <definedName name="כללי">'[264]שמ"מ מ"ה'!#REF!</definedName>
    <definedName name="כעעכע" localSheetId="3" hidden="1">{#N/A,#N/A,FALSE,"Aging Summary";#N/A,#N/A,FALSE,"Ratio Analysis";#N/A,#N/A,FALSE,"Test 120 Day Accts";#N/A,#N/A,FALSE,"Tickmarks"}</definedName>
    <definedName name="כעעכע" hidden="1">{#N/A,#N/A,FALSE,"Aging Summary";#N/A,#N/A,FALSE,"Ratio Analysis";#N/A,#N/A,FALSE,"Test 120 Day Accts";#N/A,#N/A,FALSE,"Tickmarks"}</definedName>
    <definedName name="ל" localSheetId="4">[135]נוספות!#REF!</definedName>
    <definedName name="ל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localSheetId="4" hidden="1">{#N/A,#N/A,FALSE,"תוכניות"}</definedName>
    <definedName name="לוח_תוכנית" localSheetId="3" hidden="1">{#N/A,#N/A,FALSE,"תוכניות"}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[265]הבראה!$A$1:$M$27</definedName>
    <definedName name="לךחלךחך">'[154]פק'' נוספות'!$A$2:$P$33,'[154]פק'' נוספות'!#REF!</definedName>
    <definedName name="לל" localSheetId="4" hidden="1">{#N/A,#N/A,FALSE,"מאזן בוחן";"כל_מאזן_בוחן",#N/A,FALSE,"מאזן בוחן"}</definedName>
    <definedName name="לל" localSheetId="3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לל_1" localSheetId="3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localSheetId="4" hidden="1">{#N/A,#N/A,FALSE,"חודשי"}</definedName>
    <definedName name="ללחחכחחכחכ" localSheetId="3" hidden="1">{#N/A,#N/A,FALSE,"חודשי"}</definedName>
    <definedName name="ללחחכחחכחכ" hidden="1">{#N/A,#N/A,FALSE,"חודשי"}</definedName>
    <definedName name="לללללללללל" localSheetId="4" hidden="1">{#N/A,#N/A,FALSE,"חודשי"}</definedName>
    <definedName name="לללללללללל" localSheetId="3" hidden="1">{#N/A,#N/A,FALSE,"חודשי"}</definedName>
    <definedName name="לללללללללל" hidden="1">{#N/A,#N/A,FALSE,"חודשי"}</definedName>
    <definedName name="לללן" localSheetId="4" hidden="1">{#N/A,#N/A,FALSE,"תקציב עפ""י תמחיר"}</definedName>
    <definedName name="לללן" localSheetId="3" hidden="1">{#N/A,#N/A,FALSE,"תקציב עפ""י תמחיר"}</definedName>
    <definedName name="לללן" hidden="1">{#N/A,#N/A,FALSE,"תקציב עפ""י תמחיר"}</definedName>
    <definedName name="לללעלעל" localSheetId="4" hidden="1">{#N/A,#N/A,TRUE,"רבעוני מעודכן";#N/A,#N/A,TRUE,"השוואת תקציבים";#N/A,#N/A,TRUE,"הכנסות";#N/A,#N/A,TRUE,"רגישות"}</definedName>
    <definedName name="לללעלעל" localSheetId="3" hidden="1">{#N/A,#N/A,TRUE,"רבעוני מעודכן";#N/A,#N/A,TRUE,"השוואת תקציבים";#N/A,#N/A,TRUE,"הכנסות";#N/A,#N/A,TRUE,"רגישות"}</definedName>
    <definedName name="לללעלעל" hidden="1">{#N/A,#N/A,TRUE,"רבעוני מעודכן";#N/A,#N/A,TRUE,"השוואת תקציבים";#N/A,#N/A,TRUE,"הכנסות";#N/A,#N/A,TRUE,"רגישות"}</definedName>
    <definedName name="למלבאו" localSheetId="4" hidden="1">{#N/A,#N/A,TRUE,"צפי הכנסות-צביקה"}</definedName>
    <definedName name="למלבאו" localSheetId="3" hidden="1">{#N/A,#N/A,TRUE,"צפי הכנסות-צביקה"}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מ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ם">#REF!</definedName>
    <definedName name="מ.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 localSheetId="4">{"סעיף",0,"Auto","Auto",""}</definedName>
    <definedName name="מ.נדחה" localSheetId="3">{"סעיף",0,"Auto","Auto",""}</definedName>
    <definedName name="מ.נדחה">{"סעיף",0,"Auto","Auto",""}</definedName>
    <definedName name="מ.נדחה_1" localSheetId="3">{"סעיף",0,"Auto","Auto",""}</definedName>
    <definedName name="מ.נדחה_1">{"סעיף",0,"Auto","Auto",""}</definedName>
    <definedName name="מ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 localSheetId="4">'[249]הרכבה מאוחד'!$C$5:$L$59,'[249]הרכבה מאוחד'!$C$61:$L$113,'[249]הרכבה מאוחד'!$C$118:$L$189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 localSheetId="4">'[249]הרכבה מאוחד'!$C$5:$N$59,'[249]הרכבה מאוחד'!$C$61:$N$113,'[249]הרכבה מאוחד'!$C$118:$N$189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 localSheetId="4">[245]BS!#REF!</definedName>
    <definedName name="מאזן_אקטיב_קיימן">#REF!</definedName>
    <definedName name="מאזן_בוחן">'[266]מאזן בוחן'!$D$5:$L$38,'[266]מאזן בוחן'!$D$39:$L$51</definedName>
    <definedName name="מאזן_בוחן_אקטיב">#REF!</definedName>
    <definedName name="מאזן_בוחן_כללי" localSheetId="3" hidden="1">{#N/A,#N/A,FALSE,"מאזן בוחן";"כל_מאזן_בוחן",#N/A,FALSE,"מאזן בוחן"}</definedName>
    <definedName name="מאזן_בוחן_כללי" hidden="1">{#N/A,#N/A,FALSE,"מאזן בוחן";"כל_מאזן_בוחן",#N/A,FALSE,"מאזן בוחן"}</definedName>
    <definedName name="מאזן_בוחן_כללי_1" localSheetId="4" hidden="1">{#N/A,#N/A,FALSE,"מאזן בוחן";"כל_מאזן_בוחן",#N/A,FALSE,"מאזן בוחן"}</definedName>
    <definedName name="מאזן_בוחן_כללי_1" localSheetId="3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localSheetId="4" hidden="1">{#N/A,#N/A,FALSE,"מאזן בוחן";"כל_מאזן_בוחן",#N/A,FALSE,"מאזן בוחן"}</definedName>
    <definedName name="מאזן_בוחן_כללי1" localSheetId="3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 localSheetId="4">'[267]פקודות נוספות קדנט בע"מ'!$W$4:$W$150</definedName>
    <definedName name="מאזן_בוחן_סופי">#REF!</definedName>
    <definedName name="מאזן_בוחן_פאסיב">#REF!</definedName>
    <definedName name="מאזן_בוחן_רווהס">#REF!</definedName>
    <definedName name="מאזן_דולר" localSheetId="4">#REF!</definedName>
    <definedName name="מאזן_דולר">#REF!,#REF!,#REF!</definedName>
    <definedName name="מאזן_ורווה_דולר" localSheetId="4">[268]דוחות!$B$1:$K$53,[268]דוחות!$C$57:$H$82</definedName>
    <definedName name="מאזן_ורווה_דולר">#REF!,#REF!</definedName>
    <definedName name="מאזן_ורווה_שח" localSheetId="4">[268]דוחות!$N$1:$W$53,[268]דוחות!$O$57:$T$82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 localSheetId="4">[245]BS!#REF!</definedName>
    <definedName name="מאזן_פאסיב_קיימן">#REF!</definedName>
    <definedName name="מאזן_שח" localSheetId="4">[269]דוחות!$K$4:$R$41</definedName>
    <definedName name="מאזן_שח">#REF!</definedName>
    <definedName name="מאזן_שיווק" localSheetId="4">'[270]גליון איחוד מותאם'!$A$1:$M$47</definedName>
    <definedName name="מאזן_שיווק">#REF!</definedName>
    <definedName name="מאזןב">[67]מאזן!$H$1:$W$47</definedName>
    <definedName name="מאזנים" localSheetId="4">'[58]מאזן ורוו"ה'!$A$2:$I$49,'[58]מאזן ורוו"ה'!$K$7:$R$49</definedName>
    <definedName name="מאזנים">#REF!,#REF!</definedName>
    <definedName name="מאזןמאוחד">#REF!</definedName>
    <definedName name="מאזןמתוא">#REF!</definedName>
    <definedName name="מאזןפ">[67]מאזן!$B$1:$Y$57</definedName>
    <definedName name="מאזןפלסט">#REF!</definedName>
    <definedName name="מאזןתעשיות">#REF!</definedName>
    <definedName name="מאי" localSheetId="4">'[234]תעודה א'!#REF!</definedName>
    <definedName name="מאי">#REF!</definedName>
    <definedName name="מאי_03">#REF!</definedName>
    <definedName name="מאי_04">#REF!</definedName>
    <definedName name="מאקרו1" localSheetId="4">[271]!מאקרו1</definedName>
    <definedName name="מאקרו1">#REF!</definedName>
    <definedName name="מאקרו10" localSheetId="4">[169]!מאקרו10</definedName>
    <definedName name="מאקרו10">#REF!</definedName>
    <definedName name="מאקרו2" localSheetId="4">[271]!מאקרו2</definedName>
    <definedName name="מאקרו2">#REF!</definedName>
    <definedName name="מאקרו3" localSheetId="4">[169]!מאקרו3</definedName>
    <definedName name="מאקרו3">#REF!</definedName>
    <definedName name="מאקרו4" localSheetId="4">[169]!מאקרו4</definedName>
    <definedName name="מאקרו4">#REF!</definedName>
    <definedName name="מאקרו5" localSheetId="4">[169]!מאקרו5</definedName>
    <definedName name="מאקרו5">#REF!</definedName>
    <definedName name="מאקרו6" localSheetId="4">[169]!מאקרו6</definedName>
    <definedName name="מאקרו6">#REF!</definedName>
    <definedName name="מאקרו7" localSheetId="4">[169]!מאקרו7</definedName>
    <definedName name="מאקרו7">#REF!</definedName>
    <definedName name="מאקרו8" localSheetId="4">[169]!מאקרו8</definedName>
    <definedName name="מאקרו8">#REF!</definedName>
    <definedName name="מאקרו9" localSheetId="4">'[169]#REF'!מאקרו9</definedName>
    <definedName name="מאקרו9">#REF!</definedName>
    <definedName name="מב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[12]מחירון!$F$13:$I$19</definedName>
    <definedName name="מגעי_IP_EXTRA">[12]מחירון!$I$20</definedName>
    <definedName name="מדד" localSheetId="4">[272]דוחות!#REF!</definedName>
    <definedName name="מדד">#REF!</definedName>
    <definedName name="מדד_12_97" localSheetId="4">'[126]מדדים ודולר'!#REF!</definedName>
    <definedName name="מדד_12_97">#REF!</definedName>
    <definedName name="מדד_12_98" localSheetId="4">'[126]מדדים ודולר'!#REF!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 localSheetId="4">'[126]מדדים ודולר'!#REF!</definedName>
    <definedName name="מדד_אוגוסט_99">#REF!</definedName>
    <definedName name="מדד_אוקטובר_98" localSheetId="4">'[126]מדדים ודולר'!#REF!</definedName>
    <definedName name="מדד_אוקטובר_98">#REF!</definedName>
    <definedName name="מדד_אוקטובר_99" localSheetId="4">'[126]מדדים ודולר'!#REF!</definedName>
    <definedName name="מדד_אוקטובר_99">#REF!</definedName>
    <definedName name="מדד_אפריל_2000" localSheetId="4">'[126]מדדים ודולר'!#REF!</definedName>
    <definedName name="מדד_אפריל_2000">#REF!</definedName>
    <definedName name="מדד_אפריל_99" localSheetId="4">'[126]מדדים ודולר'!#REF!</definedName>
    <definedName name="מדד_אפריל_99">#REF!</definedName>
    <definedName name="מדד_דצ">#REF!</definedName>
    <definedName name="מדד_דצמבר_99" localSheetId="4">'[126]מדדים ודולר'!#REF!</definedName>
    <definedName name="מדד_דצמבר_99">#REF!</definedName>
    <definedName name="מדד_ידוע_12_93">#REF!</definedName>
    <definedName name="מדד_יולי_99" localSheetId="4">'[126]מדדים ודולר'!#REF!</definedName>
    <definedName name="מדד_יולי_99">#REF!</definedName>
    <definedName name="מדד_יוני" localSheetId="4">'[273]TTI -מתואם'!$Q$10</definedName>
    <definedName name="מדד_יוני">#REF!</definedName>
    <definedName name="מדד_יוני_2000" localSheetId="4">'[126]מדדים ודולר'!#REF!</definedName>
    <definedName name="מדד_יוני_2000">#REF!</definedName>
    <definedName name="מדד_יוני_98" localSheetId="4">'[126]מדדים ודולר'!#REF!</definedName>
    <definedName name="מדד_יוני_98">#REF!</definedName>
    <definedName name="מדד_יוני_99" localSheetId="4">'[126]מדדים ודולר'!#REF!</definedName>
    <definedName name="מדד_יוני_99">#REF!</definedName>
    <definedName name="מדד_ינואר_2000" localSheetId="4">'[126]מדדים ודולר'!#REF!</definedName>
    <definedName name="מדד_ינואר_2000">#REF!</definedName>
    <definedName name="מדד_ינואר_99" localSheetId="4">'[126]מדדים ודולר'!#REF!</definedName>
    <definedName name="מדד_ינואר_99">#REF!</definedName>
    <definedName name="מדד_לתאום">#REF!</definedName>
    <definedName name="מדד_מאי_2000" localSheetId="4">'[126]מדדים ודולר'!#REF!</definedName>
    <definedName name="מדד_מאי_2000">#REF!</definedName>
    <definedName name="מדד_מאי_99" localSheetId="4">'[126]מדדים ודולר'!#REF!</definedName>
    <definedName name="מדד_מאי_99">#REF!</definedName>
    <definedName name="מדד_ממוצע" localSheetId="4">[243]מדדים!$C$31</definedName>
    <definedName name="מדד_ממוצע">#REF!</definedName>
    <definedName name="מדד_מרץ_2000" localSheetId="4">'[126]מדדים ודולר'!#REF!</definedName>
    <definedName name="מדד_מרץ_2000">#REF!</definedName>
    <definedName name="מדד_מרץ_99" localSheetId="4">'[126]מדדים ודולר'!#REF!</definedName>
    <definedName name="מדד_מרץ_99">#REF!</definedName>
    <definedName name="מדד_נובמבר_99" localSheetId="4">'[126]מדדים ודולר'!#REF!</definedName>
    <definedName name="מדד_נובמבר_99">#REF!</definedName>
    <definedName name="מדד_ספטמבר_99" localSheetId="4">'[126]מדדים ודולר'!#REF!</definedName>
    <definedName name="מדד_ספטמבר_99">#REF!</definedName>
    <definedName name="מדד_פברואר_2000" localSheetId="4">'[126]מדדים ודולר'!#REF!</definedName>
    <definedName name="מדד_פברואר_2000">#REF!</definedName>
    <definedName name="מדד_פברואר_99" localSheetId="4">'[126]מדדים ודולר'!#REF!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 localSheetId="4">'[274]New budget'!$B$48:$K$91,'[274]New budget'!$B$94:$K$134,'[274]New budget'!#REF!,'[274]New budget'!#REF!,'[274]New budget'!#REF!,'[274]New budget'!#REF!,'[274]New budget'!#REF!,'[274]New budget'!#REF!,'[274]New budget'!#REF!,'[274]New budget'!#REF!,'[274]New budget'!#REF!</definedName>
    <definedName name="מודל">#REF!,#REF!,#REF!,#REF!,#REF!,#REF!,#REF!,#REF!,#REF!,#REF!,#REF!</definedName>
    <definedName name="מוניטין_וידע">#REF!</definedName>
    <definedName name="מוניטיןבPOS" localSheetId="4">[159]השקעות!$AJ$21:$AJ$31,[159]השקעות!$AI$21:$AI$27,[159]השקעות!$AH$22:$AH$27,[159]השקעות!$AG$21:$AG$31,[159]השקעות!$AF$21:$AF$31,[159]השקעות!$AC$21:$AC$27,[159]השקעות!$AA$21:$AA$28,[159]השקעות!$Z$21:$Z$31,[159]השקעות!$W$21:$W$23,[159]השקעות!$W$27,[159]השקעות!$AH$36,[159]השקעות!$AI$36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 localSheetId="4">'[270]גליון איחוד מותאם'!$A$56:$M$74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[275]פקודה!$B$12:$B$30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localSheetId="4" hidden="1">{#N/A,#N/A,FALSE,"חודשי"}</definedName>
    <definedName name="מיכל" localSheetId="3" hidden="1">{#N/A,#N/A,FALSE,"חודשי"}</definedName>
    <definedName name="מיכל" hidden="1">{#N/A,#N/A,FALSE,"חודשי"}</definedName>
    <definedName name="מימון">#REF!</definedName>
    <definedName name="מימוש_בטוחות" localSheetId="4">'[255]פקדונות וניירות ערך'!$F$10</definedName>
    <definedName name="מימוש_בטוחות">#REF!</definedName>
    <definedName name="מימוש_רכוש" localSheetId="4">'[255]מעגל רכוש קבוע'!$L$13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 localSheetId="4">'[128]מעגל רכוש קבוע'!$L$13</definedName>
    <definedName name="מכירת_רכוש">#REF!</definedName>
    <definedName name="מכרמאוחד">#REF!</definedName>
    <definedName name="םל" localSheetId="3" hidden="1">{#N/A,#N/A,FALSE,"New Depr Sch-150% DB";#N/A,#N/A,FALSE,"Cash Flows RLP";#N/A,#N/A,FALSE,"IRR";#N/A,#N/A,FALSE,"Proforma IS";#N/A,#N/A,FALSE,"Assumptions"}</definedName>
    <definedName name="םל" hidden="1">{#N/A,#N/A,FALSE,"New Depr Sch-150% DB";#N/A,#N/A,FALSE,"Cash Flows RLP";#N/A,#N/A,FALSE,"IRR";#N/A,#N/A,FALSE,"Proforma IS";#N/A,#N/A,FALSE,"Assumptions"}</definedName>
    <definedName name="םל_1" localSheetId="3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 localSheetId="4">'[276]הרכבה $'!#REF!</definedName>
    <definedName name="ממוצ_7_12_97">#REF!</definedName>
    <definedName name="ממוצע" localSheetId="4">'[277]מדדים ושע"ח'!$L$36</definedName>
    <definedName name="ממוצע">#REF!</definedName>
    <definedName name="ממוצע_1_12_97" localSheetId="4">[278]הרכבה!$B$3</definedName>
    <definedName name="ממוצע_1_12_97">#REF!</definedName>
    <definedName name="ממוצע_6_03">[279]מדדים!$H$31</definedName>
    <definedName name="ממוצע_7_9.97" localSheetId="4">'[276]הרכבה $'!#REF!</definedName>
    <definedName name="ממוצע_7_9.97">#REF!</definedName>
    <definedName name="ממוצע_אופציות" localSheetId="4">'[238]רווח למניה רבעוני 1997'!#REF!</definedName>
    <definedName name="ממוצע_אופציות">#REF!</definedName>
    <definedName name="ממממ" localSheetId="4">{"חובה","SUM(חובה)","YNNNN",FALSE}</definedName>
    <definedName name="ממממ" localSheetId="3">{"חובה","SUM(חובה)","YNNNN",FALSE}</definedName>
    <definedName name="ממממ">{"חובה","SUM(חובה)","YNNNN",FALSE}</definedName>
    <definedName name="ממממ_1" localSheetId="3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 localSheetId="4">'[280]מסים נדחים'!$B$2:$F$15</definedName>
    <definedName name="מס_נדחה">#REF!</definedName>
    <definedName name="מס_שיווק">#REF!</definedName>
    <definedName name="מס_תיאורטי">#REF!</definedName>
    <definedName name="מסים_נדחים" localSheetId="4">'[281]deferred tax'!$B$2:$F$15,'[281]deferred tax'!$C$19:$K$32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'[276]מעגל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 localSheetId="4">'[234]תעודה א'!#REF!</definedName>
    <definedName name="מרץ">#REF!</definedName>
    <definedName name="מרץ_03">#REF!</definedName>
    <definedName name="מרץ_04">#REF!</definedName>
    <definedName name="משולב">[60]משולב!$C$5:$G$59,[60]משולב!$C$61:$G$107,[60]משולב!$C$109:$G$162</definedName>
    <definedName name="משך_החזקה">#REF!</definedName>
    <definedName name="מתואם">#REF!</definedName>
    <definedName name="נבות">'[236]קבוצת טלדור'!$AF$6:$AL$56,'[236]קבוצת טלדור'!$AF$60:$AL$108,'[236]קבוצת טלדור'!$AF$113:$AL$154</definedName>
    <definedName name="נובמבר">'[234]תעודה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localSheetId="4" hidden="1">{#N/A,#N/A,FALSE,"Aging Summary";#N/A,#N/A,FALSE,"Ratio Analysis";#N/A,#N/A,FALSE,"Test 120 Day Accts";#N/A,#N/A,FALSE,"Tickmarks"}</definedName>
    <definedName name="נטוויזן12.07" localSheetId="3" hidden="1">{#N/A,#N/A,FALSE,"Aging Summary";#N/A,#N/A,FALSE,"Ratio Analysis";#N/A,#N/A,FALSE,"Test 120 Day Accts";#N/A,#N/A,FALSE,"Tickmarks"}</definedName>
    <definedName name="נטוויזן12.07" hidden="1">{#N/A,#N/A,FALSE,"Aging Summary";#N/A,#N/A,FALSE,"Ratio Analysis";#N/A,#N/A,FALSE,"Test 120 Day Accts";#N/A,#N/A,FALSE,"Tickmarks"}</definedName>
    <definedName name="נטישה">[139]מחירון!$AH$15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localSheetId="4" hidden="1">{"a",#N/A,FALSE,"גיליון1";"b",#N/A,FALSE,"גיליון1"}</definedName>
    <definedName name="ניתוח" localSheetId="3" hidden="1">{"a",#N/A,FALSE,"גיליון1";"b",#N/A,FALSE,"גיליון1"}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'[247]שמ"מ מ"ה'!#REF!</definedName>
    <definedName name="נספח_ניכוי_במקור">'[247]שמ"מ מ"ה'!#REF!</definedName>
    <definedName name="נספח_עודפות">'[247]שמ"מ מ"ה'!#REF!</definedName>
    <definedName name="נקה">#REF!</definedName>
    <definedName name="נת" localSheetId="3" hidden="1">{#N/A,#N/A,FALSE,"Aging Summary";#N/A,#N/A,FALSE,"Ratio Analysis";#N/A,#N/A,FALSE,"Test 120 Day Accts";#N/A,#N/A,FALSE,"Tickmarks"}</definedName>
    <definedName name="נת" hidden="1">{#N/A,#N/A,FALSE,"Aging Summary";#N/A,#N/A,FALSE,"Ratio Analysis";#N/A,#N/A,FALSE,"Test 120 Day Accts";#N/A,#N/A,FALSE,"Tickmarks"}</definedName>
    <definedName name="נתא" localSheetId="4">[55]אנליטי!$B$2:$F$30,[55]אנליטי!$B$37:$F$59,[55]אנליטי!$B$63:$F$94</definedName>
    <definedName name="נתא">#REF!,#REF!,#REF!</definedName>
    <definedName name="נתוחים" localSheetId="4">[55]אנליטי!$B$2:$F$30,[55]אנליטי!$B$37:$F$59,[55]אנליטי!$B$63:$F$83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'[282]שעת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 localSheetId="4">'[249]C.B.T '!$C$5:$I$65,'[249]C.B.T '!$C$67:$I$113,'[249]C.B.T '!$C$118:$I$188</definedName>
    <definedName name="סיביטי">#REF!,#REF!,#REF!</definedName>
    <definedName name="סיון" localSheetId="4">'[249]סיון הדרכה '!$C$5:$I$61,'[249]סיון הדרכה '!$C$62:$I$114,'[249]סיון הדרכה '!$C$119:$I$176,'[249]סיון הדרכה '!$C$177:$I$190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[135]מ.ב!#REF!</definedName>
    <definedName name="סכום_מטח">#REF!</definedName>
    <definedName name="סכום_מתנה_מוכרת">#REF!</definedName>
    <definedName name="סכום_שח">[135]מ.ב!#REF!</definedName>
    <definedName name="סס">#REF!</definedName>
    <definedName name="סעיפי_מאזן_בוחן_1" localSheetId="4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'[283]הרכבה תדירגן'!$A$6:$A$262</definedName>
    <definedName name="ספטמבר" localSheetId="4">'[234]תעודה א'!#REF!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 localSheetId="4">[284]FSA!#REF!</definedName>
    <definedName name="ע6">#REF!</definedName>
    <definedName name="עד28" localSheetId="4">[285]פברואר!$E$2</definedName>
    <definedName name="עד28">#REF!</definedName>
    <definedName name="עובדים">#REF!</definedName>
    <definedName name="עודף">#REF!</definedName>
    <definedName name="עודפ.אגרז.">[286]עודפות!#REF!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localSheetId="4" hidden="1">{#N/A,#N/A,FALSE,"תקציב עפ""י תמחיר"}</definedName>
    <definedName name="עכ" localSheetId="3" hidden="1">{#N/A,#N/A,FALSE,"תקציב עפ""י תמחיר"}</definedName>
    <definedName name="עכ" hidden="1">{#N/A,#N/A,FALSE,"תקציב עפ""י תמחיר"}</definedName>
    <definedName name="עכעכערארא" localSheetId="4" hidden="1">{#N/A,#N/A,FALSE,"תוכניות"}</definedName>
    <definedName name="עכעכערארא" localSheetId="3" hidden="1">{#N/A,#N/A,FALSE,"תוכניות"}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[287]מדדים!$L$10</definedName>
    <definedName name="עליית_מדד97">[287]מדדים!$L$11</definedName>
    <definedName name="עליית_מדד98">[287]מדדים!$L$12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 localSheetId="4">'[206]Binomial Model'!$L$2</definedName>
    <definedName name="ענ">#REF!</definedName>
    <definedName name="עע">#REF!</definedName>
    <definedName name="עעיכיעכעיכ" localSheetId="4" hidden="1">{#N/A,#N/A,TRUE,"רבעוני מעודכן";#N/A,#N/A,TRUE,"השוואת תקציבים";#N/A,#N/A,TRUE,"הכנסות";#N/A,#N/A,TRUE,"רגישות"}</definedName>
    <definedName name="עעיכיעכעיכ" localSheetId="3" hidden="1">{#N/A,#N/A,TRUE,"רבעוני מעודכן";#N/A,#N/A,TRUE,"השוואת תקציבים";#N/A,#N/A,TRUE,"הכנסות";#N/A,#N/A,TRUE,"רגישות"}</definedName>
    <definedName name="עעיכיעכעיכ" hidden="1">{#N/A,#N/A,TRUE,"רבעוני מעודכן";#N/A,#N/A,TRUE,"השוואת תקציבים";#N/A,#N/A,TRUE,"הכנסות";#N/A,#N/A,TRUE,"רגישות"}</definedName>
    <definedName name="עעכ" localSheetId="4" hidden="1">{#N/A,#N/A,FALSE,"חודשי"}</definedName>
    <definedName name="עעכ" localSheetId="3" hidden="1">{#N/A,#N/A,FALSE,"חודשי"}</definedName>
    <definedName name="עעכ" hidden="1">{#N/A,#N/A,FALSE,"חודשי"}</definedName>
    <definedName name="עעע" localSheetId="3" hidden="1">{"'Sheet1'!$A$1:$H$145"}</definedName>
    <definedName name="עעע" hidden="1">{"'Sheet1'!$A$1:$H$145"}</definedName>
    <definedName name="עעעעעע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localSheetId="3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localSheetId="4" hidden="1">{#N/A,#N/A,FALSE,"חודשי"}</definedName>
    <definedName name="ף" localSheetId="3" hidden="1">{#N/A,#N/A,FALSE,"חודשי"}</definedName>
    <definedName name="ף" hidden="1">{#N/A,#N/A,FALSE,"חודשי"}</definedName>
    <definedName name="פ_1" localSheetId="3" hidden="1">{#N/A,#N/A,FALSE,"מאזנים"}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'[234]תעודה א'!#REF!</definedName>
    <definedName name="פברואר_03">#REF!</definedName>
    <definedName name="פברואר_04">#REF!</definedName>
    <definedName name="פגישה">[12]מחירון!#REF!</definedName>
    <definedName name="פגישה_EXTRA">[12]מחירון!#REF!</definedName>
    <definedName name="ףחףךחףך">#REF!</definedName>
    <definedName name="פחת" localSheetId="4" hidden="1">{"Test",#N/A,FALSE,"Index";#N/A,"RISK",FALSE,"MarketProjection"}</definedName>
    <definedName name="פחת" localSheetId="3" hidden="1">{"Test",#N/A,FALSE,"Index";#N/A,"RISK",FALSE,"MarketProjection"}</definedName>
    <definedName name="פחת" hidden="1">{"Test",#N/A,FALSE,"Index";#N/A,"RISK",FALSE,"MarketProjection"}</definedName>
    <definedName name="פחת_דולרי" localSheetId="4">[241]תזרים!#REF!</definedName>
    <definedName name="פחת_דולרי">#REF!</definedName>
    <definedName name="פחת_והפחתה" localSheetId="4">'[288]פחת והפחתות'!$A$4:$M$25,'[288]פחת והפחתות'!$A$34:$M$52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 localSheetId="4">[241]תזרים!#REF!</definedName>
    <definedName name="פחת_שקלים">#REF!</definedName>
    <definedName name="פחתפלסט">#REF!</definedName>
    <definedName name="פחתתע">#REF!</definedName>
    <definedName name="פטנט" localSheetId="4" hidden="1">{#N/A,#N/A,FALSE,"מאזן בוחן";"כל_מאזן_בוחן",#N/A,FALSE,"מאזן בוחן"}</definedName>
    <definedName name="פטנט" localSheetId="3" hidden="1">{#N/A,#N/A,FALSE,"מאזן בוחן";"כל_מאזן_בוחן",#N/A,FALSE,"מאזן בוחן"}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[289]פצויים!$A$67:$J$110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[235]טבלאות!$B$17:$B$26</definedName>
    <definedName name="פפפ" localSheetId="3" hidden="1">{#N/A,#N/A,FALSE,"New Depr Sch-150% DB";#N/A,#N/A,FALSE,"Cash Flows RLP";#N/A,#N/A,FALSE,"IRR";#N/A,#N/A,FALSE,"Proforma IS";#N/A,#N/A,FALSE,"Assumptions"}</definedName>
    <definedName name="פפפ" hidden="1">{#N/A,#N/A,FALSE,"New Depr Sch-150% DB";#N/A,#N/A,FALSE,"Cash Flows RLP";#N/A,#N/A,FALSE,"IRR";#N/A,#N/A,FALSE,"Proforma IS";#N/A,#N/A,FALSE,"Assumptions"}</definedName>
    <definedName name="פפפ_1" localSheetId="3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localSheetId="4" hidden="1">{#N/A,#N/A,FALSE,"תקציב עפ""י תמחיר"}</definedName>
    <definedName name="פפפפפ" localSheetId="3" hidden="1">{#N/A,#N/A,FALSE,"תקציב עפ""י תמחיר"}</definedName>
    <definedName name="פפפפפ" hidden="1">{#N/A,#N/A,FALSE,"תקציב עפ""י תמחיר"}</definedName>
    <definedName name="ףףףףףףף" localSheetId="4" hidden="1">{#N/A,#N/A,FALSE,"חודשי"}</definedName>
    <definedName name="ףףףףףףף" localSheetId="3" hidden="1">{#N/A,#N/A,FALSE,"חודשי"}</definedName>
    <definedName name="ףףףףףףף" hidden="1">{#N/A,#N/A,FALSE,"חודשי"}</definedName>
    <definedName name="פק_איחוד">[135]נוספות!#REF!</definedName>
    <definedName name="פק_איחוד_זכות">[135]נוספות!#REF!</definedName>
    <definedName name="פק_איחוד_חובה">[135]נוספות!#REF!</definedName>
    <definedName name="פק_זכ_שח">[135]נוספות!#REF!</definedName>
    <definedName name="פק_חו_שח">[135]נוספות!#REF!,[135]נוספות!#REF!</definedName>
    <definedName name="פק_נו_שח">[135]נוספות!$C$10:$D$53,[135]נוספות!#REF!</definedName>
    <definedName name="פק_נוספ_INC">[135]נוספות!#REF!</definedName>
    <definedName name="פק_נוספ_זכות_INC">[135]נוספות!#REF!</definedName>
    <definedName name="פק_נוספ_חובה_INC">[135]נוספות!#REF!</definedName>
    <definedName name="פק_נוספות_INC">[135]נוספות!#REF!</definedName>
    <definedName name="פקדונות_לז_א">#REF!</definedName>
    <definedName name="פקדונות_לזמן_קצר">#REF!</definedName>
    <definedName name="פקדונות_נטו" localSheetId="4">'[255]פקדונות וניירות ערך'!$N$9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 localSheetId="4">'[290]מאזן בוחן'!#REF!</definedName>
    <definedName name="פקודות">#REF!</definedName>
    <definedName name="פקודות_איחוד">#REF!</definedName>
    <definedName name="פקודות_נוספות">#REF!</definedName>
    <definedName name="פקודות_נוספות_INC">[135]נוספות!#REF!</definedName>
    <definedName name="פרוטרווח" localSheetId="4">[291]גיליון1!$A$4:$E$26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localSheetId="3" hidden="1">{"produits finis",#N/A,FALSE," stock r?el ";"stock final",#N/A,FALSE," stock r?el "}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localSheetId="4" hidden="1">{#N/A,#N/A,FALSE,"חודשי"}</definedName>
    <definedName name="צצצצצצ" localSheetId="3" hidden="1">{#N/A,#N/A,FALSE,"חודשי"}</definedName>
    <definedName name="צצצצצצ" hidden="1">{#N/A,#N/A,FALSE,"חודשי"}</definedName>
    <definedName name="צקטאש" localSheetId="3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 localSheetId="4">[55]compro!$B$1:$D$46,[55]compro!$B$47:$D$86,[55]compro!$B$89:$D$137</definedName>
    <definedName name="קומפרו">#REF!,#REF!,#REF!</definedName>
    <definedName name="קוננס" localSheetId="4">[55]contahal!$Q$33:$Y$45,[55]contahal!$X$3:$Z$28</definedName>
    <definedName name="קוננס">#REF!,#REF!</definedName>
    <definedName name="קונתהל" localSheetId="4">[55]contahal!$A$1:$N$58,[55]contahal!$A$59:$N$107,[55]contahal!$A$108:$N$170</definedName>
    <definedName name="קונתהל">#REF!,#REF!,#REF!</definedName>
    <definedName name="קיב" localSheetId="4" hidden="1">{#N/A,#N/A,FALSE,"חלופות לתקציב"}</definedName>
    <definedName name="קיב" localSheetId="3" hidden="1">{#N/A,#N/A,FALSE,"חלופות לתקציב"}</definedName>
    <definedName name="קיב" hidden="1">{#N/A,#N/A,FALSE,"חלופות לתקציב"}</definedName>
    <definedName name="קידוד_חדש_אוגוסט" localSheetId="4">'[292]coding LTD'!#REF!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localSheetId="4" hidden="1">{#N/A,#N/A,TRUE,"צפי הכנסות-צביקה"}</definedName>
    <definedName name="קקק" localSheetId="3" hidden="1">{#N/A,#N/A,TRUE,"צפי הכנסות-צביקה"}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[12]מחירון!#REF!</definedName>
    <definedName name="רדומים_CSR">[12]מחירון!#REF!</definedName>
    <definedName name="רדומים_CSR_EXTRA">[12]מחירון!#REF!</definedName>
    <definedName name="רדומים_EXTRA">[12]מחירון!#REF!</definedName>
    <definedName name="רוה" localSheetId="4">'[290]רווה"ס'!#REF!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 localSheetId="4">[269]דוחות!$B$46:$G$68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 localSheetId="4">'[245]P&amp;L '!#REF!</definedName>
    <definedName name="רווח_והפסד_צרפת">#REF!</definedName>
    <definedName name="רווח_והפסד_קיימן" localSheetId="4">'[245]P&amp;L '!#REF!</definedName>
    <definedName name="רווח_והפסד_קיימן">#REF!</definedName>
    <definedName name="רווח_והפסד_שקל_חדש" localSheetId="4">'[243]דוחות כספיים'!#REF!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 localSheetId="4">'[255]פקדונות וניירות ערך'!$F$12</definedName>
    <definedName name="רווח_מבטוחות">#REF!</definedName>
    <definedName name="רווח_ממכירת_רכוש" localSheetId="4">'[255]מעגל רכוש קבוע'!$L$15</definedName>
    <definedName name="רווח_ממכירת_רכוש">#REF!</definedName>
    <definedName name="רווח_מניירות" localSheetId="4">'[128]פקדונות וניירות ערך'!$F$12</definedName>
    <definedName name="רווח_מניירות">#REF!</definedName>
    <definedName name="רווח_מפקדונות" localSheetId="4">'[255]פקדונות וניירות ערך'!$L$12</definedName>
    <definedName name="רווח_מפקדונות">#REF!</definedName>
    <definedName name="רווח_מרכוש" localSheetId="4">'[128]מעגל רכוש קבוע'!$L$15</definedName>
    <definedName name="רווח_מרכוש">#REF!</definedName>
    <definedName name="רווחב">[67]מאזן!$H$125:$W$155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[67]מאזן!$B$136:$Y$168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 localSheetId="4">'[255]מעגל רכוש קבוע'!$L$11</definedName>
    <definedName name="רכישות_רכוש">#REF!</definedName>
    <definedName name="רכש">#REF!</definedName>
    <definedName name="רר">#REF!</definedName>
    <definedName name="רררא" localSheetId="4" hidden="1">{#N/A,#N/A,FALSE,"חודשי"}</definedName>
    <definedName name="רררא" localSheetId="3" hidden="1">{#N/A,#N/A,FALSE,"חודשי"}</definedName>
    <definedName name="רררא" hidden="1">{#N/A,#N/A,FALSE,"חודשי"}</definedName>
    <definedName name="רשתות_TECH">[12]מחירון!#REF!</definedName>
    <definedName name="רשתות_TECH_EXTRA">[12]מחירון!#REF!</definedName>
    <definedName name="רשתות_עיסקי">[140]מחירון!$S$13:$V$19</definedName>
    <definedName name="רשתות_עיסקי_EXTRA">[139]מחירון!$V$20</definedName>
    <definedName name="ש" localSheetId="4">[293]מדדים!$B$44:$D$44</definedName>
    <definedName name="ש" localSheetId="3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 localSheetId="4">'[294]TTI LTD'!$D$7</definedName>
    <definedName name="ש_ע_ח">#REF!</definedName>
    <definedName name="ש_ע_ח30601" localSheetId="4">'[295]TTI LTD'!$J$7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localSheetId="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[12]מחירון!$F$3:$I$9</definedName>
    <definedName name="שדרוג_IP_EXTRA">[12]מחירון!$I$10</definedName>
    <definedName name="שווי_דילול">#REF!</definedName>
    <definedName name="שוליים">#REF!</definedName>
    <definedName name="שונה">[121]TRAVEL96!#REF!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[12]מחירון!#REF!</definedName>
    <definedName name="שימור_EXTRA">[12]מחירון!#REF!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 localSheetId="4">[241]תזרים!#REF!</definedName>
    <definedName name="שיפורים_במושכר">#REF!</definedName>
    <definedName name="שכור">#REF!</definedName>
    <definedName name="שכירויות_9_97">#REF!</definedName>
    <definedName name="שכר_מרכז" localSheetId="4" hidden="1">{#N/A,#N/A,FALSE,"שכר מרכז"}</definedName>
    <definedName name="שכר_מרכז" localSheetId="3" hidden="1">{#N/A,#N/A,FALSE,"שכר מרכז"}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localSheetId="4">'[262]דוח פיצויים'!#REF!</definedName>
    <definedName name="שמאל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localSheetId="4" hidden="1">{#N/A,#N/A,FALSE,"חודשי"}</definedName>
    <definedName name="שנתח" localSheetId="3" hidden="1">{#N/A,#N/A,FALSE,"חודשי"}</definedName>
    <definedName name="שנתח" hidden="1">{#N/A,#N/A,FALSE,"חודשי"}</definedName>
    <definedName name="שנתי">#REF!</definedName>
    <definedName name="שע_ח_30.9.99">'[296]הרכבה ש"ח'!#REF!</definedName>
    <definedName name="שע_ח_31.12.95">#REF!</definedName>
    <definedName name="שע_ח_31.12.96">#REF!</definedName>
    <definedName name="שע_ח_31.12.97" localSheetId="4">'[276]הרכבה $'!#REF!</definedName>
    <definedName name="שע_ח_31.12.97">#REF!</definedName>
    <definedName name="שע_ח_31.12.99">#REF!</definedName>
    <definedName name="שע_ח_כתר_נורבגי" localSheetId="4">'[297]נתונים לשינוי'!#REF!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 localSheetId="4">'[276]הרכבה $'!#REF!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localSheetId="4">#REF!</definedName>
    <definedName name="שש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localSheetId="3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localSheetId="4" hidden="1">{#N/A,#N/A,TRUE,"רבעוני מעודכן";#N/A,#N/A,TRUE,"השוואת תקציבים";#N/A,#N/A,TRUE,"הכנסות";#N/A,#N/A,TRUE,"רגישות"}</definedName>
    <definedName name="שששד" localSheetId="3" hidden="1">{#N/A,#N/A,TRUE,"רבעוני מעודכן";#N/A,#N/A,TRUE,"השוואת תקציבים";#N/A,#N/A,TRUE,"הכנסות";#N/A,#N/A,TRUE,"רגישות"}</definedName>
    <definedName name="שששד" hidden="1">{#N/A,#N/A,TRUE,"רבעוני מעודכן";#N/A,#N/A,TRUE,"השוואת תקציבים";#N/A,#N/A,TRUE,"הכנסות";#N/A,#N/A,TRUE,"רגישות"}</definedName>
    <definedName name="שששש" localSheetId="4" hidden="1">{#N/A,#N/A,FALSE,"תקציב עפ""י תמחיר"}</definedName>
    <definedName name="שששש" localSheetId="3" hidden="1">{#N/A,#N/A,FALSE,"תקציב עפ""י תמחיר"}</definedName>
    <definedName name="שששש" hidden="1">{#N/A,#N/A,FALSE,"תקציב עפ""י תמחיר"}</definedName>
    <definedName name="ששששש">#REF!</definedName>
    <definedName name="שששששששש">#REF!</definedName>
    <definedName name="ת_ד_CSR">[12]מחירון!#REF!</definedName>
    <definedName name="ת_ד_CSR_BUS">[12]מחירון!#REF!</definedName>
    <definedName name="תאורטי" localSheetId="4">'[298]תזרים $'!#REF!</definedName>
    <definedName name="תאורטי">#REF!</definedName>
    <definedName name="תאריך_אסמכתא">#REF!</definedName>
    <definedName name="תד_CSR_BUS_EXTRA">[12]מחירון!#REF!</definedName>
    <definedName name="תד_CSR_EXTRA">[12]מחירון!#REF!</definedName>
    <definedName name="תד_TECH">[12]מחירון!#REF!</definedName>
    <definedName name="תד_TECH_EXTRA">[12]מחירון!#REF!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[135]תזרים!#REF!</definedName>
    <definedName name="תזרים_מאוחדשח">[135]תזרים!#REF!</definedName>
    <definedName name="תזרים_סולודר">[135]תזרים!#REF!</definedName>
    <definedName name="תזרים_סולושח">[135]תזרים!#REF!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[299]m!$E$5</definedName>
    <definedName name="תיאורטי">#REF!</definedName>
    <definedName name="תיבות_דואר">[12]מחירון!#REF!</definedName>
    <definedName name="תיבות_דואר_EXTRA">[12]מחירון!#REF!</definedName>
    <definedName name="תיקון_פיצויים_וחופשה" localSheetId="4">[241]תזרים!#REF!</definedName>
    <definedName name="תיקון_פיצויים_וחופשה">#REF!</definedName>
    <definedName name="תיקון_רכוש_קבוע" localSheetId="4">[241]תזרים!#REF!</definedName>
    <definedName name="תיקון_רכוש_קבוע">#REF!</definedName>
    <definedName name="תכנים">'[236]קבוצת טלדור'!$W$6:$AC$56,'[236]קבוצת טלדור'!$W$60:$AC$108,'[236]קבוצת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localSheetId="4" hidden="1">{#N/A,#N/A,FALSE,"תקציב עפ""י תמחיר"}</definedName>
    <definedName name="תקציב_תמחיר" localSheetId="3" hidden="1">{#N/A,#N/A,FALSE,"תקציב עפ""י תמחיר"}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 localSheetId="4">[121]TRAVEL96!#REF!</definedName>
    <definedName name="תקרת_מלון_לימים_מעבר_ל___7">#REF!</definedName>
    <definedName name="תקרת_מלון_נמוכה">#REF!</definedName>
    <definedName name="가" localSheetId="3" hidden="1">{#N/A,#N/A,FALSE,"ALM-ASISC"}</definedName>
    <definedName name="가" hidden="1">{#N/A,#N/A,FALSE,"ALM-ASISC"}</definedName>
    <definedName name="가격" localSheetId="3" hidden="1">{#N/A,#N/A,FALSE,"ALM-ASISC"}</definedName>
    <definedName name="가격" hidden="1">{#N/A,#N/A,FALSE,"ALM-ASISC"}</definedName>
    <definedName name="고" localSheetId="3" hidden="1">{#N/A,#N/A,FALSE,"REPORT"}</definedName>
    <definedName name="고" hidden="1">{#N/A,#N/A,FALSE,"REPORT"}</definedName>
    <definedName name="고_1" localSheetId="3" hidden="1">{#N/A,#N/A,FALSE,"REPORT"}</definedName>
    <definedName name="고_1" hidden="1">{#N/A,#N/A,FALSE,"REPORT"}</definedName>
    <definedName name="고_2" localSheetId="3" hidden="1">{#N/A,#N/A,FALSE,"REPORT"}</definedName>
    <definedName name="고_2" hidden="1">{#N/A,#N/A,FALSE,"REPORT"}</definedName>
    <definedName name="고_3" localSheetId="3" hidden="1">{#N/A,#N/A,FALSE,"REPORT"}</definedName>
    <definedName name="고_3" hidden="1">{#N/A,#N/A,FALSE,"REPORT"}</definedName>
    <definedName name="고_4" localSheetId="3" hidden="1">{#N/A,#N/A,FALSE,"REPORT"}</definedName>
    <definedName name="고_4" hidden="1">{#N/A,#N/A,FALSE,"REPORT"}</definedName>
    <definedName name="공사설명서" localSheetId="3" hidden="1">{#N/A,#N/A,FALSE,"ALM-ASISC"}</definedName>
    <definedName name="공사설명서" hidden="1">{#N/A,#N/A,FALSE,"ALM-ASISC"}</definedName>
    <definedName name="근속계산">#REF!</definedName>
    <definedName name="기린" localSheetId="3" hidden="1">{#N/A,#N/A,FALSE,"3가";#N/A,#N/A,FALSE,"3나";#N/A,#N/A,FALSE,"3다"}</definedName>
    <definedName name="기린" hidden="1">{#N/A,#N/A,FALSE,"3가";#N/A,#N/A,FALSE,"3나";#N/A,#N/A,FALSE,"3다"}</definedName>
    <definedName name="기성내역서" localSheetId="3" hidden="1">{#N/A,#N/A,FALSE,"포장단가"}</definedName>
    <definedName name="기성내역서" hidden="1">{#N/A,#N/A,FALSE,"포장단가"}</definedName>
    <definedName name="김영준" localSheetId="3" hidden="1">{#N/A,#N/A,FALSE,"ALM-ASISC"}</definedName>
    <definedName name="김영준" hidden="1">{#N/A,#N/A,FALSE,"ALM-ASISC"}</definedName>
    <definedName name="나" localSheetId="3" hidden="1">{#N/A,#N/A,FALSE,"ALM-ASISC"}</definedName>
    <definedName name="나" hidden="1">{#N/A,#N/A,FALSE,"ALM-ASISC"}</definedName>
    <definedName name="남지.상주" localSheetId="3" hidden="1">{#N/A,#N/A,FALSE,"3가";#N/A,#N/A,FALSE,"3나";#N/A,#N/A,FALSE,"3다"}</definedName>
    <definedName name="남지.상주" hidden="1">{#N/A,#N/A,FALSE,"3가";#N/A,#N/A,FALSE,"3나";#N/A,#N/A,FALSE,"3다"}</definedName>
    <definedName name="남지상주2" localSheetId="3" hidden="1">{#N/A,#N/A,FALSE,"3가";#N/A,#N/A,FALSE,"3나";#N/A,#N/A,FALSE,"3다"}</definedName>
    <definedName name="남지상주2" hidden="1">{#N/A,#N/A,FALSE,"3가";#N/A,#N/A,FALSE,"3나";#N/A,#N/A,FALSE,"3다"}</definedName>
    <definedName name="내역" localSheetId="3" hidden="1">{#N/A,#N/A,FALSE,"3가";#N/A,#N/A,FALSE,"3나";#N/A,#N/A,FALSE,"3다"}</definedName>
    <definedName name="내역" hidden="1">{#N/A,#N/A,FALSE,"3가";#N/A,#N/A,FALSE,"3나";#N/A,#N/A,FALSE,"3다"}</definedName>
    <definedName name="내역1" localSheetId="3" hidden="1">{#N/A,#N/A,FALSE,"3가";#N/A,#N/A,FALSE,"3나";#N/A,#N/A,FALSE,"3다"}</definedName>
    <definedName name="내역1" hidden="1">{#N/A,#N/A,FALSE,"3가";#N/A,#N/A,FALSE,"3나";#N/A,#N/A,FALSE,"3다"}</definedName>
    <definedName name="ㄶㅇ노ㅗㄶ호" localSheetId="3" hidden="1">{#N/A,#N/A,FALSE,"REPORT"}</definedName>
    <definedName name="ㄶㅇ노ㅗㄶ호" hidden="1">{#N/A,#N/A,FALSE,"REPORT"}</definedName>
    <definedName name="ㄶㅇ노ㅗㄶ호_1" localSheetId="3" hidden="1">{#N/A,#N/A,FALSE,"REPORT"}</definedName>
    <definedName name="ㄶㅇ노ㅗㄶ호_1" hidden="1">{#N/A,#N/A,FALSE,"REPORT"}</definedName>
    <definedName name="ㄶㅇ노ㅗㄶ호_2" localSheetId="3" hidden="1">{#N/A,#N/A,FALSE,"REPORT"}</definedName>
    <definedName name="ㄶㅇ노ㅗㄶ호_2" hidden="1">{#N/A,#N/A,FALSE,"REPORT"}</definedName>
    <definedName name="ㄶㅇ노ㅗㄶ호_3" localSheetId="3" hidden="1">{#N/A,#N/A,FALSE,"REPORT"}</definedName>
    <definedName name="ㄶㅇ노ㅗㄶ호_3" hidden="1">{#N/A,#N/A,FALSE,"REPORT"}</definedName>
    <definedName name="ㄶㅇ노ㅗㄶ호_4" localSheetId="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localSheetId="3" hidden="1">{#N/A,#N/A,FALSE,"ALM-ASISC"}</definedName>
    <definedName name="다" hidden="1">{#N/A,#N/A,FALSE,"ALM-ASISC"}</definedName>
    <definedName name="다음" localSheetId="3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localSheetId="3" hidden="1">{#N/A,#N/A,FALSE,"ALM-ASISC"}</definedName>
    <definedName name="라" hidden="1">{#N/A,#N/A,FALSE,"ALM-ASISC"}</definedName>
    <definedName name="ㅁㅁㅁ" localSheetId="3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localSheetId="3" hidden="1">{#N/A,#N/A,FALSE,"ALM-ASISC"}</definedName>
    <definedName name="마" hidden="1">{#N/A,#N/A,FALSE,"ALM-ASISC"}</definedName>
    <definedName name="맨홀집계표" localSheetId="3" hidden="1">{#N/A,#N/A,FALSE,"포장단가"}</definedName>
    <definedName name="맨홀집계표" hidden="1">{#N/A,#N/A,FALSE,"포장단가"}</definedName>
    <definedName name="물가">#REF!</definedName>
    <definedName name="물가상승율">#REF!</definedName>
    <definedName name="미애" localSheetId="3" hidden="1">{#N/A,#N/A,FALSE,"REPORT"}</definedName>
    <definedName name="미애" hidden="1">{#N/A,#N/A,FALSE,"REPORT"}</definedName>
    <definedName name="미애_1" localSheetId="3" hidden="1">{#N/A,#N/A,FALSE,"REPORT"}</definedName>
    <definedName name="미애_1" hidden="1">{#N/A,#N/A,FALSE,"REPORT"}</definedName>
    <definedName name="미애_2" localSheetId="3" hidden="1">{#N/A,#N/A,FALSE,"REPORT"}</definedName>
    <definedName name="미애_2" hidden="1">{#N/A,#N/A,FALSE,"REPORT"}</definedName>
    <definedName name="미애_3" localSheetId="3" hidden="1">{#N/A,#N/A,FALSE,"REPORT"}</definedName>
    <definedName name="미애_3" hidden="1">{#N/A,#N/A,FALSE,"REPORT"}</definedName>
    <definedName name="미애_4" localSheetId="3" hidden="1">{#N/A,#N/A,FALSE,"REPORT"}</definedName>
    <definedName name="미애_4" hidden="1">{#N/A,#N/A,FALSE,"REPORT"}</definedName>
    <definedName name="밀양시" localSheetId="3" hidden="1">{#N/A,#N/A,FALSE,"3가";#N/A,#N/A,FALSE,"3나";#N/A,#N/A,FALSE,"3다"}</definedName>
    <definedName name="밀양시" hidden="1">{#N/A,#N/A,FALSE,"3가";#N/A,#N/A,FALSE,"3나";#N/A,#N/A,FALSE,"3다"}</definedName>
    <definedName name="ㅂ">#N/A</definedName>
    <definedName name="ㅂㅁ" localSheetId="3" hidden="1">{#N/A,"PURCHM",FALSE,"Business Analysis";#N/A,"SPADD",FALSE,"Business Analysis"}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localSheetId="3" hidden="1">{#N/A,#N/A,FALSE,"ALM-ASISC"}</definedName>
    <definedName name="바" hidden="1">{#N/A,#N/A,FALSE,"ALM-ASISC"}</definedName>
    <definedName name="배수공집계_주요자재" localSheetId="3" hidden="1">{#N/A,#N/A,FALSE,"포장단가"}</definedName>
    <definedName name="배수공집계_주요자재" hidden="1">{#N/A,#N/A,FALSE,"포장단가"}</definedName>
    <definedName name="변경" localSheetId="3" hidden="1">{#N/A,#N/A,FALSE,"ALM-ASISC"}</definedName>
    <definedName name="변경" hidden="1">{#N/A,#N/A,FALSE,"ALM-ASISC"}</definedName>
    <definedName name="변경내역" localSheetId="3" hidden="1">{#N/A,#N/A,FALSE,"3가";#N/A,#N/A,FALSE,"3나";#N/A,#N/A,FALSE,"3다"}</definedName>
    <definedName name="변경내역" hidden="1">{#N/A,#N/A,FALSE,"3가";#N/A,#N/A,FALSE,"3나";#N/A,#N/A,FALSE,"3다"}</definedName>
    <definedName name="변경내역서" localSheetId="3" hidden="1">{#N/A,#N/A,FALSE,"포장단가"}</definedName>
    <definedName name="변경내역서" hidden="1">{#N/A,#N/A,FALSE,"포장단가"}</definedName>
    <definedName name="변경내역서집계표" localSheetId="3" hidden="1">{#N/A,#N/A,FALSE,"포장단가"}</definedName>
    <definedName name="변경내역서집계표" hidden="1">{#N/A,#N/A,FALSE,"포장단가"}</definedName>
    <definedName name="변경내역서총차분" localSheetId="3" hidden="1">{#N/A,#N/A,FALSE,"포장단가"}</definedName>
    <definedName name="변경내역서총차분" hidden="1">{#N/A,#N/A,FALSE,"포장단가"}</definedName>
    <definedName name="비용">#N/A</definedName>
    <definedName name="사" localSheetId="3" hidden="1">{#N/A,#N/A,FALSE,"ALM-ASISC"}</definedName>
    <definedName name="사" hidden="1">{#N/A,#N/A,FALSE,"ALM-ASISC"}</definedName>
    <definedName name="서통1" localSheetId="3" hidden="1">{#N/A,#N/A,FALSE,"ALM-ASISC"}</definedName>
    <definedName name="서통1" hidden="1">{#N/A,#N/A,FALSE,"ALM-ASISC"}</definedName>
    <definedName name="설계변경내역서" localSheetId="3" hidden="1">{#N/A,#N/A,FALSE,"포장단가"}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localSheetId="3" hidden="1">{#N/A,#N/A,FALSE,"ALM-ASISC"}</definedName>
    <definedName name="수정" hidden="1">{#N/A,#N/A,FALSE,"ALM-ASISC"}</definedName>
    <definedName name="수정1" localSheetId="3" hidden="1">{#N/A,#N/A,FALSE,"ALM-ASISC"}</definedName>
    <definedName name="수정1" hidden="1">{#N/A,#N/A,FALSE,"ALM-ASISC"}</definedName>
    <definedName name="수정2" localSheetId="3" hidden="1">{#N/A,#N/A,FALSE,"ALM-ASISC"}</definedName>
    <definedName name="수정2" hidden="1">{#N/A,#N/A,FALSE,"ALM-ASISC"}</definedName>
    <definedName name="수정3" localSheetId="3" hidden="1">{#N/A,#N/A,FALSE,"ALM-ASISC"}</definedName>
    <definedName name="수정3" hidden="1">{#N/A,#N/A,FALSE,"ALM-ASISC"}</definedName>
    <definedName name="수정4" localSheetId="3" hidden="1">{#N/A,#N/A,FALSE,"ALM-ASISC"}</definedName>
    <definedName name="수정4" hidden="1">{#N/A,#N/A,FALSE,"ALM-ASISC"}</definedName>
    <definedName name="수정5" localSheetId="3" hidden="1">{#N/A,#N/A,FALSE,"ALM-ASISC"}</definedName>
    <definedName name="수정5" hidden="1">{#N/A,#N/A,FALSE,"ALM-ASISC"}</definedName>
    <definedName name="수정6" localSheetId="3" hidden="1">{#N/A,#N/A,FALSE,"ALM-ASISC"}</definedName>
    <definedName name="수정6" hidden="1">{#N/A,#N/A,FALSE,"ALM-ASISC"}</definedName>
    <definedName name="실정보고" localSheetId="3" hidden="1">{#N/A,#N/A,FALSE,"포장단가"}</definedName>
    <definedName name="실정보고" hidden="1">{#N/A,#N/A,FALSE,"포장단가"}</definedName>
    <definedName name="실정보고서" localSheetId="3" hidden="1">{#N/A,#N/A,FALSE,"포장단가"}</definedName>
    <definedName name="실정보고서" hidden="1">{#N/A,#N/A,FALSE,"포장단가"}</definedName>
    <definedName name="ㅇ" localSheetId="3" hidden="1">{#N/A,#N/A,FALSE,"ALM-ASISC"}</definedName>
    <definedName name="ㅇ" hidden="1">{#N/A,#N/A,FALSE,"ALM-ASISC"}</definedName>
    <definedName name="ㅇㄹㄹ" hidden="1">#REF!</definedName>
    <definedName name="ㅇㅀㅇㅁㄹ" localSheetId="3" hidden="1">{#N/A,#N/A,FALSE,"3가";#N/A,#N/A,FALSE,"3나";#N/A,#N/A,FALSE,"3다"}</definedName>
    <definedName name="ㅇㅀㅇㅁㄹ" hidden="1">{#N/A,#N/A,FALSE,"3가";#N/A,#N/A,FALSE,"3나";#N/A,#N/A,FALSE,"3다"}</definedName>
    <definedName name="ㅇㅇ">#REF!</definedName>
    <definedName name="ㅇㅇㅇ" localSheetId="3" hidden="1">{#N/A,#N/A,FALSE,"포장단가"}</definedName>
    <definedName name="ㅇㅇㅇ" hidden="1">{#N/A,#N/A,FALSE,"포장단가"}</definedName>
    <definedName name="ㅇㅇㅇㅇ">#REF!</definedName>
    <definedName name="아" localSheetId="3" hidden="1">{#N/A,#N/A,FALSE,"ALM-ASISC"}</definedName>
    <definedName name="아" hidden="1">{#N/A,#N/A,FALSE,"ALM-ASISC"}</definedName>
    <definedName name="어라" localSheetId="3" hidden="1">{#N/A,#N/A,FALSE,"포장단가"}</definedName>
    <definedName name="어라" hidden="1">{#N/A,#N/A,FALSE,"포장단가"}</definedName>
    <definedName name="어리" localSheetId="3" hidden="1">{#N/A,#N/A,FALSE,"포장단가"}</definedName>
    <definedName name="어리" hidden="1">{#N/A,#N/A,FALSE,"포장단가"}</definedName>
    <definedName name="어플비율" localSheetId="4">[189]분담기준!$E$6</definedName>
    <definedName name="어플비율">#REF!</definedName>
    <definedName name="우수" localSheetId="3" hidden="1">{#N/A,#N/A,FALSE,"포장단가"}</definedName>
    <definedName name="우수" hidden="1">{#N/A,#N/A,FALSE,"포장단가"}</definedName>
    <definedName name="운영자금3월부터">#N/A</definedName>
    <definedName name="원가분석" localSheetId="3" hidden="1">{#N/A,#N/A,FALSE,"3가";#N/A,#N/A,FALSE,"3나";#N/A,#N/A,FALSE,"3다"}</definedName>
    <definedName name="원가분석" hidden="1">{#N/A,#N/A,FALSE,"3가";#N/A,#N/A,FALSE,"3나";#N/A,#N/A,FALSE,"3다"}</definedName>
    <definedName name="월급상승분">#REF!</definedName>
    <definedName name="으" localSheetId="3" hidden="1">{#N/A,#N/A,FALSE,"ALM-ASISC"}</definedName>
    <definedName name="으" hidden="1">{#N/A,#N/A,FALSE,"ALM-ASISC"}</definedName>
    <definedName name="이" localSheetId="3" hidden="1">{"vol data",#N/A,FALSE,"Datasheet";"vol graph",#N/A,FALSE,"Volume";"price data",#N/A,FALSE,"Datasheet";"price graph",#N/A,FALSE,"Price";"dp data",#N/A,FALSE,"Datasheet";"dp graph",#N/A,FALSE,"DirectProfit"}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 localSheetId="4">'[300]운영예산(￡)'!#REF!</definedName>
    <definedName name="인원_하">#REF!</definedName>
    <definedName name="인원01">#REF!</definedName>
    <definedName name="인원수" localSheetId="4">[189]분담기준!$E$7</definedName>
    <definedName name="인원수">#REF!</definedName>
    <definedName name="ㅈ" localSheetId="3" hidden="1">{#N/A,#N/A,FALSE,"ALM-ASISC"}</definedName>
    <definedName name="ㅈ" hidden="1">{#N/A,#N/A,FALSE,"ALM-ASISC"}</definedName>
    <definedName name="ㅈㅈ">#REF!</definedName>
    <definedName name="ㅈㅈㅈ">#REF!</definedName>
    <definedName name="자" localSheetId="3" hidden="1">{#N/A,#N/A,FALSE,"ALM-ASISC"}</definedName>
    <definedName name="자" hidden="1">{#N/A,#N/A,FALSE,"ALM-ASISC"}</definedName>
    <definedName name="잡1" localSheetId="4">'[145]unit price (2)'!$E$29</definedName>
    <definedName name="잡1">#REF!</definedName>
    <definedName name="잡2" localSheetId="4">'[145]unit price (2)'!$E$30</definedName>
    <definedName name="잡2">#REF!</definedName>
    <definedName name="제주추가종합수정안" localSheetId="3" hidden="1">{#N/A,#N/A,FALSE,"3가";#N/A,#N/A,FALSE,"3나";#N/A,#N/A,FALSE,"3다"}</definedName>
    <definedName name="제주추가종합수정안" hidden="1">{#N/A,#N/A,FALSE,"3가";#N/A,#N/A,FALSE,"3나";#N/A,#N/A,FALSE,"3다"}</definedName>
    <definedName name="중국식단가">#REF!</definedName>
    <definedName name="증설계획" localSheetId="3" hidden="1">{#N/A,#N/A,FALSE,"ALM-ASISC"}</definedName>
    <definedName name="증설계획" hidden="1">{#N/A,#N/A,FALSE,"ALM-ASISC"}</definedName>
    <definedName name="지급율">#REF!</definedName>
    <definedName name="ㅊㅊㅊ">#REF!</definedName>
    <definedName name="차" localSheetId="3" hidden="1">{#N/A,#N/A,FALSE,"ALM-ASISC"}</definedName>
    <definedName name="차" hidden="1">{#N/A,#N/A,FALSE,"ALM-ASISC"}</definedName>
    <definedName name="총괄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localSheetId="3" hidden="1">{#N/A,#N/A,FALSE,"ALM-ASISC"}</definedName>
    <definedName name="취소" hidden="1">{#N/A,#N/A,FALSE,"ALM-ASISC"}</definedName>
    <definedName name="ㅋㅋ">#N/A</definedName>
    <definedName name="카" localSheetId="3" hidden="1">{#N/A,#N/A,FALSE,"ALM-ASISC"}</definedName>
    <definedName name="카" hidden="1">{#N/A,#N/A,FALSE,"ALM-ASISC"}</definedName>
    <definedName name="타" localSheetId="3" hidden="1">{#N/A,#N/A,FALSE,"ALM-ASISC"}</definedName>
    <definedName name="타" hidden="1">{#N/A,#N/A,FALSE,"ALM-ASISC"}</definedName>
    <definedName name="특별상여율">#REF!</definedName>
    <definedName name="특별시방서1" localSheetId="3" hidden="1">{#N/A,#N/A,FALSE,"ALM-ASISC"}</definedName>
    <definedName name="특별시방서1" hidden="1">{#N/A,#N/A,FALSE,"ALM-ASISC"}</definedName>
    <definedName name="ㅍㅇㄹ" localSheetId="3" hidden="1">{#N/A,#N/A,FALSE,"ALM-ASISC"}</definedName>
    <definedName name="ㅍㅇㄹ" hidden="1">{#N/A,#N/A,FALSE,"ALM-ASISC"}</definedName>
    <definedName name="ㅍㅍㅍ">#REF!</definedName>
    <definedName name="파" localSheetId="3" hidden="1">{#N/A,#N/A,FALSE,"ALM-ASISC"}</definedName>
    <definedName name="파" hidden="1">{#N/A,#N/A,FALSE,"ALM-ASISC"}</definedName>
    <definedName name="ㅎㅎㅎ">#REF!</definedName>
    <definedName name="하" localSheetId="3" hidden="1">{#N/A,#N/A,FALSE,"ALM-ASISC"}</definedName>
    <definedName name="하" hidden="1">{#N/A,#N/A,FALSE,"ALM-ASISC"}</definedName>
    <definedName name="할" localSheetId="3" hidden="1">{#N/A,#N/A,FALSE,"ALM-ASISC"}</definedName>
    <definedName name="할" hidden="1">{#N/A,#N/A,FALSE,"ALM-ASISC"}</definedName>
    <definedName name="환율01">#REF!</definedName>
    <definedName name="환율02" localSheetId="4">'[301]운영예산(U$)'!$E$73</definedName>
    <definedName name="환율02">#REF!</definedName>
    <definedName name="환율03" localSheetId="4">'[301]운영예산(U$)'!$F$73</definedName>
    <definedName name="환율03">#REF!</definedName>
    <definedName name="환율04" localSheetId="4">'[301]운영예산(U$)'!$G$73</definedName>
    <definedName name="환율04">#REF!</definedName>
    <definedName name="환율05" localSheetId="4">'[301]운영예산(U$)'!$H$73</definedName>
    <definedName name="환율05">#REF!</definedName>
    <definedName name="ㅐㅏ" localSheetId="3" hidden="1">{#N/A,#N/A,FALSE,"ALM-ASISC"}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localSheetId="3" hidden="1">{#N/A,#N/A,FALSE,"ALM-ASISC"}</definedName>
    <definedName name="ㅡㅗㅗㄹ" hidden="1">{#N/A,#N/A,FALSE,"ALM-ASISC"}</definedName>
    <definedName name="ㅡㅡㅡ" localSheetId="3" hidden="1">{#N/A,#N/A,FALSE,"포장단가"}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tc={1A063F3E-D01D-4C8B-82B3-3E9B22E0DBE3}</author>
    <author>tc={74BC6ED3-0314-4E6A-A6D4-CAEEEAD10A75}</author>
    <author>tc={B5A5799D-1426-4F59-B807-2E88D8355C93}</author>
  </authors>
  <commentList>
    <comment ref="B47" authorId="0" shapeId="0" xr:uid="{1A063F3E-D01D-4C8B-82B3-3E9B22E0DBE3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G47" authorId="1" shapeId="0" xr:uid="{74BC6ED3-0314-4E6A-A6D4-CAEEEAD10A7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48" authorId="2" shapeId="0" xr:uid="{B5A5799D-1426-4F59-B807-2E88D8355C93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tc={1518ACEA-8AF2-44C5-B4B9-88206E9B1661}</author>
    <author>tc={FA404F32-29A5-482A-B551-80A1E0BF2443}</author>
    <author>tc={66D38E9D-F2D6-4751-AFDB-40F2BCDEB0D6}</author>
    <author>tc={8ECBC244-A787-480C-9563-B8C7816E8D1F}</author>
    <author>tc={F0A0E537-0150-494F-947C-E77C8B905819}</author>
    <author>tc={4EE9F22F-071F-44A7-BA9D-E40A9B0B46BB}</author>
    <author>tc={651CB055-5133-4E85-A069-5DF46700A5DE}</author>
    <author>tc={08FA8BFF-B1A8-4565-8FC0-3D60DF1D9FB8}</author>
    <author>tc={678186E3-C7F7-4791-9DEE-7891347B2060}</author>
    <author>tc={90C99D5D-B62D-4BE3-BB52-ABF048F5D73E}</author>
    <author>tc={FA5E662A-7C0F-478D-AC30-3B8883B66388}</author>
    <author>tc={9D73F43F-8E3E-471F-8E02-91D6AB300C65}</author>
    <author>tc={540DC25B-630C-490B-A7A7-47A1B947B5D7}</author>
    <author>tc={00FDD38C-1BA7-4030-8FB4-A44311836749}</author>
    <author>tc={6800B664-9C2B-4565-8161-6DFFA1A84370}</author>
    <author>tc={E0B8D3EE-09EF-4AE1-A380-622199D3136F}</author>
    <author>tc={BC5A1430-285C-45E5-8A5A-B17E171DB73A}</author>
    <author>tc={4266C7E0-96B7-483A-8B5E-55814B3734EE}</author>
    <author>tc={E37E8F97-2AE7-423F-95BD-8C188071BE54}</author>
    <author>tc={B6469E5A-F09D-4753-8C52-A22412A8BC36}</author>
    <author>tc={7F906B44-7407-42F3-8E59-5F2432426B8F}</author>
  </authors>
  <commentList>
    <comment ref="M17" authorId="0" shapeId="0" xr:uid="{1518ACEA-8AF2-44C5-B4B9-88206E9B1661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Q17" authorId="1" shapeId="0" xr:uid="{FA404F32-29A5-482A-B551-80A1E0BF2443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U17" authorId="2" shapeId="0" xr:uid="{66D38E9D-F2D6-4751-AFDB-40F2BCDEB0D6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Y17" authorId="3" shapeId="0" xr:uid="{8ECBC244-A787-480C-9563-B8C7816E8D1F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AC17" authorId="4" shapeId="0" xr:uid="{F0A0E537-0150-494F-947C-E77C8B905819}">
      <text>
        <t>[Threaded comment]
Your version of Excel allows you to read this threaded comment; however, any edits to it will get removed if the file is opened in a newer version of Excel. Learn more: https://go.microsoft.com/fwlink/?linkid=870924
Comment:
    Avg. price</t>
      </text>
    </comment>
    <comment ref="F23" authorId="5" shapeId="0" xr:uid="{4EE9F22F-071F-44A7-BA9D-E40A9B0B46BB}">
      <text>
        <t>[Threaded comment]
Your version of Excel allows you to read this threaded comment; however, any edits to it will get removed if the file is opened in a newer version of Excel. Learn more: https://go.microsoft.com/fwlink/?linkid=870924
Comment:
    Ghana prepaid $7k? Subscription Revenue placement</t>
      </text>
    </comment>
    <comment ref="F31" authorId="6" shapeId="0" xr:uid="{651CB055-5133-4E85-A069-5DF46700A5DE}">
      <text>
        <t>[Threaded comment]
Your version of Excel allows you to read this threaded comment; however, any edits to it will get removed if the file is opened in a newer version of Excel. Learn more: https://go.microsoft.com/fwlink/?linkid=870924
Comment:
    Ghana prepaid $7k? Subscription Revenue placement</t>
      </text>
    </comment>
    <comment ref="F33" authorId="7" shapeId="0" xr:uid="{08FA8BFF-B1A8-4565-8FC0-3D60DF1D9FB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Ran</t>
      </text>
    </comment>
    <comment ref="M33" authorId="8" shapeId="0" xr:uid="{678186E3-C7F7-4791-9DEE-7891347B2060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Weighted avg. price 2026 inc. Channel partners, Product 2.2 and Product X</t>
      </text>
    </comment>
    <comment ref="N33" authorId="9" shapeId="0" xr:uid="{90C99D5D-B62D-4BE3-BB52-ABF048F5D73E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Weighted avg. price 2026 inc. Channel partners, Product 2.2 and Product X</t>
      </text>
    </comment>
    <comment ref="B39" authorId="10" shapeId="0" xr:uid="{FA5E662A-7C0F-478D-AC30-3B8883B663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Purchase service contract </t>
      </text>
    </comment>
    <comment ref="B41" authorId="11" shapeId="0" xr:uid="{9D73F43F-8E3E-471F-8E02-91D6AB300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of $30k; 35% GM</t>
      </text>
    </comment>
    <comment ref="F41" authorId="12" shapeId="0" xr:uid="{540DC25B-630C-490B-A7A7-47A1B947B5D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Formerly $2M
Reply:
    Will be Q4 2024</t>
      </text>
    </comment>
    <comment ref="F43" authorId="13" shapeId="0" xr:uid="{00FDD38C-1BA7-4030-8FB4-A443118367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revenue currently
Reply:
    Previously 100</t>
      </text>
    </comment>
    <comment ref="B45" authorId="14" shapeId="0" xr:uid="{6800B664-9C2B-4565-8161-6DFFA1A84370}">
      <text>
        <t>[Threaded comment]
Your version of Excel allows you to read this threaded comment; however, any edits to it will get removed if the file is opened in a newer version of Excel. Learn more: https://go.microsoft.com/fwlink/?linkid=870924
Comment:
    Ran to get back on COGS for second opinion</t>
      </text>
    </comment>
    <comment ref="B49" authorId="15" shapeId="0" xr:uid="{E0B8D3EE-09EF-4AE1-A380-622199D3136F}">
      <text>
        <t>[Threaded comment]
Your version of Excel allows you to read this threaded comment; however, any edits to it will get removed if the file is opened in a newer version of Excel. Learn more: https://go.microsoft.com/fwlink/?linkid=870924
Comment:
    OEM; second opinions; data monetization</t>
      </text>
    </comment>
    <comment ref="E51" authorId="16" shapeId="0" xr:uid="{BC5A1430-285C-45E5-8A5A-B17E171D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Signed Intermountain, Covera, and Dandrion
Reply:
    Multiyear contracts
Reply:
    75% contracted
Reply:
    Q3 will have 1 large contract; Q4 is go get - 3Q from Bayer
Reply:
    $800K revenue as of Q3</t>
      </text>
    </comment>
    <comment ref="M51" authorId="17" shapeId="0" xr:uid="{4266C7E0-96B7-483A-8B5E-55814B3734E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VASO- [Acquisition]
Reply:
    Originally $10M</t>
      </text>
    </comment>
    <comment ref="E53" authorId="18" shapeId="0" xr:uid="{E37E8F97-2AE7-423F-95BD-8C188071BE54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Signed Intermountain, Covera, and Dandrion
Reply:
    Multiyear contracts
Reply:
    75% contracted
Reply:
    Q3 will have 1 large contract; Q4 is go get - 3Q from Bayer
Reply:
    $800K revenue as of Q3</t>
      </text>
    </comment>
    <comment ref="M53" authorId="19" shapeId="0" xr:uid="{B6469E5A-F09D-4753-8C52-A22412A8BC36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VASO- [Acquisition]
Reply:
    Originally $10M</t>
      </text>
    </comment>
    <comment ref="E55" authorId="20" shapeId="0" xr:uid="{7F906B44-7407-42F3-8E59-5F2432426B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Previous $10K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tc={39FD833B-3C84-45DD-8A1C-E5B72C87FB6F}</author>
    <author>tc={1D832BDF-0793-4A0B-B476-7A944782A49C}</author>
    <author>tc={164AE957-34C7-4943-9A1C-52B626D548A6}</author>
    <author>tc={0E493C22-2CEA-41BE-9CAA-B0AA5191CB4C}</author>
    <author>tc={ED676248-CE20-41DF-BE3B-E250A275864F}</author>
    <author>tc={5F8028A5-AFD5-42C9-9C5C-A8FC81DD46DE}</author>
    <author>tc={2FAD5C15-FD75-4950-9FBB-D03877F36210}</author>
    <author>tc={B87497B3-5FE4-4C22-B565-421320E6DE23}</author>
    <author>tc={C0799AAD-F0FC-49F7-B53A-5A65ACBB773D}</author>
    <author>tc={4B381868-C97F-4637-9B65-A9C98A5EF37F}</author>
    <author>tc={A79270E0-8603-45FC-8052-06C7D42B2C71}</author>
    <author>tc={440FCA6E-2793-4B89-933D-AAB03534E9A2}</author>
    <author>tc={8F55796E-872F-43B6-9EA4-EFC7BCD6F119}</author>
    <author>tc={C7C55876-AB30-4FD1-9198-76DDF3D39980}</author>
    <author>tc={C9CEF098-3E28-4DC6-8130-6EF0FAEBBE1B}</author>
    <author>tc={CC60610B-A0F5-4610-8413-211FAD802269}</author>
    <author>tc={4ECD8A9B-A2D2-4349-9579-27EA1B3A43FA}</author>
    <author>tc={FA09DBC8-32A7-4FA7-AE36-B9CA0040912F}</author>
    <author>tc={DA242AC2-DFDF-409C-B5B3-9C5FD324DE61}</author>
    <author>tc={E19A72DC-91A9-4E75-91EF-36BDDF31905D}</author>
    <author>tc={856BBBE8-63C6-46AA-BC3F-76216A138055}</author>
    <author>tc={3B067D2E-62AD-4233-833D-FF91D805C9ED}</author>
    <author>tc={96953D93-3B13-49EB-90EE-8BC528544016}</author>
    <author>tc={FF8D4655-4A1C-40D3-8D4B-6E6BDC366F6D}</author>
    <author>tc={71EC62F2-8647-48C1-BC7A-DF402BC188CE}</author>
    <author>tc={CBF2EBC3-D1D5-4559-87E0-8F9E55F45F1F}</author>
    <author>tc={FB97593C-4FA5-4481-9DD3-37F45E51FD14}</author>
    <author>tc={8F467572-D28E-4E52-8988-FC29B079DBC4}</author>
    <author>tc={B15740C5-CF04-4D4A-941E-DD82F5C5D843}</author>
    <author>tc={E3F83B98-1272-434E-A1E5-F68CD366DA9E}</author>
    <author>tc={FA6650EA-1334-4E90-98B1-9FD9561EA87C}</author>
    <author>tc={25165074-9A6F-4BD2-928D-3C2125F2D7D0}</author>
    <author>tc={236216A7-5745-4542-A64A-18CBB08ADE22}</author>
    <author>tc={AE5E6D65-23FB-48F0-AC7C-4E281931973F}</author>
    <author>tc={4506C3E4-23CD-4314-8ECF-5E6513AF88DD}</author>
    <author>tc={ECB2E3BC-1613-4D1F-8488-B24421BAA635}</author>
    <author>tc={FF9EA9C7-C53A-491D-9A9F-4F9E67F76CCC}</author>
    <author>tc={25E6CF83-5FF2-406E-9DD8-C3614262EAD2}</author>
    <author>tc={290EFF20-9812-4556-862A-EBF456D441B7}</author>
    <author>tc={B18570EB-2016-463D-BEB1-4B9F32C8336E}</author>
  </authors>
  <commentList>
    <comment ref="M7" authorId="0" shapeId="0" xr:uid="{39FD833B-3C84-45DD-8A1C-E5B72C87F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sales row + AI sales</t>
      </text>
    </comment>
    <comment ref="N7" authorId="1" shapeId="0" xr:uid="{1D832BDF-0793-4A0B-B476-7A944782A4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sales row + AI sales</t>
      </text>
    </comment>
    <comment ref="M10" authorId="2" shapeId="0" xr:uid="{164AE957-34C7-4943-9A1C-52B626D54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Customer Success Impact</t>
      </text>
    </comment>
    <comment ref="M14" authorId="3" shapeId="0" xr:uid="{0E493C22-2CEA-41BE-9CAA-B0AA5191CB4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Shared Resources Marketing</t>
      </text>
    </comment>
    <comment ref="D22" authorId="4" shapeId="0" xr:uid="{ED676248-CE20-41DF-BE3B-E250A275864F}">
      <text>
        <t>[Threaded comment]
Your version of Excel allows you to read this threaded comment; however, any edits to it will get removed if the file is opened in a newer version of Excel. Learn more: https://go.microsoft.com/fwlink/?linkid=870924
Comment:
    3-4 monthly salaries</t>
      </text>
    </comment>
    <comment ref="E23" authorId="5" shapeId="0" xr:uid="{5F8028A5-AFD5-42C9-9C5C-A8FC81DD4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Gali 7/10</t>
      </text>
    </comment>
    <comment ref="F23" authorId="6" shapeId="0" xr:uid="{2FAD5C15-FD75-4950-9FBB-D03877F36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Gali 7/10</t>
      </text>
    </comment>
    <comment ref="M26" authorId="7" shapeId="0" xr:uid="{B87497B3-5FE4-4C22-B565-421320E6DE23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6" authorId="8" shapeId="0" xr:uid="{C0799AAD-F0FC-49F7-B53A-5A65ACBB773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27" authorId="9" shapeId="0" xr:uid="{4B381868-C97F-4637-9B65-A9C98A5EF37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7" authorId="10" shapeId="0" xr:uid="{A79270E0-8603-45FC-8052-06C7D42B2C7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N28" authorId="11" shapeId="0" xr:uid="{440FCA6E-2793-4B89-933D-AAB03534E9A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29" authorId="12" shapeId="0" xr:uid="{8F55796E-872F-43B6-9EA4-EFC7BCD6F119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29" authorId="13" shapeId="0" xr:uid="{C7C55876-AB30-4FD1-9198-76DDF3D3998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30" authorId="14" shapeId="0" xr:uid="{C9CEF098-3E28-4DC6-8130-6EF0FAEBBE1B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30" authorId="15" shapeId="0" xr:uid="{CC60610B-A0F5-4610-8413-211FAD80226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31" authorId="16" shapeId="0" xr:uid="{4ECD8A9B-A2D2-4349-9579-27EA1B3A43FA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31" authorId="17" shapeId="0" xr:uid="{FA09DBC8-32A7-4FA7-AE36-B9CA004091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J46" authorId="18" shapeId="0" xr:uid="{DA242AC2-DFDF-409C-B5B3-9C5FD324DE61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Radiologist working in the Product division (Shabshin)</t>
      </text>
    </comment>
    <comment ref="M60" authorId="19" shapeId="0" xr:uid="{E19A72DC-91A9-4E75-91EF-36BDDF31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0" authorId="20" shapeId="0" xr:uid="{856BBBE8-63C6-46AA-BC3F-76216A13805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1" authorId="21" shapeId="0" xr:uid="{3B067D2E-62AD-4233-833D-FF91D805C9E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1" authorId="22" shapeId="0" xr:uid="{96953D93-3B13-49EB-90EE-8BC52854401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2" authorId="23" shapeId="0" xr:uid="{FF8D4655-4A1C-40D3-8D4B-6E6BDC366F6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2" authorId="24" shapeId="0" xr:uid="{71EC62F2-8647-48C1-BC7A-DF402BC188C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3" authorId="25" shapeId="0" xr:uid="{CBF2EBC3-D1D5-4559-87E0-8F9E55F45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3" authorId="26" shapeId="0" xr:uid="{FB97593C-4FA5-4481-9DD3-37F45E51FD1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4" authorId="27" shapeId="0" xr:uid="{8F467572-D28E-4E52-8988-FC29B07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4" authorId="28" shapeId="0" xr:uid="{B15740C5-CF04-4D4A-941E-DD82F5C5D84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5" authorId="29" shapeId="0" xr:uid="{E3F83B98-1272-434E-A1E5-F68CD366DA9E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5" authorId="30" shapeId="0" xr:uid="{FA6650EA-1334-4E90-98B1-9FD9561EA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M66" authorId="31" shapeId="0" xr:uid="{25165074-9A6F-4BD2-928D-3C2125F2D7D0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Latest forecast</t>
      </text>
    </comment>
    <comment ref="N66" authorId="32" shapeId="0" xr:uid="{236216A7-5745-4542-A64A-18CBB08ADE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budget</t>
      </text>
    </comment>
    <comment ref="J80" authorId="33" shapeId="0" xr:uid="{AE5E6D65-23FB-48F0-AC7C-4E28193197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Inc. AI. 
Wo. IT, Finance, Source in Professional fees</t>
      </text>
    </comment>
    <comment ref="J99" authorId="34" shapeId="0" xr:uid="{4506C3E4-23CD-4314-8ECF-5E6513AF8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part of professional fees</t>
      </text>
    </comment>
    <comment ref="J100" authorId="35" shapeId="0" xr:uid="{ECB2E3BC-1613-4D1F-8488-B24421BAA63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part of professional fees</t>
      </text>
    </comment>
    <comment ref="N113" authorId="36" shapeId="0" xr:uid="{FF9EA9C7-C53A-491D-9A9F-4F9E67F76C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from [Division 1] +HIT</t>
      </text>
    </comment>
    <comment ref="J122" authorId="37" shapeId="0" xr:uid="{25E6CF83-5FF2-406E-9DD8-C3614262EA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Recruiting, import, other</t>
      </text>
    </comment>
    <comment ref="D172" authorId="38" shapeId="0" xr:uid="{290EFF20-9812-4556-862A-EBF456D441B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for VC and NH sites</t>
      </text>
    </comment>
    <comment ref="T211" authorId="39" shapeId="0" xr:uid="{B18570EB-2016-463D-BEB1-4B9F32C833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0.5% step down in SBC per head
</t>
      </text>
    </comment>
  </commentList>
</comments>
</file>

<file path=xl/sharedStrings.xml><?xml version="1.0" encoding="utf-8"?>
<sst xmlns="http://schemas.openxmlformats.org/spreadsheetml/2006/main" count="384" uniqueCount="266">
  <si>
    <t>CAGR</t>
  </si>
  <si>
    <t>Instrument</t>
  </si>
  <si>
    <t xml:space="preserve">Maintenance / Service </t>
  </si>
  <si>
    <t>AI</t>
  </si>
  <si>
    <t>Teleradiology</t>
  </si>
  <si>
    <t>Total Revenue</t>
  </si>
  <si>
    <t>% Growth</t>
  </si>
  <si>
    <t>COGS from AI</t>
  </si>
  <si>
    <t>COGS from Teleradiology</t>
  </si>
  <si>
    <t>COGS (AI &amp; Teleradiology)</t>
  </si>
  <si>
    <t>Depreciation of [Company Name] Subscription Revenue Systems</t>
  </si>
  <si>
    <t>COGS from [Company Name] Capex Systems</t>
  </si>
  <si>
    <t>COGS from System Maintenance &amp; Service</t>
  </si>
  <si>
    <t>Total COGS</t>
  </si>
  <si>
    <t>Gross Profit</t>
  </si>
  <si>
    <t>% Margin</t>
  </si>
  <si>
    <t>S&amp;M</t>
  </si>
  <si>
    <t>G&amp;A</t>
  </si>
  <si>
    <t>R&amp;D</t>
  </si>
  <si>
    <t>Operating Income/(Loss)</t>
  </si>
  <si>
    <t>D&amp;A</t>
  </si>
  <si>
    <t>EBITDA</t>
  </si>
  <si>
    <t>Stock-based Compensation</t>
  </si>
  <si>
    <t>Adj. EBITDA</t>
  </si>
  <si>
    <t>Other Adjustments</t>
  </si>
  <si>
    <t>Other Revenue</t>
  </si>
  <si>
    <t>Other</t>
  </si>
  <si>
    <t>Memo:</t>
  </si>
  <si>
    <t>$ in '000s</t>
  </si>
  <si>
    <t>FY24E</t>
  </si>
  <si>
    <t>FY25E</t>
  </si>
  <si>
    <t>FY26E</t>
  </si>
  <si>
    <t>FY27E</t>
  </si>
  <si>
    <t>1Q 2024</t>
  </si>
  <si>
    <t xml:space="preserve">U.S. </t>
  </si>
  <si>
    <t>EX-US</t>
  </si>
  <si>
    <t xml:space="preserve">Total </t>
  </si>
  <si>
    <t>Subscription Revenue Installs</t>
  </si>
  <si>
    <t>Subscription Revenue Installed Base</t>
  </si>
  <si>
    <t>Subscription Revenue Service Contract</t>
  </si>
  <si>
    <t>Capex Sales</t>
  </si>
  <si>
    <t>Capex Installed Base</t>
  </si>
  <si>
    <t>Capex Service Contract</t>
  </si>
  <si>
    <t>Total Installed Base</t>
  </si>
  <si>
    <t>Per Scan Price</t>
  </si>
  <si>
    <t>Scans/Day</t>
  </si>
  <si>
    <t>Days/Month</t>
  </si>
  <si>
    <t>Instrument Revenue Per Month</t>
  </si>
  <si>
    <t>Months per Year</t>
  </si>
  <si>
    <t>Per Instrument Recurring Revenue</t>
  </si>
  <si>
    <t>Subscription Revenue Revenue</t>
  </si>
  <si>
    <t>Per Instrument Price</t>
  </si>
  <si>
    <t>Capex Sales Revenue</t>
  </si>
  <si>
    <t>Instrument Revenue</t>
  </si>
  <si>
    <t>Maintaince/service Price</t>
  </si>
  <si>
    <t>Maintaince/service Revenue</t>
  </si>
  <si>
    <t>Connect</t>
  </si>
  <si>
    <t>% YoY Growth</t>
  </si>
  <si>
    <t>OEM</t>
  </si>
  <si>
    <t>Second Opinion</t>
  </si>
  <si>
    <t>Data Monetization</t>
  </si>
  <si>
    <t xml:space="preserve">Other revenue </t>
  </si>
  <si>
    <t xml:space="preserve">Total Revenue </t>
  </si>
  <si>
    <t>Recurring Revenue</t>
  </si>
  <si>
    <t>% of Total Revenue</t>
  </si>
  <si>
    <t>2024E Capex</t>
  </si>
  <si>
    <t>System Cost</t>
  </si>
  <si>
    <t>To Purchase 2024</t>
  </si>
  <si>
    <t>Advance Purchase 2023</t>
  </si>
  <si>
    <t>Product NPV</t>
  </si>
  <si>
    <t>Discount</t>
  </si>
  <si>
    <t>Year</t>
  </si>
  <si>
    <t>Revenue</t>
  </si>
  <si>
    <t>NPV</t>
  </si>
  <si>
    <t>Inflation</t>
  </si>
  <si>
    <t>Fully Loaded</t>
  </si>
  <si>
    <t>Stubbed for 2024</t>
  </si>
  <si>
    <t>Salary w/Benefits</t>
  </si>
  <si>
    <t>x</t>
  </si>
  <si>
    <t>% of US instruments sold by in-house reps</t>
  </si>
  <si>
    <t>y</t>
  </si>
  <si>
    <t>US Salespeople</t>
  </si>
  <si>
    <t>OUS Salespeople</t>
  </si>
  <si>
    <t>Marketing</t>
  </si>
  <si>
    <t>Marketing - Communications and Trade Shows</t>
  </si>
  <si>
    <t>Total S&amp;M Salary Costs</t>
  </si>
  <si>
    <t>Stubbing for 2Q-4Q 2024</t>
  </si>
  <si>
    <t>Non-Salary Expenses</t>
  </si>
  <si>
    <t>US In-house Sales Bonus</t>
  </si>
  <si>
    <t>US Sales Commissions</t>
  </si>
  <si>
    <t>Instrument Value</t>
  </si>
  <si>
    <t>OUS Salespeople Bonus</t>
  </si>
  <si>
    <t>Other Bonuses</t>
  </si>
  <si>
    <t>Travel</t>
  </si>
  <si>
    <t>Subcontractors</t>
  </si>
  <si>
    <t>Channel Fees</t>
  </si>
  <si>
    <t>Product Marketing &amp; Conferences</t>
  </si>
  <si>
    <t>Amortization of Intangible Assets</t>
  </si>
  <si>
    <t>Depreciation</t>
  </si>
  <si>
    <t>Stock Based Compensation</t>
  </si>
  <si>
    <t>Total Non-Salary Expenses</t>
  </si>
  <si>
    <t>Ex Commissions, Bonus &amp; SBC</t>
  </si>
  <si>
    <t>Total S&amp;M</t>
  </si>
  <si>
    <t>Product - Product</t>
  </si>
  <si>
    <t>Product - RA/QA</t>
  </si>
  <si>
    <t>Product - Medical</t>
  </si>
  <si>
    <t>Clinical</t>
  </si>
  <si>
    <t>AI - Product, UI/UX</t>
  </si>
  <si>
    <t>AI - RA/QA</t>
  </si>
  <si>
    <t>Total R&amp;D Headcount</t>
  </si>
  <si>
    <t>Total R&amp;D Salary Costs</t>
  </si>
  <si>
    <t>Bonus</t>
  </si>
  <si>
    <t>Total R&amp;D Compensation</t>
  </si>
  <si>
    <t>Contract Labor</t>
  </si>
  <si>
    <t>Professional Fee</t>
  </si>
  <si>
    <t>R&amp;D Production</t>
  </si>
  <si>
    <t>Software and IT Expense</t>
  </si>
  <si>
    <t>Travel &amp; Other Expenses (incl. Insurance)</t>
  </si>
  <si>
    <t>Grants</t>
  </si>
  <si>
    <t>Shutting down [Company Name] Korea?</t>
  </si>
  <si>
    <t>Total R&amp;D Expense</t>
  </si>
  <si>
    <t>0: No; 1: Yes</t>
  </si>
  <si>
    <t>Shuttering of [Company Name] Korea</t>
  </si>
  <si>
    <t>PF R&amp;D Expense</t>
  </si>
  <si>
    <t>Executive Management</t>
  </si>
  <si>
    <t>USARAD Management</t>
  </si>
  <si>
    <t>[Company Name] Korea Chairman</t>
  </si>
  <si>
    <t>Admin</t>
  </si>
  <si>
    <t>[Company Name] Korea Admin</t>
  </si>
  <si>
    <t>Finance</t>
  </si>
  <si>
    <t>FP&amp;A</t>
  </si>
  <si>
    <t>Controller</t>
  </si>
  <si>
    <t>USARAD Finance</t>
  </si>
  <si>
    <t>[Company Name] Korea</t>
  </si>
  <si>
    <t>Legal</t>
  </si>
  <si>
    <t>Counsel</t>
  </si>
  <si>
    <t>HR</t>
  </si>
  <si>
    <t>HR Manager</t>
  </si>
  <si>
    <t>Recruiter</t>
  </si>
  <si>
    <t>IT &amp; Cyber</t>
  </si>
  <si>
    <t>Director of IT</t>
  </si>
  <si>
    <t>IT Support Specialist</t>
  </si>
  <si>
    <t>USARAD Tech Support</t>
  </si>
  <si>
    <t>Tech &amp; OEM Technician</t>
  </si>
  <si>
    <t>Operations &amp; Unallocated Production</t>
  </si>
  <si>
    <t>Product - Operation</t>
  </si>
  <si>
    <t>USARAD - Operations</t>
  </si>
  <si>
    <t>USARAD - Credentialing</t>
  </si>
  <si>
    <t>Total G&amp;A Headcount</t>
  </si>
  <si>
    <t>Total G&amp;A Salary Costs</t>
  </si>
  <si>
    <t>Total G&amp;A Compensation</t>
  </si>
  <si>
    <t>Annual Increase</t>
  </si>
  <si>
    <t>Directors and Officers' Insurance</t>
  </si>
  <si>
    <t>Professional Fees</t>
  </si>
  <si>
    <t>Subscription</t>
  </si>
  <si>
    <t>Rent and Maintenance</t>
  </si>
  <si>
    <t>Legal Fees</t>
  </si>
  <si>
    <t>Insurance &amp; Bank Fees</t>
  </si>
  <si>
    <t>Other Expenses</t>
  </si>
  <si>
    <t>Director Fee</t>
  </si>
  <si>
    <t>Total Non-employee Costs</t>
  </si>
  <si>
    <t>Total G&amp;A Expense</t>
  </si>
  <si>
    <t>Total OPEX Headcount</t>
  </si>
  <si>
    <t>Total OPEX</t>
  </si>
  <si>
    <t>S&amp;M SBC per head</t>
  </si>
  <si>
    <t>Sales &amp; Customer Success</t>
  </si>
  <si>
    <t>[Division 1] Installs</t>
  </si>
  <si>
    <t>[Division 1] Installed Base</t>
  </si>
  <si>
    <t>[Division 1] Service Contract</t>
  </si>
  <si>
    <t>[Division 1] Revenue</t>
  </si>
  <si>
    <t>FY28E</t>
  </si>
  <si>
    <t>FY29E</t>
  </si>
  <si>
    <t>FY30E</t>
  </si>
  <si>
    <t>US X</t>
  </si>
  <si>
    <t>US 2.2</t>
  </si>
  <si>
    <t>ROW X</t>
  </si>
  <si>
    <t>ROW 2.2</t>
  </si>
  <si>
    <t>Territory</t>
  </si>
  <si>
    <t>Units Quantity</t>
  </si>
  <si>
    <t>Weighted Price</t>
  </si>
  <si>
    <t>Product - Customer Support Headcount</t>
  </si>
  <si>
    <t>Product - Operations Salary</t>
  </si>
  <si>
    <t>Product - Operations Compensation</t>
  </si>
  <si>
    <t>Product - Operations Headcount</t>
  </si>
  <si>
    <t>USARAD - Operations Headcount</t>
  </si>
  <si>
    <t>USARAD - Operations Salary</t>
  </si>
  <si>
    <t>USARAD - Operations Compensation</t>
  </si>
  <si>
    <t>Product - Customer Success</t>
  </si>
  <si>
    <t>Product - R&amp;D, SW, Algo, V&amp;V, Mechanical</t>
  </si>
  <si>
    <t>AI - Marketplace</t>
  </si>
  <si>
    <t>Overhead</t>
  </si>
  <si>
    <t>Adjustment</t>
  </si>
  <si>
    <t>AI - R&amp;D, Data Analytics, Research Enigineering, SW, DevOps</t>
  </si>
  <si>
    <t>Clinical Trials &amp; Regulatory expenses</t>
  </si>
  <si>
    <t>[Acquisition] Salespeople</t>
  </si>
  <si>
    <t>AI - Customer Success</t>
  </si>
  <si>
    <t>Accountant and Payroll Controller</t>
  </si>
  <si>
    <t>HR Admin</t>
  </si>
  <si>
    <t>Total COGS Expense</t>
  </si>
  <si>
    <t>COGS</t>
  </si>
  <si>
    <t>Product - Customer Support Salary</t>
  </si>
  <si>
    <t>Product - Customer Support Compensation</t>
  </si>
  <si>
    <t>Total COGS Salary Costs</t>
  </si>
  <si>
    <t>Total COGS Non-employee Costs</t>
  </si>
  <si>
    <t>AI - Delivery Headcount</t>
  </si>
  <si>
    <t>AI - Delivery Salary</t>
  </si>
  <si>
    <t>AI - Delivery Compensation</t>
  </si>
  <si>
    <t>Total COGS Headcount</t>
  </si>
  <si>
    <t>[Acquisition] - Customer Support Headcount</t>
  </si>
  <si>
    <t>[Acquisition] - Customer Support</t>
  </si>
  <si>
    <t>[Acquisition] - Customer Support Compensation</t>
  </si>
  <si>
    <t>AI COGS Non-employee Costs</t>
  </si>
  <si>
    <t>AI COGS Total</t>
  </si>
  <si>
    <t>AI GM.</t>
  </si>
  <si>
    <t>AI- [Acquisition]</t>
  </si>
  <si>
    <t>[Acquisition] Non-employee Costs</t>
  </si>
  <si>
    <t>[Acquisition] COGS Total</t>
  </si>
  <si>
    <t>[Acquisition] GM.</t>
  </si>
  <si>
    <t>Product COGS Total</t>
  </si>
  <si>
    <t>2026 Cost</t>
  </si>
  <si>
    <t>2027 &amp; Beyond Cost</t>
  </si>
  <si>
    <t>USARAD Non-employee Costs</t>
  </si>
  <si>
    <t>USARAD COGS Total</t>
  </si>
  <si>
    <t>USARAD GM.</t>
  </si>
  <si>
    <t>USARAD Rev.</t>
  </si>
  <si>
    <t>GM. Improvement</t>
  </si>
  <si>
    <t>Product GM.</t>
  </si>
  <si>
    <t>Product Rev.</t>
  </si>
  <si>
    <t>AI Rev.</t>
  </si>
  <si>
    <t>[Acquisition] Rev.</t>
  </si>
  <si>
    <t>Increase</t>
  </si>
  <si>
    <t>Total COGS Other Costs</t>
  </si>
  <si>
    <t>Apps Manager</t>
  </si>
  <si>
    <t>[Division 1] Image Read fee per read</t>
  </si>
  <si>
    <t>[Division 1] Buildout (Construction, shielding, Physicist)</t>
  </si>
  <si>
    <t>Installations of [Company Name] Subscription Revenue Systems</t>
  </si>
  <si>
    <t>Installations of [Company Name] Capex Systems</t>
  </si>
  <si>
    <t>COGS from Shipping</t>
  </si>
  <si>
    <t>SW, Storage, Overhead</t>
  </si>
  <si>
    <t>Other g.</t>
  </si>
  <si>
    <t>Office Expense</t>
  </si>
  <si>
    <t>HR &amp; Recruiting</t>
  </si>
  <si>
    <t>Basis+ 20% recruitment US</t>
  </si>
  <si>
    <t>COGS Other (Product Salaries, shipping, Installations, SW, Overhead, [Division 1] Costs)</t>
  </si>
  <si>
    <t>OPEX %</t>
  </si>
  <si>
    <t>Channel Partner</t>
  </si>
  <si>
    <t>2026 Results are according to 2026 approved AOP</t>
  </si>
  <si>
    <t>Revenues Growth</t>
  </si>
  <si>
    <t>5.a</t>
  </si>
  <si>
    <t>5.b</t>
  </si>
  <si>
    <r>
      <rPr>
        <u/>
        <sz val="11"/>
        <color theme="1"/>
        <rFont val="Arial"/>
        <family val="2"/>
      </rPr>
      <t xml:space="preserve">AI&amp;HIT, Telerad and OEM Division revenues ramp-up- </t>
    </r>
    <r>
      <rPr>
        <sz val="11"/>
        <color theme="1"/>
        <rFont val="Arial"/>
        <family val="2"/>
      </rPr>
      <t>The increase in revenues from 27-30 is a moderate growth expected based on higher penetration to the market, increase in current custpomer base volumes a price increases.</t>
    </r>
  </si>
  <si>
    <r>
      <rPr>
        <u/>
        <sz val="11"/>
        <color theme="1"/>
        <rFont val="Arial"/>
        <family val="2"/>
      </rPr>
      <t>[Acquisition]-</t>
    </r>
    <r>
      <rPr>
        <sz val="11"/>
        <color theme="1"/>
        <rFont val="Arial"/>
        <family val="2"/>
      </rPr>
      <t xml:space="preserve"> On Dec. 25 [Company Name] aquired [Acquisition] as part of its vision provide an E2E solution and to be a ONE-STOP-SHOP &gt; Providing RIS and PACS SW.</t>
    </r>
  </si>
  <si>
    <r>
      <rPr>
        <u/>
        <sz val="11"/>
        <color theme="1"/>
        <rFont val="Arial"/>
        <family val="2"/>
      </rPr>
      <t>[Division 1] ([Division 1])-</t>
    </r>
    <r>
      <rPr>
        <sz val="11"/>
        <color theme="1"/>
        <rFont val="Arial"/>
        <family val="2"/>
      </rPr>
      <t xml:space="preserve"> New business model in the US only with medical service providers. The medical service providers operates in [Company Name]'s name an imaging facility as part of Works' comp., Imaging room at a Nursing homes or County Jails. The medical service provider is being compensated through a carrier/insurance company. Manox is charging the medical service provider:
[Company Name] &gt; Medical serivce provider &gt; Carrier
This is a Subscription Revenue based model with an avg. scans of 180 per month with an avg. price of $180 per scan.</t>
    </r>
  </si>
  <si>
    <r>
      <rPr>
        <u/>
        <sz val="11"/>
        <color theme="1"/>
        <rFont val="Arial"/>
        <family val="2"/>
      </rPr>
      <t>Product BOM-</t>
    </r>
    <r>
      <rPr>
        <sz val="11"/>
        <color theme="1"/>
        <rFont val="Arial"/>
        <family val="2"/>
      </rPr>
      <t xml:space="preserve"> Please see 'Company Name COGS+OPEX Build' sheet cells D,E,175,176 with updated Product BOM cost</t>
    </r>
  </si>
  <si>
    <r>
      <rPr>
        <u/>
        <sz val="11"/>
        <color theme="1"/>
        <rFont val="Arial"/>
        <family val="2"/>
      </rPr>
      <t>Product Prices-</t>
    </r>
    <r>
      <rPr>
        <sz val="11"/>
        <color theme="1"/>
        <rFont val="Arial"/>
        <family val="2"/>
      </rPr>
      <t xml:space="preserve"> Please see 'Capex Price Weighted AVG.' sheet</t>
    </r>
  </si>
  <si>
    <r>
      <rPr>
        <u/>
        <sz val="11"/>
        <color theme="1"/>
        <rFont val="Arial"/>
        <family val="2"/>
      </rPr>
      <t>Costs-</t>
    </r>
    <r>
      <rPr>
        <sz val="11"/>
        <color theme="1"/>
        <rFont val="Arial"/>
        <family val="2"/>
      </rPr>
      <t xml:space="preserve"> On sheet 'Company Name COGS+OPEX Build', all of the salaries costs, annual increases, gm.%, bonus assumpions were updated.</t>
    </r>
  </si>
  <si>
    <r>
      <rPr>
        <u/>
        <sz val="11"/>
        <color theme="1"/>
        <rFont val="Arial"/>
        <family val="2"/>
      </rPr>
      <t>Product Quantity-</t>
    </r>
    <r>
      <rPr>
        <sz val="11"/>
        <color theme="1"/>
        <rFont val="Arial"/>
        <family val="2"/>
      </rPr>
      <t xml:space="preserve"> Units increase rate on 100 units each year. If in 2026 250 sold, on 2027 450 units sold and so on. Subscription Revenue/Capex ratio sold is approx. on ~55% Capex ~45% Subscription Revenue &gt; [Company Name] has two manufacturers that can support the quantities: Manufacturer 1 in IL and Manufacturer 2 in Thailand.</t>
    </r>
  </si>
  <si>
    <t>msaas</t>
  </si>
  <si>
    <t>capex</t>
  </si>
  <si>
    <t xml:space="preserve">2025 Results were adjusted to the latest estimate &gt; will be updated when Q425 financials will be released </t>
  </si>
  <si>
    <t>WC</t>
  </si>
  <si>
    <t>Capex</t>
  </si>
  <si>
    <t>Tax</t>
  </si>
  <si>
    <t>Free Cash Flow</t>
  </si>
  <si>
    <t>Financing, net</t>
  </si>
  <si>
    <t>WC rate from 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</si>
</sst>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&quot;A&quot;"/>
    <numFmt numFmtId="165" formatCode="0&quot;E&quot;"/>
    <numFmt numFmtId="166" formatCode="#,##0_);\(#,##0\)_);\-_);@_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#,##0_);\(#,##0\)_);&quot;-&quot;_)"/>
    <numFmt numFmtId="172" formatCode="#,##0.0_);\(#,##0.0\);#,##0.0_);@_)"/>
    <numFmt numFmtId="173" formatCode="_(* #,##0_);_(* \(#,##0\);_(* &quot;-&quot;??_);_(@_)"/>
    <numFmt numFmtId="174" formatCode="#,##0_);\(#,##0\);#,##0_);@_)"/>
    <numFmt numFmtId="175" formatCode="&quot;$&quot;#,##0.0_);\(&quot;$&quot;#,##0.0\)"/>
    <numFmt numFmtId="176" formatCode="&quot;$&quot;#,##0.0_);\(&quot;$&quot;#,##0.0\);&quot;$&quot;#,##0.0_);@_)"/>
    <numFmt numFmtId="177" formatCode="#,##0.0_);\(#,##0.0\);&quot;-&quot;"/>
    <numFmt numFmtId="178" formatCode="_-* #,##0.00_-;\-* #,##0.00_-;_-* &quot;-&quot;??_-;_-@_-"/>
    <numFmt numFmtId="179" formatCode="_-* #,##0.0_-;\-* #,##0.0_-;_-* &quot;-&quot;??_-;_-@_-"/>
    <numFmt numFmtId="180" formatCode="_(&quot;$&quot;* #,##0_);_(&quot;$&quot;* \(#,##0\);_(&quot;$&quot;* &quot;-&quot;??_);_(@_)"/>
    <numFmt numFmtId="181" formatCode="&quot;$&quot;#,##0_);\(&quot;$&quot;#,##0\);&quot;$&quot;#,##0_);@_)"/>
    <numFmt numFmtId="182" formatCode="_ &quot;₪&quot;\ * #,##0.00_ ;_ &quot;₪&quot;\ * \-#,##0.00_ ;_ &quot;₪&quot;\ * &quot;-&quot;??_ ;_ @_ "/>
    <numFmt numFmtId="183" formatCode="#,##0.00_);\(#,##0.00\);#,##0.00_);@_)"/>
    <numFmt numFmtId="184" formatCode="0\E"/>
    <numFmt numFmtId="185" formatCode="0.0&quot; mo&quot;"/>
    <numFmt numFmtId="186" formatCode="&quot;$&quot;#,##0.00_);\(&quot;$&quot;#,##0.00\);&quot;$&quot;#,##0.00_);@_)"/>
    <numFmt numFmtId="187" formatCode="&quot;Project &quot;0"/>
    <numFmt numFmtId="188" formatCode="0.0%"/>
    <numFmt numFmtId="189" formatCode="&quot;$&quot;#,##0.0000_);\(&quot;$&quot;#,##0.0000\)"/>
    <numFmt numFmtId="190" formatCode="0.0%;\(0.0%\)"/>
    <numFmt numFmtId="191" formatCode="_-* #,##0_-;\-* #,##0_-;_-* &quot;-&quot;??_-;_-@_-"/>
    <numFmt numFmtId="192" formatCode="_(* #,##0.0_);_(* \(#,##0.0\);_(* &quot;-&quot;??_);_(@_)"/>
    <numFmt numFmtId="193" formatCode="#,##0.0_);\(#,##0.0\)_);\-_);@_)"/>
    <numFmt numFmtId="194" formatCode="_([$$-409]* #,##0_);_([$$-409]* \(#,##0\);_([$$-409]* &quot;-&quot;??_);_(@_)"/>
    <numFmt numFmtId="195" formatCode="#,##0.0_);\(#,##0.0\)_)"/>
  </numFmts>
  <fonts count="33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1"/>
      <color rgb="FF000000"/>
      <name val="Arial"/>
      <family val="2"/>
    </font>
    <font>
      <sz val="11"/>
      <color rgb="FF660066"/>
      <name val="Arial"/>
      <family val="2"/>
    </font>
    <font>
      <sz val="11"/>
      <color rgb="FF0000FF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ptos Narrow"/>
      <family val="2"/>
      <scheme val="minor"/>
    </font>
    <font>
      <b/>
      <sz val="11"/>
      <color rgb="FF0000FF"/>
      <name val="Arial"/>
      <family val="2"/>
    </font>
    <font>
      <i/>
      <sz val="11"/>
      <name val="Arial"/>
      <family val="2"/>
    </font>
    <font>
      <i/>
      <sz val="11"/>
      <color rgb="FF0000FF"/>
      <name val="Arial"/>
      <family val="2"/>
    </font>
    <font>
      <sz val="11"/>
      <color rgb="FF008000"/>
      <name val="Arial"/>
      <family val="2"/>
    </font>
    <font>
      <i/>
      <sz val="11"/>
      <color rgb="FFFF0000"/>
      <name val="Arial"/>
      <family val="2"/>
    </font>
    <font>
      <sz val="10"/>
      <color rgb="FF0000FF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A7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rgb="FF000000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9" fontId="5" fillId="0" borderId="0" applyFont="0" applyFill="0" applyBorder="0" applyAlignment="0" applyProtection="0"/>
    <xf numFmtId="0" fontId="9" fillId="3" borderId="0" applyNumberFormat="0" applyFill="0" applyBorder="0" applyAlignment="0" applyProtection="0">
      <alignment horizontal="right"/>
    </xf>
    <xf numFmtId="0" fontId="16" fillId="0" borderId="0"/>
    <xf numFmtId="0" fontId="4" fillId="0" borderId="0"/>
    <xf numFmtId="9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2" fontId="2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76">
    <xf numFmtId="0" fontId="0" fillId="0" borderId="0" xfId="0"/>
    <xf numFmtId="0" fontId="6" fillId="2" borderId="0" xfId="0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0" fillId="0" borderId="1" xfId="0" applyFont="1" applyBorder="1" applyAlignment="1">
      <alignment vertical="center"/>
    </xf>
    <xf numFmtId="167" fontId="11" fillId="0" borderId="0" xfId="2" applyNumberFormat="1" applyFont="1" applyFill="1" applyBorder="1" applyAlignment="1">
      <alignment horizontal="right"/>
    </xf>
    <xf numFmtId="0" fontId="11" fillId="0" borderId="0" xfId="0" applyFont="1" applyAlignment="1">
      <alignment horizontal="left" vertical="center" indent="1"/>
    </xf>
    <xf numFmtId="0" fontId="8" fillId="0" borderId="0" xfId="0" applyFont="1"/>
    <xf numFmtId="0" fontId="8" fillId="0" borderId="0" xfId="0" applyFont="1" applyAlignment="1">
      <alignment horizontal="left" vertical="center" indent="2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/>
    <xf numFmtId="170" fontId="0" fillId="0" borderId="0" xfId="0" applyNumberFormat="1"/>
    <xf numFmtId="169" fontId="0" fillId="0" borderId="0" xfId="0" applyNumberFormat="1"/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8" fillId="0" borderId="2" xfId="0" applyFont="1" applyBorder="1"/>
    <xf numFmtId="0" fontId="10" fillId="0" borderId="0" xfId="0" applyFont="1"/>
    <xf numFmtId="167" fontId="0" fillId="0" borderId="0" xfId="0" applyNumberFormat="1"/>
    <xf numFmtId="0" fontId="17" fillId="0" borderId="0" xfId="4" applyFont="1"/>
    <xf numFmtId="0" fontId="5" fillId="0" borderId="0" xfId="4" applyFont="1"/>
    <xf numFmtId="0" fontId="5" fillId="0" borderId="0" xfId="4" applyFont="1" applyAlignment="1">
      <alignment horizontal="center"/>
    </xf>
    <xf numFmtId="9" fontId="18" fillId="0" borderId="0" xfId="5" applyFont="1"/>
    <xf numFmtId="9" fontId="5" fillId="0" borderId="0" xfId="5" applyFont="1"/>
    <xf numFmtId="179" fontId="5" fillId="6" borderId="0" xfId="6" applyNumberFormat="1" applyFont="1" applyFill="1" applyBorder="1" applyAlignment="1">
      <alignment horizontal="right"/>
    </xf>
    <xf numFmtId="177" fontId="5" fillId="6" borderId="0" xfId="6" applyNumberFormat="1" applyFont="1" applyFill="1" applyBorder="1" applyAlignment="1">
      <alignment horizontal="center"/>
    </xf>
    <xf numFmtId="0" fontId="18" fillId="0" borderId="0" xfId="4" applyFont="1"/>
    <xf numFmtId="177" fontId="18" fillId="6" borderId="0" xfId="6" applyNumberFormat="1" applyFont="1" applyFill="1" applyBorder="1" applyAlignment="1">
      <alignment horizontal="right"/>
    </xf>
    <xf numFmtId="0" fontId="5" fillId="0" borderId="0" xfId="4" applyFont="1" applyAlignment="1">
      <alignment horizontal="right"/>
    </xf>
    <xf numFmtId="177" fontId="5" fillId="6" borderId="0" xfId="6" applyNumberFormat="1" applyFont="1" applyFill="1" applyBorder="1" applyAlignment="1">
      <alignment horizontal="right"/>
    </xf>
    <xf numFmtId="174" fontId="5" fillId="0" borderId="0" xfId="4" applyNumberFormat="1" applyFont="1"/>
    <xf numFmtId="174" fontId="5" fillId="0" borderId="0" xfId="4" applyNumberFormat="1" applyFont="1" applyAlignment="1">
      <alignment horizontal="right"/>
    </xf>
    <xf numFmtId="179" fontId="18" fillId="0" borderId="0" xfId="4" applyNumberFormat="1" applyFont="1" applyAlignment="1">
      <alignment horizontal="right"/>
    </xf>
    <xf numFmtId="0" fontId="5" fillId="0" borderId="1" xfId="4" applyFont="1" applyBorder="1" applyAlignment="1">
      <alignment horizontal="left" indent="1"/>
    </xf>
    <xf numFmtId="0" fontId="5" fillId="0" borderId="1" xfId="4" applyFont="1" applyBorder="1"/>
    <xf numFmtId="0" fontId="5" fillId="0" borderId="0" xfId="4" applyFont="1" applyAlignment="1">
      <alignment horizontal="left" indent="1"/>
    </xf>
    <xf numFmtId="174" fontId="15" fillId="0" borderId="0" xfId="4" applyNumberFormat="1" applyFont="1"/>
    <xf numFmtId="174" fontId="5" fillId="0" borderId="0" xfId="4" applyNumberFormat="1" applyFont="1" applyAlignment="1">
      <alignment horizontal="center"/>
    </xf>
    <xf numFmtId="174" fontId="13" fillId="0" borderId="0" xfId="4" applyNumberFormat="1" applyFont="1"/>
    <xf numFmtId="181" fontId="13" fillId="0" borderId="0" xfId="4" applyNumberFormat="1" applyFont="1"/>
    <xf numFmtId="181" fontId="5" fillId="0" borderId="0" xfId="4" applyNumberFormat="1" applyFont="1" applyAlignment="1">
      <alignment horizontal="center"/>
    </xf>
    <xf numFmtId="181" fontId="5" fillId="0" borderId="0" xfId="4" applyNumberFormat="1" applyFont="1"/>
    <xf numFmtId="0" fontId="18" fillId="0" borderId="1" xfId="4" applyFont="1" applyBorder="1" applyAlignment="1">
      <alignment horizontal="left"/>
    </xf>
    <xf numFmtId="181" fontId="18" fillId="0" borderId="1" xfId="4" applyNumberFormat="1" applyFont="1" applyBorder="1"/>
    <xf numFmtId="5" fontId="5" fillId="0" borderId="0" xfId="4" applyNumberFormat="1" applyFont="1"/>
    <xf numFmtId="0" fontId="20" fillId="0" borderId="0" xfId="4" applyFont="1"/>
    <xf numFmtId="0" fontId="21" fillId="0" borderId="0" xfId="4" applyFont="1"/>
    <xf numFmtId="0" fontId="20" fillId="0" borderId="1" xfId="4" applyFont="1" applyBorder="1"/>
    <xf numFmtId="0" fontId="21" fillId="0" borderId="1" xfId="4" applyFont="1" applyBorder="1"/>
    <xf numFmtId="0" fontId="21" fillId="0" borderId="0" xfId="4" applyFont="1" applyAlignment="1">
      <alignment horizontal="left" indent="1"/>
    </xf>
    <xf numFmtId="180" fontId="5" fillId="0" borderId="0" xfId="4" applyNumberFormat="1" applyFont="1"/>
    <xf numFmtId="0" fontId="24" fillId="0" borderId="0" xfId="4" applyFont="1"/>
    <xf numFmtId="0" fontId="5" fillId="0" borderId="8" xfId="4" applyFont="1" applyBorder="1"/>
    <xf numFmtId="0" fontId="5" fillId="0" borderId="9" xfId="4" applyFont="1" applyBorder="1"/>
    <xf numFmtId="174" fontId="5" fillId="0" borderId="9" xfId="4" applyNumberFormat="1" applyFont="1" applyBorder="1"/>
    <xf numFmtId="0" fontId="17" fillId="0" borderId="10" xfId="4" applyFont="1" applyBorder="1" applyAlignment="1">
      <alignment horizontal="left" indent="1"/>
    </xf>
    <xf numFmtId="0" fontId="5" fillId="0" borderId="11" xfId="4" applyFont="1" applyBorder="1"/>
    <xf numFmtId="167" fontId="17" fillId="0" borderId="11" xfId="4" applyNumberFormat="1" applyFont="1" applyBorder="1"/>
    <xf numFmtId="0" fontId="5" fillId="0" borderId="2" xfId="4" applyFont="1" applyBorder="1"/>
    <xf numFmtId="167" fontId="17" fillId="0" borderId="2" xfId="4" applyNumberFormat="1" applyFont="1" applyBorder="1"/>
    <xf numFmtId="9" fontId="5" fillId="0" borderId="2" xfId="5" applyFont="1" applyBorder="1"/>
    <xf numFmtId="167" fontId="17" fillId="0" borderId="12" xfId="4" applyNumberFormat="1" applyFont="1" applyBorder="1"/>
    <xf numFmtId="7" fontId="5" fillId="0" borderId="0" xfId="4" applyNumberFormat="1" applyFont="1"/>
    <xf numFmtId="6" fontId="5" fillId="0" borderId="0" xfId="4" applyNumberFormat="1" applyFont="1"/>
    <xf numFmtId="0" fontId="18" fillId="9" borderId="0" xfId="4" applyFont="1" applyFill="1"/>
    <xf numFmtId="0" fontId="5" fillId="9" borderId="0" xfId="4" applyFont="1" applyFill="1"/>
    <xf numFmtId="7" fontId="18" fillId="0" borderId="1" xfId="4" applyNumberFormat="1" applyFont="1" applyBorder="1"/>
    <xf numFmtId="5" fontId="5" fillId="0" borderId="1" xfId="4" applyNumberFormat="1" applyFont="1" applyBorder="1"/>
    <xf numFmtId="183" fontId="17" fillId="0" borderId="0" xfId="4" applyNumberFormat="1" applyFont="1"/>
    <xf numFmtId="5" fontId="5" fillId="0" borderId="13" xfId="4" applyNumberFormat="1" applyFont="1" applyBorder="1"/>
    <xf numFmtId="9" fontId="17" fillId="0" borderId="0" xfId="5" applyFont="1" applyFill="1"/>
    <xf numFmtId="0" fontId="4" fillId="0" borderId="0" xfId="4"/>
    <xf numFmtId="0" fontId="18" fillId="7" borderId="0" xfId="4" applyFont="1" applyFill="1" applyAlignment="1">
      <alignment horizontal="left"/>
    </xf>
    <xf numFmtId="0" fontId="5" fillId="7" borderId="0" xfId="4" applyFont="1" applyFill="1"/>
    <xf numFmtId="173" fontId="5" fillId="7" borderId="0" xfId="6" applyNumberFormat="1" applyFont="1" applyFill="1" applyBorder="1" applyAlignment="1">
      <alignment horizontal="right"/>
    </xf>
    <xf numFmtId="173" fontId="18" fillId="7" borderId="0" xfId="6" applyNumberFormat="1" applyFont="1" applyFill="1" applyBorder="1" applyAlignment="1">
      <alignment horizontal="right"/>
    </xf>
    <xf numFmtId="173" fontId="5" fillId="7" borderId="0" xfId="4" applyNumberFormat="1" applyFont="1" applyFill="1" applyAlignment="1">
      <alignment horizontal="right"/>
    </xf>
    <xf numFmtId="0" fontId="18" fillId="7" borderId="0" xfId="4" applyFont="1" applyFill="1"/>
    <xf numFmtId="0" fontId="18" fillId="4" borderId="1" xfId="4" applyFont="1" applyFill="1" applyBorder="1"/>
    <xf numFmtId="0" fontId="5" fillId="4" borderId="1" xfId="4" applyFont="1" applyFill="1" applyBorder="1"/>
    <xf numFmtId="173" fontId="5" fillId="4" borderId="1" xfId="6" applyNumberFormat="1" applyFont="1" applyFill="1" applyBorder="1" applyAlignment="1">
      <alignment horizontal="right"/>
    </xf>
    <xf numFmtId="173" fontId="18" fillId="4" borderId="1" xfId="6" applyNumberFormat="1" applyFont="1" applyFill="1" applyBorder="1" applyAlignment="1">
      <alignment horizontal="right"/>
    </xf>
    <xf numFmtId="173" fontId="5" fillId="4" borderId="1" xfId="4" applyNumberFormat="1" applyFont="1" applyFill="1" applyBorder="1" applyAlignment="1">
      <alignment horizontal="right"/>
    </xf>
    <xf numFmtId="0" fontId="18" fillId="4" borderId="0" xfId="4" applyFont="1" applyFill="1"/>
    <xf numFmtId="0" fontId="5" fillId="4" borderId="0" xfId="4" applyFont="1" applyFill="1"/>
    <xf numFmtId="173" fontId="5" fillId="4" borderId="0" xfId="6" applyNumberFormat="1" applyFont="1" applyFill="1" applyBorder="1" applyAlignment="1">
      <alignment horizontal="right"/>
    </xf>
    <xf numFmtId="173" fontId="18" fillId="4" borderId="0" xfId="6" applyNumberFormat="1" applyFont="1" applyFill="1" applyBorder="1" applyAlignment="1">
      <alignment horizontal="right"/>
    </xf>
    <xf numFmtId="173" fontId="5" fillId="4" borderId="0" xfId="4" applyNumberFormat="1" applyFont="1" applyFill="1" applyAlignment="1">
      <alignment horizontal="right"/>
    </xf>
    <xf numFmtId="174" fontId="5" fillId="0" borderId="0" xfId="6" applyNumberFormat="1" applyFont="1" applyFill="1" applyBorder="1" applyAlignment="1">
      <alignment horizontal="right"/>
    </xf>
    <xf numFmtId="174" fontId="18" fillId="0" borderId="0" xfId="6" applyNumberFormat="1" applyFont="1" applyFill="1" applyBorder="1" applyAlignment="1">
      <alignment horizontal="right"/>
    </xf>
    <xf numFmtId="180" fontId="5" fillId="0" borderId="1" xfId="5" applyNumberFormat="1" applyFont="1" applyFill="1" applyBorder="1" applyAlignment="1">
      <alignment horizontal="right"/>
    </xf>
    <xf numFmtId="174" fontId="5" fillId="0" borderId="1" xfId="6" applyNumberFormat="1" applyFont="1" applyFill="1" applyBorder="1" applyAlignment="1">
      <alignment horizontal="right"/>
    </xf>
    <xf numFmtId="180" fontId="18" fillId="0" borderId="1" xfId="7" applyNumberFormat="1" applyFont="1" applyFill="1" applyBorder="1" applyAlignment="1">
      <alignment horizontal="right"/>
    </xf>
    <xf numFmtId="0" fontId="4" fillId="0" borderId="1" xfId="4" applyBorder="1"/>
    <xf numFmtId="180" fontId="18" fillId="0" borderId="1" xfId="5" applyNumberFormat="1" applyFont="1" applyFill="1" applyBorder="1" applyAlignment="1">
      <alignment horizontal="right"/>
    </xf>
    <xf numFmtId="180" fontId="18" fillId="0" borderId="0" xfId="5" applyNumberFormat="1" applyFont="1" applyFill="1" applyBorder="1" applyAlignment="1">
      <alignment horizontal="right"/>
    </xf>
    <xf numFmtId="180" fontId="18" fillId="0" borderId="0" xfId="7" applyNumberFormat="1" applyFont="1" applyFill="1" applyBorder="1" applyAlignment="1">
      <alignment horizontal="right"/>
    </xf>
    <xf numFmtId="180" fontId="18" fillId="0" borderId="0" xfId="4" applyNumberFormat="1" applyFont="1"/>
    <xf numFmtId="0" fontId="18" fillId="0" borderId="1" xfId="4" applyFont="1" applyBorder="1"/>
    <xf numFmtId="180" fontId="18" fillId="0" borderId="1" xfId="7" applyNumberFormat="1" applyFont="1" applyFill="1" applyBorder="1" applyAlignment="1"/>
    <xf numFmtId="180" fontId="5" fillId="0" borderId="1" xfId="5" applyNumberFormat="1" applyFont="1" applyFill="1" applyBorder="1" applyAlignment="1"/>
    <xf numFmtId="180" fontId="5" fillId="0" borderId="1" xfId="7" applyNumberFormat="1" applyFont="1" applyFill="1" applyBorder="1" applyAlignment="1"/>
    <xf numFmtId="180" fontId="18" fillId="0" borderId="1" xfId="5" applyNumberFormat="1" applyFont="1" applyFill="1" applyBorder="1" applyAlignment="1"/>
    <xf numFmtId="9" fontId="17" fillId="0" borderId="0" xfId="5" applyFont="1" applyFill="1" applyAlignment="1">
      <alignment horizontal="left" indent="1"/>
    </xf>
    <xf numFmtId="9" fontId="5" fillId="0" borderId="0" xfId="5" applyFont="1" applyFill="1"/>
    <xf numFmtId="180" fontId="5" fillId="0" borderId="0" xfId="5" applyNumberFormat="1" applyFont="1" applyFill="1"/>
    <xf numFmtId="180" fontId="18" fillId="0" borderId="0" xfId="5" applyNumberFormat="1" applyFont="1" applyFill="1"/>
    <xf numFmtId="167" fontId="17" fillId="0" borderId="0" xfId="5" applyNumberFormat="1" applyFont="1" applyFill="1"/>
    <xf numFmtId="180" fontId="17" fillId="0" borderId="0" xfId="5" applyNumberFormat="1" applyFont="1" applyFill="1"/>
    <xf numFmtId="9" fontId="5" fillId="0" borderId="0" xfId="5" applyFont="1" applyFill="1" applyAlignment="1">
      <alignment horizontal="left" indent="1"/>
    </xf>
    <xf numFmtId="180" fontId="5" fillId="0" borderId="0" xfId="5" applyNumberFormat="1" applyFont="1" applyFill="1" applyAlignment="1">
      <alignment horizontal="right"/>
    </xf>
    <xf numFmtId="9" fontId="5" fillId="0" borderId="0" xfId="5" applyFont="1" applyFill="1" applyBorder="1"/>
    <xf numFmtId="180" fontId="5" fillId="0" borderId="1" xfId="4" applyNumberFormat="1" applyFont="1" applyBorder="1"/>
    <xf numFmtId="180" fontId="18" fillId="0" borderId="1" xfId="4" applyNumberFormat="1" applyFont="1" applyBorder="1"/>
    <xf numFmtId="180" fontId="5" fillId="0" borderId="0" xfId="5" applyNumberFormat="1" applyFont="1" applyFill="1" applyAlignment="1"/>
    <xf numFmtId="180" fontId="5" fillId="0" borderId="0" xfId="7" applyNumberFormat="1" applyFont="1" applyFill="1" applyBorder="1" applyAlignment="1"/>
    <xf numFmtId="180" fontId="18" fillId="0" borderId="0" xfId="7" applyNumberFormat="1" applyFont="1" applyFill="1" applyBorder="1" applyAlignment="1"/>
    <xf numFmtId="167" fontId="17" fillId="8" borderId="0" xfId="4" applyNumberFormat="1" applyFont="1" applyFill="1" applyAlignment="1">
      <alignment horizontal="center"/>
    </xf>
    <xf numFmtId="9" fontId="17" fillId="0" borderId="0" xfId="5" applyFont="1"/>
    <xf numFmtId="180" fontId="5" fillId="0" borderId="9" xfId="7" applyNumberFormat="1" applyFont="1" applyFill="1" applyBorder="1" applyAlignment="1"/>
    <xf numFmtId="9" fontId="5" fillId="0" borderId="13" xfId="4" applyNumberFormat="1" applyFont="1" applyBorder="1"/>
    <xf numFmtId="9" fontId="23" fillId="10" borderId="13" xfId="4" applyNumberFormat="1" applyFont="1" applyFill="1" applyBorder="1"/>
    <xf numFmtId="0" fontId="19" fillId="0" borderId="0" xfId="4" applyFont="1"/>
    <xf numFmtId="9" fontId="15" fillId="5" borderId="13" xfId="4" applyNumberFormat="1" applyFont="1" applyFill="1" applyBorder="1"/>
    <xf numFmtId="168" fontId="24" fillId="0" borderId="0" xfId="4" applyNumberFormat="1" applyFont="1"/>
    <xf numFmtId="168" fontId="5" fillId="0" borderId="0" xfId="4" applyNumberFormat="1" applyFont="1"/>
    <xf numFmtId="183" fontId="15" fillId="0" borderId="13" xfId="4" applyNumberFormat="1" applyFont="1" applyBorder="1"/>
    <xf numFmtId="181" fontId="26" fillId="10" borderId="14" xfId="4" applyNumberFormat="1" applyFont="1" applyFill="1" applyBorder="1"/>
    <xf numFmtId="0" fontId="13" fillId="0" borderId="0" xfId="4" applyFont="1" applyAlignment="1">
      <alignment horizontal="center"/>
    </xf>
    <xf numFmtId="0" fontId="27" fillId="0" borderId="0" xfId="4" applyFont="1"/>
    <xf numFmtId="168" fontId="15" fillId="0" borderId="13" xfId="4" applyNumberFormat="1" applyFont="1" applyBorder="1"/>
    <xf numFmtId="174" fontId="25" fillId="0" borderId="0" xfId="4" applyNumberFormat="1" applyFont="1"/>
    <xf numFmtId="184" fontId="18" fillId="0" borderId="0" xfId="4" applyNumberFormat="1" applyFont="1"/>
    <xf numFmtId="0" fontId="20" fillId="0" borderId="0" xfId="4" applyFont="1" applyAlignment="1">
      <alignment horizontal="left" indent="1"/>
    </xf>
    <xf numFmtId="185" fontId="15" fillId="10" borderId="13" xfId="4" applyNumberFormat="1" applyFont="1" applyFill="1" applyBorder="1"/>
    <xf numFmtId="0" fontId="21" fillId="0" borderId="1" xfId="4" applyFont="1" applyBorder="1" applyAlignment="1">
      <alignment horizontal="left" indent="2"/>
    </xf>
    <xf numFmtId="9" fontId="15" fillId="10" borderId="13" xfId="4" applyNumberFormat="1" applyFont="1" applyFill="1" applyBorder="1"/>
    <xf numFmtId="0" fontId="21" fillId="0" borderId="0" xfId="4" applyFont="1" applyAlignment="1">
      <alignment horizontal="left" indent="2"/>
    </xf>
    <xf numFmtId="7" fontId="15" fillId="0" borderId="13" xfId="4" applyNumberFormat="1" applyFont="1" applyBorder="1"/>
    <xf numFmtId="9" fontId="15" fillId="0" borderId="0" xfId="4" applyNumberFormat="1" applyFont="1"/>
    <xf numFmtId="181" fontId="15" fillId="10" borderId="13" xfId="4" applyNumberFormat="1" applyFont="1" applyFill="1" applyBorder="1"/>
    <xf numFmtId="0" fontId="21" fillId="0" borderId="1" xfId="4" applyFont="1" applyBorder="1" applyAlignment="1">
      <alignment horizontal="left" indent="1"/>
    </xf>
    <xf numFmtId="186" fontId="5" fillId="0" borderId="0" xfId="4" applyNumberFormat="1" applyFont="1"/>
    <xf numFmtId="9" fontId="5" fillId="0" borderId="0" xfId="4" applyNumberFormat="1" applyFont="1"/>
    <xf numFmtId="181" fontId="28" fillId="0" borderId="0" xfId="4" applyNumberFormat="1" applyFont="1" applyAlignment="1">
      <alignment horizontal="right"/>
    </xf>
    <xf numFmtId="0" fontId="20" fillId="0" borderId="15" xfId="4" applyFont="1" applyBorder="1" applyAlignment="1">
      <alignment horizontal="left" indent="1"/>
    </xf>
    <xf numFmtId="167" fontId="15" fillId="10" borderId="13" xfId="4" applyNumberFormat="1" applyFont="1" applyFill="1" applyBorder="1" applyAlignment="1">
      <alignment horizontal="right"/>
    </xf>
    <xf numFmtId="187" fontId="21" fillId="0" borderId="0" xfId="4" applyNumberFormat="1" applyFont="1" applyAlignment="1">
      <alignment horizontal="left" indent="2"/>
    </xf>
    <xf numFmtId="0" fontId="15" fillId="10" borderId="13" xfId="4" applyFont="1" applyFill="1" applyBorder="1"/>
    <xf numFmtId="0" fontId="29" fillId="0" borderId="1" xfId="4" applyFont="1" applyBorder="1" applyAlignment="1">
      <alignment horizontal="left" indent="1"/>
    </xf>
    <xf numFmtId="181" fontId="26" fillId="10" borderId="13" xfId="4" applyNumberFormat="1" applyFont="1" applyFill="1" applyBorder="1" applyAlignment="1">
      <alignment horizontal="right"/>
    </xf>
    <xf numFmtId="0" fontId="29" fillId="0" borderId="0" xfId="4" applyFont="1" applyAlignment="1">
      <alignment horizontal="left" indent="1"/>
    </xf>
    <xf numFmtId="181" fontId="14" fillId="10" borderId="13" xfId="4" applyNumberFormat="1" applyFont="1" applyFill="1" applyBorder="1" applyAlignment="1">
      <alignment horizontal="right"/>
    </xf>
    <xf numFmtId="181" fontId="15" fillId="0" borderId="0" xfId="4" applyNumberFormat="1" applyFont="1" applyAlignment="1">
      <alignment horizontal="right"/>
    </xf>
    <xf numFmtId="181" fontId="15" fillId="10" borderId="13" xfId="4" applyNumberFormat="1" applyFont="1" applyFill="1" applyBorder="1" applyAlignment="1">
      <alignment horizontal="right"/>
    </xf>
    <xf numFmtId="0" fontId="20" fillId="0" borderId="1" xfId="4" applyFont="1" applyBorder="1" applyAlignment="1">
      <alignment horizontal="left" indent="2"/>
    </xf>
    <xf numFmtId="0" fontId="20" fillId="0" borderId="0" xfId="4" applyFont="1" applyAlignment="1">
      <alignment horizontal="left" indent="2"/>
    </xf>
    <xf numFmtId="0" fontId="21" fillId="0" borderId="0" xfId="4" applyFont="1" applyAlignment="1">
      <alignment horizontal="left" indent="3"/>
    </xf>
    <xf numFmtId="0" fontId="21" fillId="0" borderId="1" xfId="4" applyFont="1" applyBorder="1" applyAlignment="1">
      <alignment horizontal="left" indent="3"/>
    </xf>
    <xf numFmtId="167" fontId="26" fillId="10" borderId="16" xfId="4" applyNumberFormat="1" applyFont="1" applyFill="1" applyBorder="1" applyAlignment="1">
      <alignment horizontal="right"/>
    </xf>
    <xf numFmtId="167" fontId="15" fillId="10" borderId="17" xfId="4" applyNumberFormat="1" applyFont="1" applyFill="1" applyBorder="1" applyAlignment="1">
      <alignment horizontal="right"/>
    </xf>
    <xf numFmtId="167" fontId="28" fillId="0" borderId="0" xfId="4" applyNumberFormat="1" applyFont="1" applyAlignment="1">
      <alignment horizontal="right"/>
    </xf>
    <xf numFmtId="0" fontId="20" fillId="13" borderId="15" xfId="4" applyFont="1" applyFill="1" applyBorder="1" applyAlignment="1">
      <alignment horizontal="left"/>
    </xf>
    <xf numFmtId="9" fontId="24" fillId="0" borderId="0" xfId="4" applyNumberFormat="1" applyFont="1"/>
    <xf numFmtId="0" fontId="21" fillId="5" borderId="0" xfId="4" applyFont="1" applyFill="1"/>
    <xf numFmtId="184" fontId="24" fillId="5" borderId="0" xfId="4" applyNumberFormat="1" applyFont="1" applyFill="1"/>
    <xf numFmtId="0" fontId="20" fillId="11" borderId="0" xfId="4" applyFont="1" applyFill="1"/>
    <xf numFmtId="0" fontId="21" fillId="11" borderId="0" xfId="4" applyFont="1" applyFill="1"/>
    <xf numFmtId="0" fontId="20" fillId="0" borderId="3" xfId="4" applyFont="1" applyBorder="1"/>
    <xf numFmtId="0" fontId="21" fillId="0" borderId="3" xfId="4" applyFont="1" applyBorder="1"/>
    <xf numFmtId="176" fontId="21" fillId="0" borderId="0" xfId="4" applyNumberFormat="1" applyFont="1"/>
    <xf numFmtId="176" fontId="20" fillId="0" borderId="1" xfId="4" applyNumberFormat="1" applyFont="1" applyBorder="1"/>
    <xf numFmtId="176" fontId="21" fillId="0" borderId="0" xfId="4" applyNumberFormat="1" applyFont="1" applyAlignment="1">
      <alignment horizontal="right"/>
    </xf>
    <xf numFmtId="176" fontId="21" fillId="0" borderId="1" xfId="4" applyNumberFormat="1" applyFont="1" applyBorder="1"/>
    <xf numFmtId="0" fontId="24" fillId="0" borderId="0" xfId="4" applyFont="1" applyAlignment="1">
      <alignment horizontal="left" indent="2"/>
    </xf>
    <xf numFmtId="176" fontId="24" fillId="0" borderId="0" xfId="4" applyNumberFormat="1" applyFont="1"/>
    <xf numFmtId="176" fontId="24" fillId="0" borderId="1" xfId="4" applyNumberFormat="1" applyFont="1" applyBorder="1"/>
    <xf numFmtId="0" fontId="21" fillId="0" borderId="0" xfId="4" applyFont="1" applyAlignment="1">
      <alignment horizontal="left"/>
    </xf>
    <xf numFmtId="176" fontId="30" fillId="0" borderId="0" xfId="4" applyNumberFormat="1" applyFont="1"/>
    <xf numFmtId="0" fontId="21" fillId="11" borderId="15" xfId="4" applyFont="1" applyFill="1" applyBorder="1"/>
    <xf numFmtId="176" fontId="20" fillId="13" borderId="15" xfId="4" applyNumberFormat="1" applyFont="1" applyFill="1" applyBorder="1"/>
    <xf numFmtId="167" fontId="20" fillId="0" borderId="0" xfId="4" applyNumberFormat="1" applyFont="1"/>
    <xf numFmtId="0" fontId="21" fillId="0" borderId="15" xfId="4" applyFont="1" applyBorder="1"/>
    <xf numFmtId="0" fontId="20" fillId="0" borderId="15" xfId="4" applyFont="1" applyBorder="1"/>
    <xf numFmtId="176" fontId="20" fillId="0" borderId="0" xfId="4" applyNumberFormat="1" applyFont="1"/>
    <xf numFmtId="176" fontId="20" fillId="0" borderId="15" xfId="4" applyNumberFormat="1" applyFont="1" applyBorder="1"/>
    <xf numFmtId="7" fontId="21" fillId="0" borderId="0" xfId="4" applyNumberFormat="1" applyFont="1"/>
    <xf numFmtId="0" fontId="20" fillId="12" borderId="0" xfId="4" applyFont="1" applyFill="1"/>
    <xf numFmtId="0" fontId="21" fillId="12" borderId="0" xfId="4" applyFont="1" applyFill="1"/>
    <xf numFmtId="0" fontId="20" fillId="12" borderId="15" xfId="4" applyFont="1" applyFill="1" applyBorder="1"/>
    <xf numFmtId="0" fontId="21" fillId="12" borderId="15" xfId="4" applyFont="1" applyFill="1" applyBorder="1"/>
    <xf numFmtId="188" fontId="21" fillId="0" borderId="0" xfId="4" applyNumberFormat="1" applyFont="1"/>
    <xf numFmtId="186" fontId="21" fillId="0" borderId="0" xfId="4" applyNumberFormat="1" applyFont="1"/>
    <xf numFmtId="176" fontId="20" fillId="12" borderId="15" xfId="4" applyNumberFormat="1" applyFont="1" applyFill="1" applyBorder="1"/>
    <xf numFmtId="0" fontId="24" fillId="0" borderId="18" xfId="4" applyFont="1" applyBorder="1"/>
    <xf numFmtId="0" fontId="24" fillId="0" borderId="3" xfId="4" applyFont="1" applyBorder="1"/>
    <xf numFmtId="0" fontId="24" fillId="0" borderId="19" xfId="4" applyFont="1" applyBorder="1"/>
    <xf numFmtId="0" fontId="20" fillId="14" borderId="0" xfId="4" applyFont="1" applyFill="1"/>
    <xf numFmtId="0" fontId="21" fillId="14" borderId="0" xfId="4" applyFont="1" applyFill="1"/>
    <xf numFmtId="0" fontId="20" fillId="14" borderId="15" xfId="4" applyFont="1" applyFill="1" applyBorder="1"/>
    <xf numFmtId="0" fontId="21" fillId="14" borderId="15" xfId="4" applyFont="1" applyFill="1" applyBorder="1"/>
    <xf numFmtId="176" fontId="20" fillId="14" borderId="15" xfId="4" applyNumberFormat="1" applyFont="1" applyFill="1" applyBorder="1"/>
    <xf numFmtId="0" fontId="20" fillId="15" borderId="0" xfId="4" applyFont="1" applyFill="1"/>
    <xf numFmtId="0" fontId="21" fillId="15" borderId="0" xfId="4" applyFont="1" applyFill="1"/>
    <xf numFmtId="0" fontId="20" fillId="15" borderId="15" xfId="4" applyFont="1" applyFill="1" applyBorder="1" applyAlignment="1">
      <alignment horizontal="left" indent="1"/>
    </xf>
    <xf numFmtId="0" fontId="21" fillId="15" borderId="15" xfId="4" applyFont="1" applyFill="1" applyBorder="1"/>
    <xf numFmtId="176" fontId="20" fillId="15" borderId="15" xfId="4" applyNumberFormat="1" applyFont="1" applyFill="1" applyBorder="1"/>
    <xf numFmtId="172" fontId="5" fillId="0" borderId="0" xfId="4" applyNumberFormat="1" applyFont="1"/>
    <xf numFmtId="183" fontId="5" fillId="0" borderId="0" xfId="4" applyNumberFormat="1" applyFont="1"/>
    <xf numFmtId="176" fontId="5" fillId="0" borderId="0" xfId="4" applyNumberFormat="1" applyFont="1"/>
    <xf numFmtId="167" fontId="17" fillId="0" borderId="0" xfId="4" applyNumberFormat="1" applyFont="1"/>
    <xf numFmtId="190" fontId="15" fillId="0" borderId="13" xfId="1" applyNumberFormat="1" applyFont="1" applyBorder="1"/>
    <xf numFmtId="166" fontId="8" fillId="0" borderId="0" xfId="2" applyNumberFormat="1" applyFont="1" applyFill="1" applyBorder="1" applyAlignment="1">
      <alignment horizontal="center" vertical="center"/>
    </xf>
    <xf numFmtId="5" fontId="10" fillId="0" borderId="1" xfId="2" applyNumberFormat="1" applyFont="1" applyFill="1" applyBorder="1" applyAlignment="1">
      <alignment horizontal="center"/>
    </xf>
    <xf numFmtId="168" fontId="11" fillId="0" borderId="0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9" fontId="8" fillId="0" borderId="0" xfId="2" applyNumberFormat="1" applyFont="1" applyFill="1" applyBorder="1" applyAlignment="1">
      <alignment horizontal="center"/>
    </xf>
    <xf numFmtId="169" fontId="10" fillId="0" borderId="1" xfId="2" applyNumberFormat="1" applyFont="1" applyFill="1" applyBorder="1" applyAlignment="1">
      <alignment horizontal="center"/>
    </xf>
    <xf numFmtId="167" fontId="12" fillId="0" borderId="0" xfId="2" applyNumberFormat="1" applyFont="1" applyFill="1" applyBorder="1" applyAlignment="1">
      <alignment horizontal="center" vertical="center"/>
    </xf>
    <xf numFmtId="169" fontId="10" fillId="0" borderId="0" xfId="2" applyNumberFormat="1" applyFont="1" applyFill="1" applyBorder="1" applyAlignment="1">
      <alignment horizontal="center" vertical="center"/>
    </xf>
    <xf numFmtId="169" fontId="8" fillId="0" borderId="0" xfId="2" applyNumberFormat="1" applyFont="1" applyFill="1" applyBorder="1" applyAlignment="1">
      <alignment horizontal="center" vertical="center"/>
    </xf>
    <xf numFmtId="168" fontId="11" fillId="0" borderId="0" xfId="2" applyNumberFormat="1" applyFont="1" applyFill="1" applyBorder="1" applyAlignment="1">
      <alignment horizontal="center"/>
    </xf>
    <xf numFmtId="37" fontId="8" fillId="0" borderId="0" xfId="2" applyNumberFormat="1" applyFont="1" applyFill="1" applyBorder="1" applyAlignment="1">
      <alignment horizontal="center"/>
    </xf>
    <xf numFmtId="167" fontId="12" fillId="0" borderId="0" xfId="2" applyNumberFormat="1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/>
    </xf>
    <xf numFmtId="171" fontId="8" fillId="0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6" borderId="0" xfId="4" applyFont="1" applyFill="1"/>
    <xf numFmtId="179" fontId="5" fillId="16" borderId="0" xfId="6" applyNumberFormat="1" applyFont="1" applyFill="1" applyBorder="1" applyAlignment="1">
      <alignment horizontal="right"/>
    </xf>
    <xf numFmtId="0" fontId="5" fillId="16" borderId="0" xfId="4" applyFont="1" applyFill="1" applyAlignment="1">
      <alignment horizontal="right"/>
    </xf>
    <xf numFmtId="177" fontId="5" fillId="16" borderId="0" xfId="6" applyNumberFormat="1" applyFont="1" applyFill="1" applyBorder="1" applyAlignment="1">
      <alignment horizontal="right"/>
    </xf>
    <xf numFmtId="174" fontId="5" fillId="16" borderId="0" xfId="4" applyNumberFormat="1" applyFont="1" applyFill="1"/>
    <xf numFmtId="173" fontId="5" fillId="16" borderId="0" xfId="6" applyNumberFormat="1" applyFont="1" applyFill="1" applyBorder="1" applyAlignment="1">
      <alignment horizontal="right"/>
    </xf>
    <xf numFmtId="173" fontId="18" fillId="16" borderId="0" xfId="6" applyNumberFormat="1" applyFont="1" applyFill="1" applyBorder="1" applyAlignment="1">
      <alignment horizontal="right"/>
    </xf>
    <xf numFmtId="178" fontId="5" fillId="16" borderId="0" xfId="6" applyFont="1" applyFill="1" applyBorder="1" applyAlignment="1">
      <alignment horizontal="right"/>
    </xf>
    <xf numFmtId="191" fontId="5" fillId="16" borderId="0" xfId="6" applyNumberFormat="1" applyFont="1" applyFill="1" applyBorder="1" applyAlignment="1">
      <alignment horizontal="right"/>
    </xf>
    <xf numFmtId="0" fontId="3" fillId="0" borderId="2" xfId="8" applyBorder="1"/>
    <xf numFmtId="0" fontId="31" fillId="0" borderId="2" xfId="8" applyFont="1" applyBorder="1"/>
    <xf numFmtId="0" fontId="3" fillId="0" borderId="0" xfId="8"/>
    <xf numFmtId="44" fontId="0" fillId="0" borderId="0" xfId="9" applyFont="1"/>
    <xf numFmtId="44" fontId="5" fillId="0" borderId="0" xfId="4" applyNumberFormat="1" applyFont="1"/>
    <xf numFmtId="0" fontId="31" fillId="0" borderId="2" xfId="8" applyFont="1" applyBorder="1" applyAlignment="1">
      <alignment horizontal="center"/>
    </xf>
    <xf numFmtId="181" fontId="15" fillId="10" borderId="0" xfId="4" applyNumberFormat="1" applyFont="1" applyFill="1"/>
    <xf numFmtId="0" fontId="21" fillId="0" borderId="0" xfId="4" applyFont="1" applyAlignment="1">
      <alignment horizontal="left" wrapText="1" indent="1"/>
    </xf>
    <xf numFmtId="0" fontId="21" fillId="0" borderId="0" xfId="4" applyFont="1" applyAlignment="1">
      <alignment vertical="center"/>
    </xf>
    <xf numFmtId="185" fontId="15" fillId="10" borderId="0" xfId="4" applyNumberFormat="1" applyFont="1" applyFill="1"/>
    <xf numFmtId="9" fontId="21" fillId="0" borderId="0" xfId="1" applyFont="1" applyBorder="1"/>
    <xf numFmtId="0" fontId="21" fillId="0" borderId="2" xfId="4" applyFont="1" applyBorder="1"/>
    <xf numFmtId="176" fontId="21" fillId="0" borderId="2" xfId="4" applyNumberFormat="1" applyFont="1" applyBorder="1"/>
    <xf numFmtId="9" fontId="21" fillId="0" borderId="2" xfId="1" applyFont="1" applyBorder="1"/>
    <xf numFmtId="180" fontId="5" fillId="0" borderId="0" xfId="11" applyNumberFormat="1" applyFont="1"/>
    <xf numFmtId="0" fontId="5" fillId="0" borderId="4" xfId="4" applyFont="1" applyBorder="1" applyAlignment="1">
      <alignment horizontal="center"/>
    </xf>
    <xf numFmtId="0" fontId="5" fillId="0" borderId="5" xfId="4" applyFont="1" applyBorder="1" applyAlignment="1">
      <alignment horizontal="center"/>
    </xf>
    <xf numFmtId="180" fontId="5" fillId="0" borderId="6" xfId="11" applyNumberFormat="1" applyFont="1" applyBorder="1" applyAlignment="1">
      <alignment horizontal="center"/>
    </xf>
    <xf numFmtId="180" fontId="5" fillId="0" borderId="7" xfId="11" applyNumberFormat="1" applyFont="1" applyBorder="1" applyAlignment="1">
      <alignment horizontal="center"/>
    </xf>
    <xf numFmtId="9" fontId="5" fillId="0" borderId="14" xfId="4" applyNumberFormat="1" applyFont="1" applyBorder="1"/>
    <xf numFmtId="0" fontId="20" fillId="0" borderId="2" xfId="4" applyFont="1" applyBorder="1"/>
    <xf numFmtId="176" fontId="20" fillId="0" borderId="2" xfId="4" applyNumberFormat="1" applyFont="1" applyBorder="1"/>
    <xf numFmtId="43" fontId="21" fillId="0" borderId="0" xfId="10" applyFont="1" applyBorder="1"/>
    <xf numFmtId="192" fontId="21" fillId="0" borderId="0" xfId="10" applyNumberFormat="1" applyFont="1" applyBorder="1"/>
    <xf numFmtId="0" fontId="5" fillId="0" borderId="18" xfId="4" applyFont="1" applyBorder="1"/>
    <xf numFmtId="9" fontId="5" fillId="0" borderId="19" xfId="4" applyNumberFormat="1" applyFont="1" applyBorder="1"/>
    <xf numFmtId="193" fontId="8" fillId="0" borderId="0" xfId="2" applyNumberFormat="1" applyFont="1" applyFill="1" applyBorder="1" applyAlignment="1">
      <alignment horizontal="center" vertical="center"/>
    </xf>
    <xf numFmtId="175" fontId="10" fillId="0" borderId="1" xfId="2" applyNumberFormat="1" applyFont="1" applyFill="1" applyBorder="1" applyAlignment="1">
      <alignment horizontal="center"/>
    </xf>
    <xf numFmtId="194" fontId="5" fillId="0" borderId="0" xfId="4" applyNumberFormat="1" applyFont="1"/>
    <xf numFmtId="9" fontId="5" fillId="0" borderId="0" xfId="1" applyFont="1"/>
    <xf numFmtId="195" fontId="8" fillId="0" borderId="0" xfId="2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164" fontId="7" fillId="6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6" fontId="8" fillId="6" borderId="0" xfId="2" applyNumberFormat="1" applyFont="1" applyFill="1" applyBorder="1" applyAlignment="1">
      <alignment horizontal="right" vertical="center"/>
    </xf>
    <xf numFmtId="5" fontId="10" fillId="6" borderId="1" xfId="2" applyNumberFormat="1" applyFont="1" applyFill="1" applyBorder="1" applyAlignment="1">
      <alignment horizontal="right"/>
    </xf>
    <xf numFmtId="168" fontId="11" fillId="6" borderId="0" xfId="2" applyNumberFormat="1" applyFont="1" applyFill="1" applyBorder="1" applyAlignment="1">
      <alignment horizontal="center" vertical="center"/>
    </xf>
    <xf numFmtId="0" fontId="8" fillId="6" borderId="0" xfId="0" applyFont="1" applyFill="1"/>
    <xf numFmtId="169" fontId="8" fillId="6" borderId="0" xfId="2" applyNumberFormat="1" applyFont="1" applyFill="1" applyBorder="1" applyAlignment="1">
      <alignment horizontal="right"/>
    </xf>
    <xf numFmtId="169" fontId="10" fillId="6" borderId="1" xfId="2" applyNumberFormat="1" applyFont="1" applyFill="1" applyBorder="1" applyAlignment="1">
      <alignment horizontal="right"/>
    </xf>
    <xf numFmtId="167" fontId="12" fillId="6" borderId="0" xfId="2" applyNumberFormat="1" applyFont="1" applyFill="1" applyBorder="1" applyAlignment="1">
      <alignment horizontal="right" vertical="center"/>
    </xf>
    <xf numFmtId="169" fontId="10" fillId="6" borderId="0" xfId="2" applyNumberFormat="1" applyFont="1" applyFill="1" applyBorder="1" applyAlignment="1">
      <alignment horizontal="right" vertical="center"/>
    </xf>
    <xf numFmtId="168" fontId="11" fillId="6" borderId="0" xfId="2" applyNumberFormat="1" applyFont="1" applyFill="1" applyBorder="1" applyAlignment="1">
      <alignment horizontal="right" vertical="center"/>
    </xf>
    <xf numFmtId="169" fontId="8" fillId="6" borderId="0" xfId="2" applyNumberFormat="1" applyFont="1" applyFill="1" applyBorder="1" applyAlignment="1">
      <alignment horizontal="right" vertical="center"/>
    </xf>
    <xf numFmtId="168" fontId="11" fillId="6" borderId="0" xfId="2" applyNumberFormat="1" applyFont="1" applyFill="1" applyBorder="1" applyAlignment="1">
      <alignment horizontal="right"/>
    </xf>
    <xf numFmtId="37" fontId="8" fillId="6" borderId="0" xfId="2" applyNumberFormat="1" applyFont="1" applyFill="1" applyBorder="1" applyAlignment="1">
      <alignment horizontal="right"/>
    </xf>
    <xf numFmtId="167" fontId="12" fillId="6" borderId="0" xfId="2" applyNumberFormat="1" applyFont="1" applyFill="1" applyBorder="1" applyAlignment="1">
      <alignment horizontal="right"/>
    </xf>
    <xf numFmtId="167" fontId="11" fillId="6" borderId="0" xfId="2" applyNumberFormat="1" applyFont="1" applyFill="1" applyBorder="1" applyAlignment="1">
      <alignment horizontal="right"/>
    </xf>
    <xf numFmtId="169" fontId="8" fillId="6" borderId="2" xfId="2" applyNumberFormat="1" applyFont="1" applyFill="1" applyBorder="1" applyAlignment="1">
      <alignment horizontal="right"/>
    </xf>
    <xf numFmtId="171" fontId="8" fillId="6" borderId="2" xfId="2" applyNumberFormat="1" applyFont="1" applyFill="1" applyBorder="1" applyAlignment="1">
      <alignment horizontal="right"/>
    </xf>
    <xf numFmtId="0" fontId="0" fillId="6" borderId="0" xfId="0" applyFill="1"/>
    <xf numFmtId="0" fontId="21" fillId="6" borderId="0" xfId="4" applyFont="1" applyFill="1"/>
    <xf numFmtId="9" fontId="24" fillId="6" borderId="0" xfId="4" applyNumberFormat="1" applyFont="1" applyFill="1"/>
    <xf numFmtId="184" fontId="24" fillId="6" borderId="0" xfId="4" applyNumberFormat="1" applyFont="1" applyFill="1"/>
    <xf numFmtId="172" fontId="21" fillId="6" borderId="0" xfId="4" applyNumberFormat="1" applyFont="1" applyFill="1"/>
    <xf numFmtId="0" fontId="21" fillId="6" borderId="3" xfId="4" applyFont="1" applyFill="1" applyBorder="1"/>
    <xf numFmtId="0" fontId="21" fillId="6" borderId="1" xfId="4" applyFont="1" applyFill="1" applyBorder="1"/>
    <xf numFmtId="0" fontId="20" fillId="6" borderId="1" xfId="4" applyFont="1" applyFill="1" applyBorder="1"/>
    <xf numFmtId="176" fontId="21" fillId="6" borderId="0" xfId="4" applyNumberFormat="1" applyFont="1" applyFill="1"/>
    <xf numFmtId="176" fontId="20" fillId="6" borderId="1" xfId="4" applyNumberFormat="1" applyFont="1" applyFill="1" applyBorder="1"/>
    <xf numFmtId="176" fontId="21" fillId="6" borderId="0" xfId="4" applyNumberFormat="1" applyFont="1" applyFill="1" applyAlignment="1">
      <alignment horizontal="right"/>
    </xf>
    <xf numFmtId="176" fontId="21" fillId="6" borderId="1" xfId="4" applyNumberFormat="1" applyFont="1" applyFill="1" applyBorder="1"/>
    <xf numFmtId="176" fontId="24" fillId="6" borderId="0" xfId="4" applyNumberFormat="1" applyFont="1" applyFill="1"/>
    <xf numFmtId="176" fontId="20" fillId="6" borderId="15" xfId="4" applyNumberFormat="1" applyFont="1" applyFill="1" applyBorder="1"/>
    <xf numFmtId="167" fontId="20" fillId="6" borderId="0" xfId="4" applyNumberFormat="1" applyFont="1" applyFill="1"/>
    <xf numFmtId="0" fontId="21" fillId="6" borderId="0" xfId="4" applyFont="1" applyFill="1" applyAlignment="1">
      <alignment vertical="center"/>
    </xf>
    <xf numFmtId="0" fontId="20" fillId="6" borderId="15" xfId="4" applyFont="1" applyFill="1" applyBorder="1"/>
    <xf numFmtId="176" fontId="20" fillId="6" borderId="0" xfId="4" applyNumberFormat="1" applyFont="1" applyFill="1"/>
    <xf numFmtId="7" fontId="21" fillId="6" borderId="0" xfId="4" applyNumberFormat="1" applyFont="1" applyFill="1"/>
    <xf numFmtId="0" fontId="24" fillId="6" borderId="3" xfId="4" applyFont="1" applyFill="1" applyBorder="1"/>
    <xf numFmtId="176" fontId="21" fillId="6" borderId="2" xfId="4" applyNumberFormat="1" applyFont="1" applyFill="1" applyBorder="1"/>
    <xf numFmtId="176" fontId="20" fillId="6" borderId="2" xfId="4" applyNumberFormat="1" applyFont="1" applyFill="1" applyBorder="1"/>
    <xf numFmtId="176" fontId="21" fillId="6" borderId="0" xfId="4" quotePrefix="1" applyNumberFormat="1" applyFont="1" applyFill="1"/>
    <xf numFmtId="167" fontId="21" fillId="6" borderId="0" xfId="4" applyNumberFormat="1" applyFont="1" applyFill="1"/>
    <xf numFmtId="186" fontId="21" fillId="6" borderId="0" xfId="4" applyNumberFormat="1" applyFont="1" applyFill="1"/>
    <xf numFmtId="189" fontId="21" fillId="6" borderId="0" xfId="4" applyNumberFormat="1" applyFont="1" applyFill="1"/>
    <xf numFmtId="0" fontId="5" fillId="6" borderId="0" xfId="4" applyFont="1" applyFill="1"/>
    <xf numFmtId="0" fontId="5" fillId="6" borderId="0" xfId="4" applyFont="1" applyFill="1" applyAlignment="1">
      <alignment horizontal="center"/>
    </xf>
    <xf numFmtId="173" fontId="5" fillId="6" borderId="0" xfId="6" applyNumberFormat="1" applyFont="1" applyFill="1" applyBorder="1" applyAlignment="1">
      <alignment horizontal="right"/>
    </xf>
    <xf numFmtId="173" fontId="18" fillId="6" borderId="0" xfId="6" applyNumberFormat="1" applyFont="1" applyFill="1" applyBorder="1" applyAlignment="1">
      <alignment horizontal="right"/>
    </xf>
    <xf numFmtId="173" fontId="5" fillId="6" borderId="1" xfId="6" applyNumberFormat="1" applyFont="1" applyFill="1" applyBorder="1" applyAlignment="1">
      <alignment horizontal="right"/>
    </xf>
    <xf numFmtId="173" fontId="18" fillId="6" borderId="1" xfId="6" applyNumberFormat="1" applyFont="1" applyFill="1" applyBorder="1" applyAlignment="1">
      <alignment horizontal="right"/>
    </xf>
    <xf numFmtId="174" fontId="5" fillId="6" borderId="0" xfId="6" applyNumberFormat="1" applyFont="1" applyFill="1" applyBorder="1" applyAlignment="1">
      <alignment horizontal="right"/>
    </xf>
    <xf numFmtId="174" fontId="18" fillId="6" borderId="0" xfId="6" applyNumberFormat="1" applyFont="1" applyFill="1" applyBorder="1" applyAlignment="1">
      <alignment horizontal="right"/>
    </xf>
    <xf numFmtId="179" fontId="18" fillId="6" borderId="0" xfId="4" applyNumberFormat="1" applyFont="1" applyFill="1" applyAlignment="1">
      <alignment horizontal="right"/>
    </xf>
    <xf numFmtId="6" fontId="18" fillId="6" borderId="0" xfId="4" applyNumberFormat="1" applyFont="1" applyFill="1" applyAlignment="1">
      <alignment horizontal="center"/>
    </xf>
    <xf numFmtId="180" fontId="5" fillId="6" borderId="1" xfId="5" applyNumberFormat="1" applyFont="1" applyFill="1" applyBorder="1" applyAlignment="1">
      <alignment horizontal="right"/>
    </xf>
    <xf numFmtId="0" fontId="5" fillId="6" borderId="1" xfId="4" applyFont="1" applyFill="1" applyBorder="1" applyAlignment="1">
      <alignment horizontal="center"/>
    </xf>
    <xf numFmtId="174" fontId="5" fillId="6" borderId="0" xfId="4" applyNumberFormat="1" applyFont="1" applyFill="1"/>
    <xf numFmtId="174" fontId="5" fillId="6" borderId="0" xfId="4" applyNumberFormat="1" applyFont="1" applyFill="1" applyAlignment="1">
      <alignment horizontal="center"/>
    </xf>
    <xf numFmtId="181" fontId="5" fillId="6" borderId="0" xfId="4" applyNumberFormat="1" applyFont="1" applyFill="1"/>
    <xf numFmtId="181" fontId="5" fillId="6" borderId="0" xfId="4" applyNumberFormat="1" applyFont="1" applyFill="1" applyAlignment="1">
      <alignment horizontal="center"/>
    </xf>
    <xf numFmtId="180" fontId="18" fillId="6" borderId="1" xfId="7" applyNumberFormat="1" applyFont="1" applyFill="1" applyBorder="1" applyAlignment="1">
      <alignment horizontal="right"/>
    </xf>
    <xf numFmtId="0" fontId="4" fillId="6" borderId="0" xfId="4" applyFill="1"/>
    <xf numFmtId="5" fontId="5" fillId="6" borderId="0" xfId="4" applyNumberFormat="1" applyFont="1" applyFill="1"/>
    <xf numFmtId="180" fontId="18" fillId="6" borderId="1" xfId="5" applyNumberFormat="1" applyFont="1" applyFill="1" applyBorder="1" applyAlignment="1">
      <alignment horizontal="right"/>
    </xf>
    <xf numFmtId="180" fontId="18" fillId="6" borderId="0" xfId="7" applyNumberFormat="1" applyFont="1" applyFill="1" applyBorder="1" applyAlignment="1">
      <alignment horizontal="right"/>
    </xf>
    <xf numFmtId="180" fontId="5" fillId="6" borderId="0" xfId="4" applyNumberFormat="1" applyFont="1" applyFill="1"/>
    <xf numFmtId="180" fontId="18" fillId="6" borderId="0" xfId="4" applyNumberFormat="1" applyFont="1" applyFill="1"/>
    <xf numFmtId="180" fontId="18" fillId="6" borderId="1" xfId="7" applyNumberFormat="1" applyFont="1" applyFill="1" applyBorder="1" applyAlignment="1"/>
    <xf numFmtId="180" fontId="5" fillId="6" borderId="0" xfId="5" applyNumberFormat="1" applyFont="1" applyFill="1"/>
    <xf numFmtId="180" fontId="18" fillId="6" borderId="0" xfId="5" applyNumberFormat="1" applyFont="1" applyFill="1"/>
    <xf numFmtId="180" fontId="5" fillId="6" borderId="0" xfId="5" applyNumberFormat="1" applyFont="1" applyFill="1" applyAlignment="1">
      <alignment horizontal="right"/>
    </xf>
    <xf numFmtId="180" fontId="5" fillId="6" borderId="0" xfId="5" applyNumberFormat="1" applyFont="1" applyFill="1" applyBorder="1"/>
    <xf numFmtId="180" fontId="5" fillId="6" borderId="0" xfId="5" applyNumberFormat="1" applyFont="1" applyFill="1" applyBorder="1" applyAlignment="1">
      <alignment horizontal="right"/>
    </xf>
    <xf numFmtId="180" fontId="18" fillId="6" borderId="0" xfId="5" applyNumberFormat="1" applyFont="1" applyFill="1" applyBorder="1"/>
    <xf numFmtId="180" fontId="5" fillId="6" borderId="1" xfId="7" applyNumberFormat="1" applyFont="1" applyFill="1" applyBorder="1" applyAlignment="1"/>
    <xf numFmtId="180" fontId="5" fillId="6" borderId="0" xfId="7" applyNumberFormat="1" applyFont="1" applyFill="1" applyBorder="1" applyAlignment="1"/>
    <xf numFmtId="180" fontId="18" fillId="6" borderId="0" xfId="7" applyNumberFormat="1" applyFont="1" applyFill="1" applyBorder="1" applyAlignment="1"/>
    <xf numFmtId="3" fontId="5" fillId="17" borderId="0" xfId="4" applyNumberFormat="1" applyFont="1" applyFill="1"/>
    <xf numFmtId="167" fontId="17" fillId="17" borderId="0" xfId="4" applyNumberFormat="1" applyFont="1" applyFill="1" applyAlignment="1">
      <alignment horizontal="center"/>
    </xf>
    <xf numFmtId="0" fontId="5" fillId="6" borderId="9" xfId="4" applyFont="1" applyFill="1" applyBorder="1"/>
    <xf numFmtId="180" fontId="5" fillId="6" borderId="9" xfId="7" applyNumberFormat="1" applyFont="1" applyFill="1" applyBorder="1" applyAlignment="1"/>
    <xf numFmtId="0" fontId="5" fillId="6" borderId="11" xfId="4" applyFont="1" applyFill="1" applyBorder="1"/>
    <xf numFmtId="167" fontId="17" fillId="6" borderId="11" xfId="4" applyNumberFormat="1" applyFont="1" applyFill="1" applyBorder="1"/>
    <xf numFmtId="44" fontId="5" fillId="6" borderId="0" xfId="4" applyNumberFormat="1" applyFont="1" applyFill="1" applyAlignment="1">
      <alignment horizontal="center"/>
    </xf>
    <xf numFmtId="0" fontId="2" fillId="0" borderId="0" xfId="8" applyFont="1"/>
    <xf numFmtId="0" fontId="0" fillId="0" borderId="0" xfId="0" applyAlignment="1">
      <alignment horizontal="center" vertical="center"/>
    </xf>
    <xf numFmtId="0" fontId="32" fillId="0" borderId="0" xfId="0" applyFont="1" applyAlignment="1">
      <alignment vertical="center"/>
    </xf>
    <xf numFmtId="0" fontId="1" fillId="0" borderId="0" xfId="4" applyFont="1"/>
    <xf numFmtId="173" fontId="4" fillId="0" borderId="0" xfId="4" applyNumberFormat="1"/>
    <xf numFmtId="9" fontId="1" fillId="0" borderId="0" xfId="1" applyFont="1"/>
    <xf numFmtId="7" fontId="0" fillId="0" borderId="0" xfId="0" applyNumberFormat="1" applyAlignment="1">
      <alignment horizontal="center"/>
    </xf>
    <xf numFmtId="173" fontId="21" fillId="0" borderId="3" xfId="10" applyNumberFormat="1" applyFont="1" applyBorder="1"/>
    <xf numFmtId="0" fontId="0" fillId="0" borderId="2" xfId="0" applyBorder="1" applyAlignment="1">
      <alignment horizontal="center"/>
    </xf>
    <xf numFmtId="5" fontId="10" fillId="0" borderId="0" xfId="2" applyNumberFormat="1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175" fontId="10" fillId="0" borderId="2" xfId="2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6" borderId="2" xfId="0" applyFill="1" applyBorder="1"/>
    <xf numFmtId="0" fontId="0" fillId="0" borderId="2" xfId="0" applyBorder="1"/>
    <xf numFmtId="5" fontId="8" fillId="0" borderId="0" xfId="2" applyNumberFormat="1" applyFont="1" applyFill="1" applyBorder="1" applyAlignment="1">
      <alignment horizontal="center"/>
    </xf>
    <xf numFmtId="175" fontId="8" fillId="0" borderId="0" xfId="2" applyNumberFormat="1" applyFont="1" applyFill="1" applyBorder="1" applyAlignment="1">
      <alignment horizontal="center"/>
    </xf>
    <xf numFmtId="37" fontId="18" fillId="0" borderId="0" xfId="0" applyNumberFormat="1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77" fontId="18" fillId="6" borderId="0" xfId="4" applyNumberFormat="1" applyFont="1" applyFill="1" applyAlignment="1">
      <alignment horizontal="center"/>
    </xf>
  </cellXfs>
  <cellStyles count="12">
    <cellStyle name="Comma" xfId="10" builtinId="3"/>
    <cellStyle name="Comma 5" xfId="6" xr:uid="{C484F626-8EC6-4110-894F-66F1C4305887}"/>
    <cellStyle name="Currency" xfId="11" builtinId="4"/>
    <cellStyle name="Currency 2" xfId="7" xr:uid="{11FC8905-8D88-44C7-9513-ACB60C68BE9A}"/>
    <cellStyle name="Currency 3" xfId="9" xr:uid="{2CBF3789-77BF-437E-82B9-3961AC5F0C85}"/>
    <cellStyle name="DataOutput" xfId="2" xr:uid="{A5B9C1DB-8ACB-4A0A-BDDE-999CBFFD4CDC}"/>
    <cellStyle name="Normal" xfId="0" builtinId="0"/>
    <cellStyle name="Normal 2" xfId="3" xr:uid="{B9909FE7-1D67-47AF-8745-A20D6CA072AE}"/>
    <cellStyle name="Normal 3" xfId="8" xr:uid="{6FC3D168-802B-4152-B6BE-B362CE3074CD}"/>
    <cellStyle name="Normal 7" xfId="4" xr:uid="{5870CAA5-B9BC-4080-A396-DA43FAD9395C}"/>
    <cellStyle name="Percent" xfId="1" builtinId="5"/>
    <cellStyle name="Percent 4" xfId="5" xr:uid="{3040CB52-6E6E-480A-A046-280A21952468}"/>
  </cellStyles>
  <dxfs count="0"/>
  <tableStyles count="0" defaultTableStyle="TableStyleMedium2" defaultPivotStyle="PivotStyleLight16"/>
  <colors>
    <mruColors>
      <color rgb="FFFFE38B"/>
      <color rgb="FFFFCCFF"/>
      <color rgb="FFE49EDD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99" Type="http://schemas.openxmlformats.org/officeDocument/2006/relationships/externalLink" Target="externalLinks/externalLink294.xml"/><Relationship Id="rId21" Type="http://schemas.openxmlformats.org/officeDocument/2006/relationships/externalLink" Target="externalLinks/externalLink16.xml"/><Relationship Id="rId63" Type="http://schemas.openxmlformats.org/officeDocument/2006/relationships/externalLink" Target="externalLinks/externalLink58.xml"/><Relationship Id="rId159" Type="http://schemas.openxmlformats.org/officeDocument/2006/relationships/externalLink" Target="externalLinks/externalLink154.xml"/><Relationship Id="rId170" Type="http://schemas.openxmlformats.org/officeDocument/2006/relationships/externalLink" Target="externalLinks/externalLink165.xml"/><Relationship Id="rId226" Type="http://schemas.openxmlformats.org/officeDocument/2006/relationships/externalLink" Target="externalLinks/externalLink221.xml"/><Relationship Id="rId268" Type="http://schemas.openxmlformats.org/officeDocument/2006/relationships/externalLink" Target="externalLinks/externalLink263.xml"/><Relationship Id="rId32" Type="http://schemas.openxmlformats.org/officeDocument/2006/relationships/externalLink" Target="externalLinks/externalLink27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76.xml"/><Relationship Id="rId237" Type="http://schemas.openxmlformats.org/officeDocument/2006/relationships/externalLink" Target="externalLinks/externalLink232.xml"/><Relationship Id="rId279" Type="http://schemas.openxmlformats.org/officeDocument/2006/relationships/externalLink" Target="externalLinks/externalLink274.xml"/><Relationship Id="rId43" Type="http://schemas.openxmlformats.org/officeDocument/2006/relationships/externalLink" Target="externalLinks/externalLink38.xml"/><Relationship Id="rId139" Type="http://schemas.openxmlformats.org/officeDocument/2006/relationships/externalLink" Target="externalLinks/externalLink134.xml"/><Relationship Id="rId290" Type="http://schemas.openxmlformats.org/officeDocument/2006/relationships/externalLink" Target="externalLinks/externalLink285.xml"/><Relationship Id="rId304" Type="http://schemas.openxmlformats.org/officeDocument/2006/relationships/externalLink" Target="externalLinks/externalLink299.xml"/><Relationship Id="rId85" Type="http://schemas.openxmlformats.org/officeDocument/2006/relationships/externalLink" Target="externalLinks/externalLink80.xml"/><Relationship Id="rId150" Type="http://schemas.openxmlformats.org/officeDocument/2006/relationships/externalLink" Target="externalLinks/externalLink145.xml"/><Relationship Id="rId192" Type="http://schemas.openxmlformats.org/officeDocument/2006/relationships/externalLink" Target="externalLinks/externalLink187.xml"/><Relationship Id="rId206" Type="http://schemas.openxmlformats.org/officeDocument/2006/relationships/externalLink" Target="externalLinks/externalLink201.xml"/><Relationship Id="rId248" Type="http://schemas.openxmlformats.org/officeDocument/2006/relationships/externalLink" Target="externalLinks/externalLink243.xml"/><Relationship Id="rId12" Type="http://schemas.openxmlformats.org/officeDocument/2006/relationships/externalLink" Target="externalLinks/externalLink7.xml"/><Relationship Id="rId108" Type="http://schemas.openxmlformats.org/officeDocument/2006/relationships/externalLink" Target="externalLinks/externalLink103.xml"/><Relationship Id="rId54" Type="http://schemas.openxmlformats.org/officeDocument/2006/relationships/externalLink" Target="externalLinks/externalLink49.xml"/><Relationship Id="rId96" Type="http://schemas.openxmlformats.org/officeDocument/2006/relationships/externalLink" Target="externalLinks/externalLink91.xml"/><Relationship Id="rId161" Type="http://schemas.openxmlformats.org/officeDocument/2006/relationships/externalLink" Target="externalLinks/externalLink156.xml"/><Relationship Id="rId217" Type="http://schemas.openxmlformats.org/officeDocument/2006/relationships/externalLink" Target="externalLinks/externalLink212.xml"/><Relationship Id="rId259" Type="http://schemas.openxmlformats.org/officeDocument/2006/relationships/externalLink" Target="externalLinks/externalLink254.xml"/><Relationship Id="rId23" Type="http://schemas.openxmlformats.org/officeDocument/2006/relationships/externalLink" Target="externalLinks/externalLink18.xml"/><Relationship Id="rId119" Type="http://schemas.openxmlformats.org/officeDocument/2006/relationships/externalLink" Target="externalLinks/externalLink114.xml"/><Relationship Id="rId270" Type="http://schemas.openxmlformats.org/officeDocument/2006/relationships/externalLink" Target="externalLinks/externalLink265.xml"/><Relationship Id="rId44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51" Type="http://schemas.openxmlformats.org/officeDocument/2006/relationships/externalLink" Target="externalLinks/externalLink146.xml"/><Relationship Id="rId172" Type="http://schemas.openxmlformats.org/officeDocument/2006/relationships/externalLink" Target="externalLinks/externalLink167.xml"/><Relationship Id="rId193" Type="http://schemas.openxmlformats.org/officeDocument/2006/relationships/externalLink" Target="externalLinks/externalLink188.xml"/><Relationship Id="rId207" Type="http://schemas.openxmlformats.org/officeDocument/2006/relationships/externalLink" Target="externalLinks/externalLink202.xml"/><Relationship Id="rId228" Type="http://schemas.openxmlformats.org/officeDocument/2006/relationships/externalLink" Target="externalLinks/externalLink223.xml"/><Relationship Id="rId249" Type="http://schemas.openxmlformats.org/officeDocument/2006/relationships/externalLink" Target="externalLinks/externalLink244.xml"/><Relationship Id="rId13" Type="http://schemas.openxmlformats.org/officeDocument/2006/relationships/externalLink" Target="externalLinks/externalLink8.xml"/><Relationship Id="rId109" Type="http://schemas.openxmlformats.org/officeDocument/2006/relationships/externalLink" Target="externalLinks/externalLink104.xml"/><Relationship Id="rId260" Type="http://schemas.openxmlformats.org/officeDocument/2006/relationships/externalLink" Target="externalLinks/externalLink255.xml"/><Relationship Id="rId281" Type="http://schemas.openxmlformats.org/officeDocument/2006/relationships/externalLink" Target="externalLinks/externalLink276.xml"/><Relationship Id="rId34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20" Type="http://schemas.openxmlformats.org/officeDocument/2006/relationships/externalLink" Target="externalLinks/externalLink115.xml"/><Relationship Id="rId141" Type="http://schemas.openxmlformats.org/officeDocument/2006/relationships/externalLink" Target="externalLinks/externalLink136.xml"/><Relationship Id="rId7" Type="http://schemas.openxmlformats.org/officeDocument/2006/relationships/externalLink" Target="externalLinks/externalLink2.xml"/><Relationship Id="rId162" Type="http://schemas.openxmlformats.org/officeDocument/2006/relationships/externalLink" Target="externalLinks/externalLink157.xml"/><Relationship Id="rId183" Type="http://schemas.openxmlformats.org/officeDocument/2006/relationships/externalLink" Target="externalLinks/externalLink178.xml"/><Relationship Id="rId218" Type="http://schemas.openxmlformats.org/officeDocument/2006/relationships/externalLink" Target="externalLinks/externalLink213.xml"/><Relationship Id="rId239" Type="http://schemas.openxmlformats.org/officeDocument/2006/relationships/externalLink" Target="externalLinks/externalLink234.xml"/><Relationship Id="rId250" Type="http://schemas.openxmlformats.org/officeDocument/2006/relationships/externalLink" Target="externalLinks/externalLink245.xml"/><Relationship Id="rId271" Type="http://schemas.openxmlformats.org/officeDocument/2006/relationships/externalLink" Target="externalLinks/externalLink266.xml"/><Relationship Id="rId292" Type="http://schemas.openxmlformats.org/officeDocument/2006/relationships/externalLink" Target="externalLinks/externalLink287.xml"/><Relationship Id="rId306" Type="http://schemas.openxmlformats.org/officeDocument/2006/relationships/externalLink" Target="externalLinks/externalLink301.xml"/><Relationship Id="rId24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31" Type="http://schemas.openxmlformats.org/officeDocument/2006/relationships/externalLink" Target="externalLinks/externalLink126.xml"/><Relationship Id="rId152" Type="http://schemas.openxmlformats.org/officeDocument/2006/relationships/externalLink" Target="externalLinks/externalLink147.xml"/><Relationship Id="rId173" Type="http://schemas.openxmlformats.org/officeDocument/2006/relationships/externalLink" Target="externalLinks/externalLink168.xml"/><Relationship Id="rId194" Type="http://schemas.openxmlformats.org/officeDocument/2006/relationships/externalLink" Target="externalLinks/externalLink189.xml"/><Relationship Id="rId208" Type="http://schemas.openxmlformats.org/officeDocument/2006/relationships/externalLink" Target="externalLinks/externalLink203.xml"/><Relationship Id="rId229" Type="http://schemas.openxmlformats.org/officeDocument/2006/relationships/externalLink" Target="externalLinks/externalLink224.xml"/><Relationship Id="rId240" Type="http://schemas.openxmlformats.org/officeDocument/2006/relationships/externalLink" Target="externalLinks/externalLink235.xml"/><Relationship Id="rId261" Type="http://schemas.openxmlformats.org/officeDocument/2006/relationships/externalLink" Target="externalLinks/externalLink256.xml"/><Relationship Id="rId14" Type="http://schemas.openxmlformats.org/officeDocument/2006/relationships/externalLink" Target="externalLinks/externalLink9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282" Type="http://schemas.openxmlformats.org/officeDocument/2006/relationships/externalLink" Target="externalLinks/externalLink277.xml"/><Relationship Id="rId8" Type="http://schemas.openxmlformats.org/officeDocument/2006/relationships/externalLink" Target="externalLinks/externalLink3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163" Type="http://schemas.openxmlformats.org/officeDocument/2006/relationships/externalLink" Target="externalLinks/externalLink158.xml"/><Relationship Id="rId184" Type="http://schemas.openxmlformats.org/officeDocument/2006/relationships/externalLink" Target="externalLinks/externalLink179.xml"/><Relationship Id="rId219" Type="http://schemas.openxmlformats.org/officeDocument/2006/relationships/externalLink" Target="externalLinks/externalLink214.xml"/><Relationship Id="rId230" Type="http://schemas.openxmlformats.org/officeDocument/2006/relationships/externalLink" Target="externalLinks/externalLink225.xml"/><Relationship Id="rId251" Type="http://schemas.openxmlformats.org/officeDocument/2006/relationships/externalLink" Target="externalLinks/externalLink246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272" Type="http://schemas.openxmlformats.org/officeDocument/2006/relationships/externalLink" Target="externalLinks/externalLink267.xml"/><Relationship Id="rId293" Type="http://schemas.openxmlformats.org/officeDocument/2006/relationships/externalLink" Target="externalLinks/externalLink288.xml"/><Relationship Id="rId307" Type="http://schemas.openxmlformats.org/officeDocument/2006/relationships/externalLink" Target="externalLinks/externalLink302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3" Type="http://schemas.openxmlformats.org/officeDocument/2006/relationships/externalLink" Target="externalLinks/externalLink148.xml"/><Relationship Id="rId174" Type="http://schemas.openxmlformats.org/officeDocument/2006/relationships/externalLink" Target="externalLinks/externalLink169.xml"/><Relationship Id="rId195" Type="http://schemas.openxmlformats.org/officeDocument/2006/relationships/externalLink" Target="externalLinks/externalLink190.xml"/><Relationship Id="rId209" Type="http://schemas.openxmlformats.org/officeDocument/2006/relationships/externalLink" Target="externalLinks/externalLink204.xml"/><Relationship Id="rId220" Type="http://schemas.openxmlformats.org/officeDocument/2006/relationships/externalLink" Target="externalLinks/externalLink215.xml"/><Relationship Id="rId241" Type="http://schemas.openxmlformats.org/officeDocument/2006/relationships/externalLink" Target="externalLinks/externalLink236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262" Type="http://schemas.openxmlformats.org/officeDocument/2006/relationships/externalLink" Target="externalLinks/externalLink257.xml"/><Relationship Id="rId283" Type="http://schemas.openxmlformats.org/officeDocument/2006/relationships/externalLink" Target="externalLinks/externalLink278.xml"/><Relationship Id="rId78" Type="http://schemas.openxmlformats.org/officeDocument/2006/relationships/externalLink" Target="externalLinks/externalLink73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64" Type="http://schemas.openxmlformats.org/officeDocument/2006/relationships/externalLink" Target="externalLinks/externalLink159.xml"/><Relationship Id="rId185" Type="http://schemas.openxmlformats.org/officeDocument/2006/relationships/externalLink" Target="externalLinks/externalLink180.xml"/><Relationship Id="rId9" Type="http://schemas.openxmlformats.org/officeDocument/2006/relationships/externalLink" Target="externalLinks/externalLink4.xml"/><Relationship Id="rId210" Type="http://schemas.openxmlformats.org/officeDocument/2006/relationships/externalLink" Target="externalLinks/externalLink205.xml"/><Relationship Id="rId26" Type="http://schemas.openxmlformats.org/officeDocument/2006/relationships/externalLink" Target="externalLinks/externalLink21.xml"/><Relationship Id="rId231" Type="http://schemas.openxmlformats.org/officeDocument/2006/relationships/externalLink" Target="externalLinks/externalLink226.xml"/><Relationship Id="rId252" Type="http://schemas.openxmlformats.org/officeDocument/2006/relationships/externalLink" Target="externalLinks/externalLink247.xml"/><Relationship Id="rId273" Type="http://schemas.openxmlformats.org/officeDocument/2006/relationships/externalLink" Target="externalLinks/externalLink268.xml"/><Relationship Id="rId294" Type="http://schemas.openxmlformats.org/officeDocument/2006/relationships/externalLink" Target="externalLinks/externalLink289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54" Type="http://schemas.openxmlformats.org/officeDocument/2006/relationships/externalLink" Target="externalLinks/externalLink149.xml"/><Relationship Id="rId175" Type="http://schemas.openxmlformats.org/officeDocument/2006/relationships/externalLink" Target="externalLinks/externalLink170.xml"/><Relationship Id="rId196" Type="http://schemas.openxmlformats.org/officeDocument/2006/relationships/externalLink" Target="externalLinks/externalLink191.xml"/><Relationship Id="rId200" Type="http://schemas.openxmlformats.org/officeDocument/2006/relationships/externalLink" Target="externalLinks/externalLink195.xml"/><Relationship Id="rId16" Type="http://schemas.openxmlformats.org/officeDocument/2006/relationships/externalLink" Target="externalLinks/externalLink11.xml"/><Relationship Id="rId221" Type="http://schemas.openxmlformats.org/officeDocument/2006/relationships/externalLink" Target="externalLinks/externalLink216.xml"/><Relationship Id="rId242" Type="http://schemas.openxmlformats.org/officeDocument/2006/relationships/externalLink" Target="externalLinks/externalLink237.xml"/><Relationship Id="rId263" Type="http://schemas.openxmlformats.org/officeDocument/2006/relationships/externalLink" Target="externalLinks/externalLink258.xml"/><Relationship Id="rId284" Type="http://schemas.openxmlformats.org/officeDocument/2006/relationships/externalLink" Target="externalLinks/externalLink279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Relationship Id="rId165" Type="http://schemas.openxmlformats.org/officeDocument/2006/relationships/externalLink" Target="externalLinks/externalLink160.xml"/><Relationship Id="rId186" Type="http://schemas.openxmlformats.org/officeDocument/2006/relationships/externalLink" Target="externalLinks/externalLink181.xml"/><Relationship Id="rId211" Type="http://schemas.openxmlformats.org/officeDocument/2006/relationships/externalLink" Target="externalLinks/externalLink206.xml"/><Relationship Id="rId232" Type="http://schemas.openxmlformats.org/officeDocument/2006/relationships/externalLink" Target="externalLinks/externalLink227.xml"/><Relationship Id="rId253" Type="http://schemas.openxmlformats.org/officeDocument/2006/relationships/externalLink" Target="externalLinks/externalLink248.xml"/><Relationship Id="rId274" Type="http://schemas.openxmlformats.org/officeDocument/2006/relationships/externalLink" Target="externalLinks/externalLink269.xml"/><Relationship Id="rId295" Type="http://schemas.openxmlformats.org/officeDocument/2006/relationships/externalLink" Target="externalLinks/externalLink290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34" Type="http://schemas.openxmlformats.org/officeDocument/2006/relationships/externalLink" Target="externalLinks/externalLink129.xml"/><Relationship Id="rId80" Type="http://schemas.openxmlformats.org/officeDocument/2006/relationships/externalLink" Target="externalLinks/externalLink75.xml"/><Relationship Id="rId155" Type="http://schemas.openxmlformats.org/officeDocument/2006/relationships/externalLink" Target="externalLinks/externalLink150.xml"/><Relationship Id="rId176" Type="http://schemas.openxmlformats.org/officeDocument/2006/relationships/externalLink" Target="externalLinks/externalLink171.xml"/><Relationship Id="rId197" Type="http://schemas.openxmlformats.org/officeDocument/2006/relationships/externalLink" Target="externalLinks/externalLink192.xml"/><Relationship Id="rId201" Type="http://schemas.openxmlformats.org/officeDocument/2006/relationships/externalLink" Target="externalLinks/externalLink196.xml"/><Relationship Id="rId222" Type="http://schemas.openxmlformats.org/officeDocument/2006/relationships/externalLink" Target="externalLinks/externalLink217.xml"/><Relationship Id="rId243" Type="http://schemas.openxmlformats.org/officeDocument/2006/relationships/externalLink" Target="externalLinks/externalLink238.xml"/><Relationship Id="rId264" Type="http://schemas.openxmlformats.org/officeDocument/2006/relationships/externalLink" Target="externalLinks/externalLink259.xml"/><Relationship Id="rId285" Type="http://schemas.openxmlformats.org/officeDocument/2006/relationships/externalLink" Target="externalLinks/externalLink280.xml"/><Relationship Id="rId17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9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6.xml"/><Relationship Id="rId145" Type="http://schemas.openxmlformats.org/officeDocument/2006/relationships/externalLink" Target="externalLinks/externalLink140.xml"/><Relationship Id="rId166" Type="http://schemas.openxmlformats.org/officeDocument/2006/relationships/externalLink" Target="externalLinks/externalLink161.xml"/><Relationship Id="rId187" Type="http://schemas.openxmlformats.org/officeDocument/2006/relationships/externalLink" Target="externalLinks/externalLink182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7.xml"/><Relationship Id="rId233" Type="http://schemas.openxmlformats.org/officeDocument/2006/relationships/externalLink" Target="externalLinks/externalLink228.xml"/><Relationship Id="rId254" Type="http://schemas.openxmlformats.org/officeDocument/2006/relationships/externalLink" Target="externalLinks/externalLink249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275" Type="http://schemas.openxmlformats.org/officeDocument/2006/relationships/externalLink" Target="externalLinks/externalLink270.xml"/><Relationship Id="rId296" Type="http://schemas.openxmlformats.org/officeDocument/2006/relationships/externalLink" Target="externalLinks/externalLink291.xml"/><Relationship Id="rId300" Type="http://schemas.openxmlformats.org/officeDocument/2006/relationships/externalLink" Target="externalLinks/externalLink295.xml"/><Relationship Id="rId60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6.xml"/><Relationship Id="rId135" Type="http://schemas.openxmlformats.org/officeDocument/2006/relationships/externalLink" Target="externalLinks/externalLink130.xml"/><Relationship Id="rId156" Type="http://schemas.openxmlformats.org/officeDocument/2006/relationships/externalLink" Target="externalLinks/externalLink151.xml"/><Relationship Id="rId177" Type="http://schemas.openxmlformats.org/officeDocument/2006/relationships/externalLink" Target="externalLinks/externalLink172.xml"/><Relationship Id="rId198" Type="http://schemas.openxmlformats.org/officeDocument/2006/relationships/externalLink" Target="externalLinks/externalLink193.xml"/><Relationship Id="rId202" Type="http://schemas.openxmlformats.org/officeDocument/2006/relationships/externalLink" Target="externalLinks/externalLink197.xml"/><Relationship Id="rId223" Type="http://schemas.openxmlformats.org/officeDocument/2006/relationships/externalLink" Target="externalLinks/externalLink218.xml"/><Relationship Id="rId244" Type="http://schemas.openxmlformats.org/officeDocument/2006/relationships/externalLink" Target="externalLinks/externalLink239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265" Type="http://schemas.openxmlformats.org/officeDocument/2006/relationships/externalLink" Target="externalLinks/externalLink260.xml"/><Relationship Id="rId286" Type="http://schemas.openxmlformats.org/officeDocument/2006/relationships/externalLink" Target="externalLinks/externalLink281.xml"/><Relationship Id="rId50" Type="http://schemas.openxmlformats.org/officeDocument/2006/relationships/externalLink" Target="externalLinks/externalLink45.xml"/><Relationship Id="rId104" Type="http://schemas.openxmlformats.org/officeDocument/2006/relationships/externalLink" Target="externalLinks/externalLink99.xml"/><Relationship Id="rId125" Type="http://schemas.openxmlformats.org/officeDocument/2006/relationships/externalLink" Target="externalLinks/externalLink120.xml"/><Relationship Id="rId146" Type="http://schemas.openxmlformats.org/officeDocument/2006/relationships/externalLink" Target="externalLinks/externalLink141.xml"/><Relationship Id="rId167" Type="http://schemas.openxmlformats.org/officeDocument/2006/relationships/externalLink" Target="externalLinks/externalLink162.xml"/><Relationship Id="rId188" Type="http://schemas.openxmlformats.org/officeDocument/2006/relationships/externalLink" Target="externalLinks/externalLink183.xml"/><Relationship Id="rId311" Type="http://schemas.microsoft.com/office/2017/10/relationships/person" Target="persons/person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13" Type="http://schemas.openxmlformats.org/officeDocument/2006/relationships/externalLink" Target="externalLinks/externalLink208.xml"/><Relationship Id="rId234" Type="http://schemas.openxmlformats.org/officeDocument/2006/relationships/externalLink" Target="externalLinks/externalLink22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55" Type="http://schemas.openxmlformats.org/officeDocument/2006/relationships/externalLink" Target="externalLinks/externalLink250.xml"/><Relationship Id="rId276" Type="http://schemas.openxmlformats.org/officeDocument/2006/relationships/externalLink" Target="externalLinks/externalLink271.xml"/><Relationship Id="rId297" Type="http://schemas.openxmlformats.org/officeDocument/2006/relationships/externalLink" Target="externalLinks/externalLink292.xml"/><Relationship Id="rId40" Type="http://schemas.openxmlformats.org/officeDocument/2006/relationships/externalLink" Target="externalLinks/externalLink35.xml"/><Relationship Id="rId115" Type="http://schemas.openxmlformats.org/officeDocument/2006/relationships/externalLink" Target="externalLinks/externalLink110.xml"/><Relationship Id="rId136" Type="http://schemas.openxmlformats.org/officeDocument/2006/relationships/externalLink" Target="externalLinks/externalLink131.xml"/><Relationship Id="rId157" Type="http://schemas.openxmlformats.org/officeDocument/2006/relationships/externalLink" Target="externalLinks/externalLink152.xml"/><Relationship Id="rId178" Type="http://schemas.openxmlformats.org/officeDocument/2006/relationships/externalLink" Target="externalLinks/externalLink173.xml"/><Relationship Id="rId301" Type="http://schemas.openxmlformats.org/officeDocument/2006/relationships/externalLink" Target="externalLinks/externalLink296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9" Type="http://schemas.openxmlformats.org/officeDocument/2006/relationships/externalLink" Target="externalLinks/externalLink194.xml"/><Relationship Id="rId203" Type="http://schemas.openxmlformats.org/officeDocument/2006/relationships/externalLink" Target="externalLinks/externalLink198.xml"/><Relationship Id="rId19" Type="http://schemas.openxmlformats.org/officeDocument/2006/relationships/externalLink" Target="externalLinks/externalLink14.xml"/><Relationship Id="rId224" Type="http://schemas.openxmlformats.org/officeDocument/2006/relationships/externalLink" Target="externalLinks/externalLink219.xml"/><Relationship Id="rId245" Type="http://schemas.openxmlformats.org/officeDocument/2006/relationships/externalLink" Target="externalLinks/externalLink240.xml"/><Relationship Id="rId266" Type="http://schemas.openxmlformats.org/officeDocument/2006/relationships/externalLink" Target="externalLinks/externalLink261.xml"/><Relationship Id="rId287" Type="http://schemas.openxmlformats.org/officeDocument/2006/relationships/externalLink" Target="externalLinks/externalLink282.xml"/><Relationship Id="rId30" Type="http://schemas.openxmlformats.org/officeDocument/2006/relationships/externalLink" Target="externalLinks/externalLink2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168" Type="http://schemas.openxmlformats.org/officeDocument/2006/relationships/externalLink" Target="externalLinks/externalLink163.xml"/><Relationship Id="rId312" Type="http://schemas.openxmlformats.org/officeDocument/2006/relationships/calcChain" Target="calcChain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189" Type="http://schemas.openxmlformats.org/officeDocument/2006/relationships/externalLink" Target="externalLinks/externalLink184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9.xml"/><Relationship Id="rId235" Type="http://schemas.openxmlformats.org/officeDocument/2006/relationships/externalLink" Target="externalLinks/externalLink230.xml"/><Relationship Id="rId256" Type="http://schemas.openxmlformats.org/officeDocument/2006/relationships/externalLink" Target="externalLinks/externalLink251.xml"/><Relationship Id="rId277" Type="http://schemas.openxmlformats.org/officeDocument/2006/relationships/externalLink" Target="externalLinks/externalLink272.xml"/><Relationship Id="rId298" Type="http://schemas.openxmlformats.org/officeDocument/2006/relationships/externalLink" Target="externalLinks/externalLink293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158" Type="http://schemas.openxmlformats.org/officeDocument/2006/relationships/externalLink" Target="externalLinks/externalLink153.xml"/><Relationship Id="rId302" Type="http://schemas.openxmlformats.org/officeDocument/2006/relationships/externalLink" Target="externalLinks/externalLink297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179" Type="http://schemas.openxmlformats.org/officeDocument/2006/relationships/externalLink" Target="externalLinks/externalLink174.xml"/><Relationship Id="rId190" Type="http://schemas.openxmlformats.org/officeDocument/2006/relationships/externalLink" Target="externalLinks/externalLink185.xml"/><Relationship Id="rId204" Type="http://schemas.openxmlformats.org/officeDocument/2006/relationships/externalLink" Target="externalLinks/externalLink199.xml"/><Relationship Id="rId225" Type="http://schemas.openxmlformats.org/officeDocument/2006/relationships/externalLink" Target="externalLinks/externalLink220.xml"/><Relationship Id="rId246" Type="http://schemas.openxmlformats.org/officeDocument/2006/relationships/externalLink" Target="externalLinks/externalLink241.xml"/><Relationship Id="rId267" Type="http://schemas.openxmlformats.org/officeDocument/2006/relationships/externalLink" Target="externalLinks/externalLink262.xml"/><Relationship Id="rId288" Type="http://schemas.openxmlformats.org/officeDocument/2006/relationships/externalLink" Target="externalLinks/externalLink283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9.xml"/><Relationship Id="rId148" Type="http://schemas.openxmlformats.org/officeDocument/2006/relationships/externalLink" Target="externalLinks/externalLink143.xml"/><Relationship Id="rId169" Type="http://schemas.openxmlformats.org/officeDocument/2006/relationships/externalLink" Target="externalLinks/externalLink164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5.xml"/><Relationship Id="rId215" Type="http://schemas.openxmlformats.org/officeDocument/2006/relationships/externalLink" Target="externalLinks/externalLink210.xml"/><Relationship Id="rId236" Type="http://schemas.openxmlformats.org/officeDocument/2006/relationships/externalLink" Target="externalLinks/externalLink231.xml"/><Relationship Id="rId257" Type="http://schemas.openxmlformats.org/officeDocument/2006/relationships/externalLink" Target="externalLinks/externalLink252.xml"/><Relationship Id="rId278" Type="http://schemas.openxmlformats.org/officeDocument/2006/relationships/externalLink" Target="externalLinks/externalLink273.xml"/><Relationship Id="rId303" Type="http://schemas.openxmlformats.org/officeDocument/2006/relationships/externalLink" Target="externalLinks/externalLink298.xml"/><Relationship Id="rId42" Type="http://schemas.openxmlformats.org/officeDocument/2006/relationships/externalLink" Target="externalLinks/externalLink37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91" Type="http://schemas.openxmlformats.org/officeDocument/2006/relationships/externalLink" Target="externalLinks/externalLink186.xml"/><Relationship Id="rId205" Type="http://schemas.openxmlformats.org/officeDocument/2006/relationships/externalLink" Target="externalLinks/externalLink200.xml"/><Relationship Id="rId247" Type="http://schemas.openxmlformats.org/officeDocument/2006/relationships/externalLink" Target="externalLinks/externalLink242.xml"/><Relationship Id="rId107" Type="http://schemas.openxmlformats.org/officeDocument/2006/relationships/externalLink" Target="externalLinks/externalLink102.xml"/><Relationship Id="rId289" Type="http://schemas.openxmlformats.org/officeDocument/2006/relationships/externalLink" Target="externalLinks/externalLink284.xml"/><Relationship Id="rId11" Type="http://schemas.openxmlformats.org/officeDocument/2006/relationships/externalLink" Target="externalLinks/externalLink6.xml"/><Relationship Id="rId53" Type="http://schemas.openxmlformats.org/officeDocument/2006/relationships/externalLink" Target="externalLinks/externalLink48.xml"/><Relationship Id="rId149" Type="http://schemas.openxmlformats.org/officeDocument/2006/relationships/externalLink" Target="externalLinks/externalLink144.xml"/><Relationship Id="rId95" Type="http://schemas.openxmlformats.org/officeDocument/2006/relationships/externalLink" Target="externalLinks/externalLink90.xml"/><Relationship Id="rId160" Type="http://schemas.openxmlformats.org/officeDocument/2006/relationships/externalLink" Target="externalLinks/externalLink155.xml"/><Relationship Id="rId216" Type="http://schemas.openxmlformats.org/officeDocument/2006/relationships/externalLink" Target="externalLinks/externalLink211.xml"/><Relationship Id="rId258" Type="http://schemas.openxmlformats.org/officeDocument/2006/relationships/externalLink" Target="externalLinks/externalLink253.xml"/><Relationship Id="rId22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59.xml"/><Relationship Id="rId118" Type="http://schemas.openxmlformats.org/officeDocument/2006/relationships/externalLink" Target="externalLinks/externalLink113.xml"/><Relationship Id="rId171" Type="http://schemas.openxmlformats.org/officeDocument/2006/relationships/externalLink" Target="externalLinks/externalLink166.xml"/><Relationship Id="rId227" Type="http://schemas.openxmlformats.org/officeDocument/2006/relationships/externalLink" Target="externalLinks/externalLink222.xml"/><Relationship Id="rId269" Type="http://schemas.openxmlformats.org/officeDocument/2006/relationships/externalLink" Target="externalLinks/externalLink264.xml"/><Relationship Id="rId33" Type="http://schemas.openxmlformats.org/officeDocument/2006/relationships/externalLink" Target="externalLinks/externalLink28.xml"/><Relationship Id="rId129" Type="http://schemas.openxmlformats.org/officeDocument/2006/relationships/externalLink" Target="externalLinks/externalLink124.xml"/><Relationship Id="rId280" Type="http://schemas.openxmlformats.org/officeDocument/2006/relationships/externalLink" Target="externalLinks/externalLink275.xml"/><Relationship Id="rId75" Type="http://schemas.openxmlformats.org/officeDocument/2006/relationships/externalLink" Target="externalLinks/externalLink70.xml"/><Relationship Id="rId140" Type="http://schemas.openxmlformats.org/officeDocument/2006/relationships/externalLink" Target="externalLinks/externalLink135.xml"/><Relationship Id="rId182" Type="http://schemas.openxmlformats.org/officeDocument/2006/relationships/externalLink" Target="externalLinks/externalLink177.xml"/><Relationship Id="rId6" Type="http://schemas.openxmlformats.org/officeDocument/2006/relationships/externalLink" Target="externalLinks/externalLink1.xml"/><Relationship Id="rId238" Type="http://schemas.openxmlformats.org/officeDocument/2006/relationships/externalLink" Target="externalLinks/externalLink233.xml"/><Relationship Id="rId291" Type="http://schemas.openxmlformats.org/officeDocument/2006/relationships/externalLink" Target="externalLinks/externalLink286.xml"/><Relationship Id="rId305" Type="http://schemas.openxmlformats.org/officeDocument/2006/relationships/externalLink" Target="externalLinks/externalLink300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43E82407-D40A-4E95-9EF1-D2920DA34978}" userId="Author" providerId="None"/>
  <person displayName="Lucy Lu" id="{38C801B4-611B-446A-AE24-80FBA0811369}" userId="Lucy Lu" providerId="None"/>
  <person displayName="Raphael Haim" id="{0367E3F3-EFD7-4A1D-B1EB-DC6C9D2B6E98}" userId="S::Raphael.h@nanox.vision::629a5a88-b60b-4dec-bbfc-d25835277a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7" dT="2026-04-07T06:04:45.73" personId="{0367E3F3-EFD7-4A1D-B1EB-DC6C9D2B6E98}" id="{1A063F3E-D01D-4C8B-82B3-3E9B22E0DBE3}">
    <text>Wo. capital raises</text>
  </threadedComment>
  <threadedComment ref="G47" dT="2026-04-07T06:01:19.12" personId="{0367E3F3-EFD7-4A1D-B1EB-DC6C9D2B6E98}" id="{74BC6ED3-0314-4E6A-A6D4-CAEEEAD10A75}">
    <text>Korea loan repayment</text>
  </threadedComment>
  <threadedComment ref="B48" dT="2026-04-07T06:04:26.05" personId="{0367E3F3-EFD7-4A1D-B1EB-DC6C9D2B6E98}" id="{B5A5799D-1426-4F59-B807-2E88D8355C93}">
    <text>Due to large carryforward losses, no tax expense in those years forecast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7" dT="2026-01-26T13:43:28.99" personId="{0367E3F3-EFD7-4A1D-B1EB-DC6C9D2B6E98}" id="{1518ACEA-8AF2-44C5-B4B9-88206E9B1661}">
    <text>Avg. price</text>
  </threadedComment>
  <threadedComment ref="Q17" dT="2026-01-26T13:43:28.99" personId="{0367E3F3-EFD7-4A1D-B1EB-DC6C9D2B6E98}" id="{FA404F32-29A5-482A-B551-80A1E0BF2443}">
    <text>Avg. price</text>
  </threadedComment>
  <threadedComment ref="U17" dT="2026-01-26T13:43:28.99" personId="{0367E3F3-EFD7-4A1D-B1EB-DC6C9D2B6E98}" id="{66D38E9D-F2D6-4751-AFDB-40F2BCDEB0D6}">
    <text>Avg. price</text>
  </threadedComment>
  <threadedComment ref="Y17" dT="2026-01-26T13:43:28.99" personId="{0367E3F3-EFD7-4A1D-B1EB-DC6C9D2B6E98}" id="{8ECBC244-A787-480C-9563-B8C7816E8D1F}">
    <text>Avg. price</text>
  </threadedComment>
  <threadedComment ref="AC17" dT="2026-01-26T13:43:28.99" personId="{0367E3F3-EFD7-4A1D-B1EB-DC6C9D2B6E98}" id="{F0A0E537-0150-494F-947C-E77C8B905819}">
    <text>Avg. price</text>
  </threadedComment>
  <threadedComment ref="F23" dT="2024-10-28T16:42:44.05" personId="{43E82407-D40A-4E95-9EF1-D2920DA34978}" id="{4EE9F22F-071F-44A7-BA9D-E40A9B0B46BB}">
    <text>Ghana prepaid $7k? Subscription Revenue placement</text>
  </threadedComment>
  <threadedComment ref="F31" dT="2024-10-28T16:42:44.05" personId="{43E82407-D40A-4E95-9EF1-D2920DA34978}" id="{651CB055-5133-4E85-A069-5DF46700A5DE}">
    <text>Ghana prepaid $7k? Subscription Revenue placement</text>
  </threadedComment>
  <threadedComment ref="F33" dT="2024-10-27T22:35:06.48" personId="{43E82407-D40A-4E95-9EF1-D2920DA34978}" id="{08FA8BFF-B1A8-4565-8FC0-3D60DF1D9FB8}">
    <text>Per Ran</text>
  </threadedComment>
  <threadedComment ref="M33" dT="2026-01-26T20:13:13.15" personId="{0367E3F3-EFD7-4A1D-B1EB-DC6C9D2B6E98}" id="{678186E3-C7F7-4791-9DEE-7891347B2060}">
    <text>Weighted avg. price 2026 inc. Channel partners, Product 2.2 and Product X</text>
  </threadedComment>
  <threadedComment ref="N33" dT="2026-01-26T20:13:13.15" personId="{0367E3F3-EFD7-4A1D-B1EB-DC6C9D2B6E98}" id="{90C99D5D-B62D-4BE3-BB52-ABF048F5D73E}">
    <text>Weighted avg. price 2026 inc. Channel partners, Product 2.2 and Product X</text>
  </threadedComment>
  <threadedComment ref="B39" dT="2024-07-03T14:57:24.20" personId="{43E82407-D40A-4E95-9EF1-D2920DA34978}" id="{FA5E662A-7C0F-478D-AC30-3B8883B66388}">
    <text xml:space="preserve">Purchase service contract </text>
  </threadedComment>
  <threadedComment ref="B41" dT="2024-07-16T21:16:31.34" personId="{43E82407-D40A-4E95-9EF1-D2920DA34978}" id="{9D73F43F-8E3E-471F-8E02-91D6AB300C65}">
    <text>Price of $30k; 35% GM</text>
  </threadedComment>
  <threadedComment ref="F41" dT="2024-10-24T21:26:42.23" personId="{43E82407-D40A-4E95-9EF1-D2920DA34978}" id="{540DC25B-630C-490B-A7A7-47A1B947B5D7}">
    <text>Formerly $2M</text>
  </threadedComment>
  <threadedComment ref="F41" dT="2024-10-24T21:28:23.82" personId="{43E82407-D40A-4E95-9EF1-D2920DA34978}" id="{F52F1D6E-60D4-4B23-8DA9-9C72E10FB66E}" parentId="{540DC25B-630C-490B-A7A7-47A1B947B5D7}">
    <text>Will be Q4 2024</text>
  </threadedComment>
  <threadedComment ref="F43" dT="2024-07-16T21:11:51.85" personId="{43E82407-D40A-4E95-9EF1-D2920DA34978}" id="{00FDD38C-1BA7-4030-8FB4-A44311836749}">
    <text>No revenue currently</text>
  </threadedComment>
  <threadedComment ref="F43" dT="2024-10-24T21:27:07.58" personId="{43E82407-D40A-4E95-9EF1-D2920DA34978}" id="{7DB74B47-B5A8-4D37-8CC9-C6961CD1EF01}" parentId="{00FDD38C-1BA7-4030-8FB4-A44311836749}">
    <text>Previously 100</text>
  </threadedComment>
  <threadedComment ref="B45" dT="2024-10-24T21:48:48.34" personId="{43E82407-D40A-4E95-9EF1-D2920DA34978}" id="{6800B664-9C2B-4565-8161-6DFFA1A84370}">
    <text>Ran to get back on COGS for second opinion</text>
  </threadedComment>
  <threadedComment ref="B49" dT="2024-06-19T20:07:47.69" personId="{43E82407-D40A-4E95-9EF1-D2920DA34978}" id="{E0B8D3EE-09EF-4AE1-A380-622199D3136F}">
    <text>OEM; second opinions; data monetization</text>
  </threadedComment>
  <threadedComment ref="E51" dT="2024-07-01T16:30:08.48" personId="{43E82407-D40A-4E95-9EF1-D2920DA34978}" id="{BC5A1430-285C-45E5-8A5A-B17E171DB73A}">
    <text>Signed Intermountain, Covera, and Dandrion</text>
  </threadedComment>
  <threadedComment ref="E51" dT="2024-07-01T16:30:15.40" personId="{43E82407-D40A-4E95-9EF1-D2920DA34978}" id="{4B1351A1-5AD9-4822-9F99-AA656C4D54AE}" parentId="{BC5A1430-285C-45E5-8A5A-B17E171DB73A}">
    <text>Multiyear contracts</text>
  </threadedComment>
  <threadedComment ref="E51" dT="2024-07-09T22:14:15.05" personId="{43E82407-D40A-4E95-9EF1-D2920DA34978}" id="{82398158-F7CB-411B-88D6-72AA718E3F8E}" parentId="{BC5A1430-285C-45E5-8A5A-B17E171DB73A}">
    <text>75% contracted</text>
  </threadedComment>
  <threadedComment ref="E51" dT="2024-07-09T22:14:57.62" personId="{43E82407-D40A-4E95-9EF1-D2920DA34978}" id="{33C214ED-E594-49E9-B290-BCD9090BA3BE}" parentId="{BC5A1430-285C-45E5-8A5A-B17E171DB73A}">
    <text>Q3 will have 1 large contract; Q4 is go get - 3Q from Bayer</text>
  </threadedComment>
  <threadedComment ref="E51" dT="2024-10-24T21:31:00.96" personId="{43E82407-D40A-4E95-9EF1-D2920DA34978}" id="{816B6F8B-1A23-45BC-919C-C6AA0A2B5AC4}" parentId="{BC5A1430-285C-45E5-8A5A-B17E171DB73A}">
    <text>$800K revenue as of Q3</text>
  </threadedComment>
  <threadedComment ref="M51" dT="2024-10-28T16:48:13.29" personId="{43E82407-D40A-4E95-9EF1-D2920DA34978}" id="{4266C7E0-96B7-483A-8B5E-55814B3734EE}">
    <text>Inc. VASO- [Acquisition]</text>
  </threadedComment>
  <threadedComment ref="M51" dT="2024-10-28T16:48:35.92" personId="{43E82407-D40A-4E95-9EF1-D2920DA34978}" id="{16B57A0F-D35C-4FDB-AC17-F42B14B98AA2}" parentId="{4266C7E0-96B7-483A-8B5E-55814B3734EE}">
    <text>Originally $10M</text>
  </threadedComment>
  <threadedComment ref="E53" dT="2024-07-01T16:30:08.48" personId="{43E82407-D40A-4E95-9EF1-D2920DA34978}" id="{E37E8F97-2AE7-423F-95BD-8C188071BE54}">
    <text>Signed Intermountain, Covera, and Dandrion</text>
  </threadedComment>
  <threadedComment ref="E53" dT="2024-07-01T16:30:15.40" personId="{43E82407-D40A-4E95-9EF1-D2920DA34978}" id="{97F040A0-E04D-4C6D-A144-0BEB9BB7E737}" parentId="{E37E8F97-2AE7-423F-95BD-8C188071BE54}">
    <text>Multiyear contracts</text>
  </threadedComment>
  <threadedComment ref="E53" dT="2024-07-09T22:14:15.05" personId="{43E82407-D40A-4E95-9EF1-D2920DA34978}" id="{7D84CD94-7003-4BF6-8D30-B7A7DC3F9CB3}" parentId="{E37E8F97-2AE7-423F-95BD-8C188071BE54}">
    <text>75% contracted</text>
  </threadedComment>
  <threadedComment ref="E53" dT="2024-07-09T22:14:57.62" personId="{43E82407-D40A-4E95-9EF1-D2920DA34978}" id="{3076E326-B161-4FF4-8575-11F1A56A5F95}" parentId="{E37E8F97-2AE7-423F-95BD-8C188071BE54}">
    <text>Q3 will have 1 large contract; Q4 is go get - 3Q from Bayer</text>
  </threadedComment>
  <threadedComment ref="E53" dT="2024-10-24T21:31:00.96" personId="{43E82407-D40A-4E95-9EF1-D2920DA34978}" id="{0E71F305-69B9-4CF3-AC8B-953C31E18C09}" parentId="{E37E8F97-2AE7-423F-95BD-8C188071BE54}">
    <text>$800K revenue as of Q3</text>
  </threadedComment>
  <threadedComment ref="M53" dT="2024-10-28T16:48:13.29" personId="{43E82407-D40A-4E95-9EF1-D2920DA34978}" id="{B6469E5A-F09D-4753-8C52-A22412A8BC36}">
    <text>Inc. VASO- [Acquisition]</text>
  </threadedComment>
  <threadedComment ref="M53" dT="2024-10-28T16:48:35.92" personId="{43E82407-D40A-4E95-9EF1-D2920DA34978}" id="{398D8FEA-FABC-49D8-A75A-4DBE9F5398A5}" parentId="{B6469E5A-F09D-4753-8C52-A22412A8BC36}">
    <text>Originally $10M</text>
  </threadedComment>
  <threadedComment ref="E55" dT="2024-10-24T21:31:57.70" personId="{43E82407-D40A-4E95-9EF1-D2920DA34978}" id="{7F906B44-7407-42F3-8E59-5F2432426B8F}">
    <text xml:space="preserve">Previous $10K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7" dT="2026-01-27T08:01:59.57" personId="{0367E3F3-EFD7-4A1D-B1EB-DC6C9D2B6E98}" id="{39FD833B-3C84-45DD-8A1C-E5B72C87FB6F}">
    <text>Product sales row + AI sales</text>
  </threadedComment>
  <threadedComment ref="N7" dT="2026-01-27T08:01:59.57" personId="{0367E3F3-EFD7-4A1D-B1EB-DC6C9D2B6E98}" id="{1D832BDF-0793-4A0B-B476-7A944782A49C}">
    <text>Product sales row + AI sales</text>
  </threadedComment>
  <threadedComment ref="M10" dT="2026-01-27T08:04:32.13" personId="{0367E3F3-EFD7-4A1D-B1EB-DC6C9D2B6E98}" id="{164AE957-34C7-4943-9A1C-52B626D548A6}">
    <text>Product Customer Success Impact</text>
  </threadedComment>
  <threadedComment ref="M14" dT="2026-01-27T08:02:37.26" personId="{0367E3F3-EFD7-4A1D-B1EB-DC6C9D2B6E98}" id="{0E493C22-2CEA-41BE-9CAA-B0AA5191CB4C}">
    <text>Shared Resources Marketing</text>
  </threadedComment>
  <threadedComment ref="D22" dT="2024-07-10T12:31:58.67" personId="{43E82407-D40A-4E95-9EF1-D2920DA34978}" id="{ED676248-CE20-41DF-BE3B-E250A275864F}">
    <text>3-4 monthly salaries</text>
  </threadedComment>
  <threadedComment ref="E23" dT="2024-07-11T02:55:59.14" personId="{43E82407-D40A-4E95-9EF1-D2920DA34978}" id="{5F8028A5-AFD5-42C9-9C5C-A8FC81DD46DE}">
    <text>Per Gali 7/10</text>
  </threadedComment>
  <threadedComment ref="F23" dT="2024-07-11T02:55:59.14" personId="{43E82407-D40A-4E95-9EF1-D2920DA34978}" id="{2FAD5C15-FD75-4950-9FBB-D03877F36210}">
    <text>Per Gali 7/10</text>
  </threadedComment>
  <threadedComment ref="M26" dT="2026-01-27T08:21:33.38" personId="{0367E3F3-EFD7-4A1D-B1EB-DC6C9D2B6E98}" id="{B87497B3-5FE4-4C22-B565-421320E6DE23}">
    <text>Latest forecast</text>
  </threadedComment>
  <threadedComment ref="N26" dT="2026-01-27T08:17:19.30" personId="{0367E3F3-EFD7-4A1D-B1EB-DC6C9D2B6E98}" id="{C0799AAD-F0FC-49F7-B53A-5A65ACBB773D}">
    <text>Approved budget</text>
  </threadedComment>
  <threadedComment ref="M27" dT="2026-01-27T08:21:33.38" personId="{0367E3F3-EFD7-4A1D-B1EB-DC6C9D2B6E98}" id="{4B381868-C97F-4637-9B65-A9C98A5EF37F}">
    <text>Latest forecast</text>
  </threadedComment>
  <threadedComment ref="N27" dT="2026-01-27T08:17:19.30" personId="{0367E3F3-EFD7-4A1D-B1EB-DC6C9D2B6E98}" id="{A79270E0-8603-45FC-8052-06C7D42B2C71}">
    <text>Approved budget</text>
  </threadedComment>
  <threadedComment ref="N28" dT="2026-01-27T08:17:19.30" personId="{0367E3F3-EFD7-4A1D-B1EB-DC6C9D2B6E98}" id="{440FCA6E-2793-4B89-933D-AAB03534E9A2}">
    <text>Approved budget</text>
  </threadedComment>
  <threadedComment ref="M29" dT="2026-01-27T08:21:33.38" personId="{0367E3F3-EFD7-4A1D-B1EB-DC6C9D2B6E98}" id="{8F55796E-872F-43B6-9EA4-EFC7BCD6F119}">
    <text>Latest forecast</text>
  </threadedComment>
  <threadedComment ref="N29" dT="2026-01-27T08:17:19.30" personId="{0367E3F3-EFD7-4A1D-B1EB-DC6C9D2B6E98}" id="{C7C55876-AB30-4FD1-9198-76DDF3D39980}">
    <text>Approved budget</text>
  </threadedComment>
  <threadedComment ref="M30" dT="2026-01-27T08:21:33.38" personId="{0367E3F3-EFD7-4A1D-B1EB-DC6C9D2B6E98}" id="{C9CEF098-3E28-4DC6-8130-6EF0FAEBBE1B}">
    <text>Latest forecast</text>
  </threadedComment>
  <threadedComment ref="N30" dT="2026-01-27T08:17:19.30" personId="{0367E3F3-EFD7-4A1D-B1EB-DC6C9D2B6E98}" id="{CC60610B-A0F5-4610-8413-211FAD802269}">
    <text>Approved budget</text>
  </threadedComment>
  <threadedComment ref="M31" dT="2026-01-27T08:21:33.38" personId="{0367E3F3-EFD7-4A1D-B1EB-DC6C9D2B6E98}" id="{4ECD8A9B-A2D2-4349-9579-27EA1B3A43FA}">
    <text>Latest forecast</text>
  </threadedComment>
  <threadedComment ref="N31" dT="2026-01-27T08:17:19.30" personId="{0367E3F3-EFD7-4A1D-B1EB-DC6C9D2B6E98}" id="{FA09DBC8-32A7-4FA7-AE36-B9CA0040912F}">
    <text>Approved budget</text>
  </threadedComment>
  <threadedComment ref="J46" dT="2024-07-15T15:48:40.78" personId="{43E82407-D40A-4E95-9EF1-D2920DA34978}" id="{DA242AC2-DFDF-409C-B5B3-9C5FD324DE61}">
    <text>Radiologist working in the Product division (Shabshin)</text>
  </threadedComment>
  <threadedComment ref="M60" dT="2026-01-27T08:21:33.38" personId="{0367E3F3-EFD7-4A1D-B1EB-DC6C9D2B6E98}" id="{E19A72DC-91A9-4E75-91EF-36BDDF31905D}">
    <text>Latest forecast</text>
  </threadedComment>
  <threadedComment ref="N60" dT="2026-01-27T09:16:57.16" personId="{0367E3F3-EFD7-4A1D-B1EB-DC6C9D2B6E98}" id="{856BBBE8-63C6-46AA-BC3F-76216A138055}">
    <text>Approved budget</text>
  </threadedComment>
  <threadedComment ref="M61" dT="2026-01-27T08:21:33.38" personId="{0367E3F3-EFD7-4A1D-B1EB-DC6C9D2B6E98}" id="{3B067D2E-62AD-4233-833D-FF91D805C9ED}">
    <text>Latest forecast</text>
  </threadedComment>
  <threadedComment ref="N61" dT="2026-01-27T09:16:57.16" personId="{0367E3F3-EFD7-4A1D-B1EB-DC6C9D2B6E98}" id="{96953D93-3B13-49EB-90EE-8BC528544016}">
    <text>Approved budget</text>
  </threadedComment>
  <threadedComment ref="M62" dT="2026-01-27T08:21:33.38" personId="{0367E3F3-EFD7-4A1D-B1EB-DC6C9D2B6E98}" id="{FF8D4655-4A1C-40D3-8D4B-6E6BDC366F6D}">
    <text>Latest forecast</text>
  </threadedComment>
  <threadedComment ref="N62" dT="2026-01-27T09:16:57.16" personId="{0367E3F3-EFD7-4A1D-B1EB-DC6C9D2B6E98}" id="{71EC62F2-8647-48C1-BC7A-DF402BC188CE}">
    <text>Approved budget</text>
  </threadedComment>
  <threadedComment ref="M63" dT="2026-01-27T08:21:33.38" personId="{0367E3F3-EFD7-4A1D-B1EB-DC6C9D2B6E98}" id="{CBF2EBC3-D1D5-4559-87E0-8F9E55F45F1F}">
    <text>Latest forecast</text>
  </threadedComment>
  <threadedComment ref="N63" dT="2026-01-27T09:16:57.16" personId="{0367E3F3-EFD7-4A1D-B1EB-DC6C9D2B6E98}" id="{FB97593C-4FA5-4481-9DD3-37F45E51FD14}">
    <text>Approved budget</text>
  </threadedComment>
  <threadedComment ref="M64" dT="2026-01-27T08:21:33.38" personId="{0367E3F3-EFD7-4A1D-B1EB-DC6C9D2B6E98}" id="{8F467572-D28E-4E52-8988-FC29B079DBC4}">
    <text>Latest forecast</text>
  </threadedComment>
  <threadedComment ref="N64" dT="2026-01-27T09:16:57.16" personId="{0367E3F3-EFD7-4A1D-B1EB-DC6C9D2B6E98}" id="{B15740C5-CF04-4D4A-941E-DD82F5C5D843}">
    <text>Approved budget</text>
  </threadedComment>
  <threadedComment ref="M65" dT="2026-01-27T08:21:33.38" personId="{0367E3F3-EFD7-4A1D-B1EB-DC6C9D2B6E98}" id="{E3F83B98-1272-434E-A1E5-F68CD366DA9E}">
    <text>Latest forecast</text>
  </threadedComment>
  <threadedComment ref="N65" dT="2026-01-27T09:16:57.16" personId="{0367E3F3-EFD7-4A1D-B1EB-DC6C9D2B6E98}" id="{FA6650EA-1334-4E90-98B1-9FD9561EA87C}">
    <text>Approved budget</text>
  </threadedComment>
  <threadedComment ref="M66" dT="2026-01-27T08:21:33.38" personId="{0367E3F3-EFD7-4A1D-B1EB-DC6C9D2B6E98}" id="{25165074-9A6F-4BD2-928D-3C2125F2D7D0}">
    <text>Latest forecast</text>
  </threadedComment>
  <threadedComment ref="N66" dT="2026-01-27T09:16:57.16" personId="{0367E3F3-EFD7-4A1D-B1EB-DC6C9D2B6E98}" id="{236216A7-5745-4542-A64A-18CBB08ADE22}">
    <text>Approved budget</text>
  </threadedComment>
  <threadedComment ref="J80" dT="2026-01-27T10:01:57.52" personId="{0367E3F3-EFD7-4A1D-B1EB-DC6C9D2B6E98}" id="{AE5E6D65-23FB-48F0-AC7C-4E281931973F}">
    <text>Inc. AI. 
Wo. IT, Finance, Source in Professional fees</text>
  </threadedComment>
  <threadedComment ref="J99" dT="2026-01-28T07:51:01.79" personId="{0367E3F3-EFD7-4A1D-B1EB-DC6C9D2B6E98}" id="{4506C3E4-23CD-4314-8ECF-5E6513AF88DD}">
    <text>As part of professional fees</text>
  </threadedComment>
  <threadedComment ref="J100" dT="2026-01-28T07:53:52.23" personId="{0367E3F3-EFD7-4A1D-B1EB-DC6C9D2B6E98}" id="{ECB2E3BC-1613-4D1F-8488-B24421BAA635}">
    <text>As part of professional fees</text>
  </threadedComment>
  <threadedComment ref="N113" dT="2026-01-28T09:52:56.80" personId="{0367E3F3-EFD7-4A1D-B1EB-DC6C9D2B6E98}" id="{FF9EA9C7-C53A-491D-9A9F-4F9E67F76CCC}">
    <text>Increase from [Division 1] +HIT</text>
  </threadedComment>
  <threadedComment ref="J122" dT="2024-07-15T06:10:43.99" personId="{43E82407-D40A-4E95-9EF1-D2920DA34978}" id="{25E6CF83-5FF2-406E-9DD8-C3614262EAD2}">
    <text>Recruiting, import, other</text>
  </threadedComment>
  <threadedComment ref="D172" dT="2026-01-28T08:34:25.36" personId="{0367E3F3-EFD7-4A1D-B1EB-DC6C9D2B6E98}" id="{290EFF20-9812-4556-862A-EBF456D441B7}">
    <text>Only for VC and NH sites</text>
  </threadedComment>
  <threadedComment ref="T211" dT="2024-11-11T22:52:15.71" personId="{38C801B4-611B-446A-AE24-80FBA0811369}" id="{B18570EB-2016-463D-BEB1-4B9F32C8336E}">
    <text xml:space="preserve">0.5% step down in SBC per head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64B8-7EE8-495E-934D-54F8A9657270}">
  <sheetPr>
    <pageSetUpPr fitToPage="1"/>
  </sheetPr>
  <dimension ref="A1:L10"/>
  <sheetViews>
    <sheetView zoomScale="80" zoomScaleNormal="80" workbookViewId="0">
      <selection activeCell="B1" sqref="B1"/>
    </sheetView>
  </sheetViews>
  <sheetFormatPr defaultRowHeight="14" x14ac:dyDescent="0.3"/>
  <cols>
    <col min="1" max="1" width="3.33203125" style="356" customWidth="1"/>
    <col min="2" max="2" width="8.58203125" style="14"/>
  </cols>
  <sheetData>
    <row r="1" spans="1:12" x14ac:dyDescent="0.3">
      <c r="A1" s="356">
        <v>1</v>
      </c>
      <c r="B1" s="14" t="s">
        <v>259</v>
      </c>
    </row>
    <row r="2" spans="1:12" x14ac:dyDescent="0.3">
      <c r="A2" s="356">
        <v>2</v>
      </c>
      <c r="B2" s="14" t="s">
        <v>246</v>
      </c>
    </row>
    <row r="3" spans="1:12" x14ac:dyDescent="0.3">
      <c r="A3" s="356">
        <v>3</v>
      </c>
      <c r="B3" s="14" t="s">
        <v>254</v>
      </c>
    </row>
    <row r="4" spans="1:12" x14ac:dyDescent="0.3">
      <c r="A4" s="356">
        <v>4</v>
      </c>
      <c r="B4" s="14" t="s">
        <v>253</v>
      </c>
    </row>
    <row r="5" spans="1:12" x14ac:dyDescent="0.3">
      <c r="A5" s="356">
        <v>5</v>
      </c>
      <c r="B5" s="357" t="s">
        <v>247</v>
      </c>
    </row>
    <row r="6" spans="1:12" ht="60.75" customHeight="1" x14ac:dyDescent="0.3">
      <c r="A6" s="356" t="s">
        <v>248</v>
      </c>
      <c r="B6" s="374" t="s">
        <v>256</v>
      </c>
      <c r="C6" s="374"/>
      <c r="D6" s="374"/>
      <c r="E6" s="374"/>
      <c r="F6" s="374"/>
      <c r="G6" s="374"/>
      <c r="H6" s="374"/>
      <c r="I6" s="374"/>
      <c r="J6" s="374"/>
      <c r="K6" s="374"/>
      <c r="L6" s="374"/>
    </row>
    <row r="7" spans="1:12" ht="112.5" customHeight="1" x14ac:dyDescent="0.3">
      <c r="A7" s="356" t="s">
        <v>249</v>
      </c>
      <c r="B7" s="373" t="s">
        <v>252</v>
      </c>
      <c r="C7" s="373"/>
      <c r="D7" s="373"/>
      <c r="E7" s="373"/>
      <c r="F7" s="373"/>
      <c r="G7" s="373"/>
      <c r="H7" s="373"/>
      <c r="I7" s="373"/>
      <c r="J7" s="373"/>
      <c r="K7" s="373"/>
      <c r="L7" s="373"/>
    </row>
    <row r="8" spans="1:12" ht="37" customHeight="1" x14ac:dyDescent="0.3">
      <c r="A8" s="356">
        <v>6</v>
      </c>
      <c r="B8" s="374" t="s">
        <v>251</v>
      </c>
      <c r="C8" s="374"/>
      <c r="D8" s="374"/>
      <c r="E8" s="374"/>
      <c r="F8" s="374"/>
      <c r="G8" s="374"/>
      <c r="H8" s="374"/>
      <c r="I8" s="374"/>
      <c r="J8" s="374"/>
      <c r="K8" s="374"/>
      <c r="L8" s="374"/>
    </row>
    <row r="9" spans="1:12" ht="31" customHeight="1" x14ac:dyDescent="0.3">
      <c r="A9" s="356">
        <v>7</v>
      </c>
      <c r="B9" s="373" t="s">
        <v>250</v>
      </c>
      <c r="C9" s="373"/>
      <c r="D9" s="373"/>
      <c r="E9" s="373"/>
      <c r="F9" s="373"/>
      <c r="G9" s="373"/>
      <c r="H9" s="373"/>
      <c r="I9" s="373"/>
      <c r="J9" s="373"/>
      <c r="K9" s="373"/>
      <c r="L9" s="373"/>
    </row>
    <row r="10" spans="1:12" x14ac:dyDescent="0.3">
      <c r="A10" s="356">
        <v>8</v>
      </c>
      <c r="B10" s="14" t="s">
        <v>255</v>
      </c>
    </row>
  </sheetData>
  <mergeCells count="4">
    <mergeCell ref="B7:L7"/>
    <mergeCell ref="B9:L9"/>
    <mergeCell ref="B8:L8"/>
    <mergeCell ref="B6:L6"/>
  </mergeCells>
  <pageMargins left="0.7" right="0.7" top="0.75" bottom="0.75" header="0.3" footer="0.3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C74-C9CF-449E-8CE0-CF687D1867F9}">
  <sheetPr>
    <pageSetUpPr fitToPage="1"/>
  </sheetPr>
  <dimension ref="B1:O49"/>
  <sheetViews>
    <sheetView zoomScale="70" zoomScaleNormal="70" workbookViewId="0">
      <selection activeCell="B1" sqref="B1"/>
    </sheetView>
  </sheetViews>
  <sheetFormatPr defaultRowHeight="14" outlineLevelCol="1" x14ac:dyDescent="0.3"/>
  <cols>
    <col min="2" max="2" width="34.58203125" customWidth="1"/>
    <col min="3" max="3" width="26.83203125" style="289" customWidth="1" outlineLevel="1"/>
    <col min="4" max="4" width="26.83203125" style="289" customWidth="1"/>
    <col min="5" max="5" width="18.08203125" style="229" customWidth="1"/>
    <col min="6" max="6" width="13.33203125" style="229" customWidth="1"/>
    <col min="7" max="10" width="11.83203125" style="229" customWidth="1"/>
    <col min="12" max="12" width="20.08203125" bestFit="1" customWidth="1"/>
  </cols>
  <sheetData>
    <row r="1" spans="2:11" x14ac:dyDescent="0.3">
      <c r="F1" s="361">
        <f>9.5/F8</f>
        <v>0.15948598961580343</v>
      </c>
      <c r="G1" s="361">
        <f>29/G8</f>
        <v>0.2789396501254966</v>
      </c>
    </row>
    <row r="2" spans="2:11" x14ac:dyDescent="0.3">
      <c r="B2" s="1"/>
      <c r="C2" s="271">
        <v>2023</v>
      </c>
      <c r="D2" s="272">
        <v>2024</v>
      </c>
      <c r="E2" s="2">
        <v>2025</v>
      </c>
      <c r="F2" s="2">
        <v>2026</v>
      </c>
      <c r="G2" s="2">
        <v>2027</v>
      </c>
      <c r="H2" s="2">
        <v>2028</v>
      </c>
      <c r="I2" s="2">
        <v>2029</v>
      </c>
      <c r="J2" s="2">
        <v>2030</v>
      </c>
      <c r="K2" s="2" t="s">
        <v>0</v>
      </c>
    </row>
    <row r="3" spans="2:11" x14ac:dyDescent="0.3">
      <c r="B3" s="3" t="s">
        <v>1</v>
      </c>
      <c r="C3" s="273">
        <v>0</v>
      </c>
      <c r="D3" s="273">
        <v>0.49130399999999996</v>
      </c>
      <c r="E3" s="265">
        <f>'Company Name Rev Build'!K36/1000</f>
        <v>0.49691599999999991</v>
      </c>
      <c r="F3" s="265">
        <f>'Company Name Rev Build'!O36/1000</f>
        <v>37.611360799999993</v>
      </c>
      <c r="G3" s="265">
        <f>'Company Name Rev Build'!S36/1000</f>
        <v>73.093140800000015</v>
      </c>
      <c r="H3" s="265">
        <f>'Company Name Rev Build'!W36/1000</f>
        <v>108.34965280000002</v>
      </c>
      <c r="I3" s="265">
        <f>'Company Name Rev Build'!AA36/1000</f>
        <v>145.9632048</v>
      </c>
      <c r="J3" s="265">
        <f>'Company Name Rev Build'!AE36/1000</f>
        <v>185.93379680000001</v>
      </c>
    </row>
    <row r="4" spans="2:11" x14ac:dyDescent="0.3">
      <c r="B4" s="3" t="s">
        <v>2</v>
      </c>
      <c r="C4" s="273">
        <v>0</v>
      </c>
      <c r="D4" s="273">
        <v>0</v>
      </c>
      <c r="E4" s="215">
        <f>'Company Name Rev Build'!K39/1000</f>
        <v>0</v>
      </c>
      <c r="F4" s="265">
        <f>'Company Name Rev Build'!O39/1000</f>
        <v>0.25800000000000001</v>
      </c>
      <c r="G4" s="265">
        <f>'Company Name Rev Build'!S39/1000</f>
        <v>1.95</v>
      </c>
      <c r="H4" s="265">
        <f>'Company Name Rev Build'!W39/1000</f>
        <v>4.4219999999999997</v>
      </c>
      <c r="I4" s="265">
        <f>'Company Name Rev Build'!AA39/1000</f>
        <v>7.6740000000000004</v>
      </c>
      <c r="J4" s="265">
        <f>'Company Name Rev Build'!AE39/1000</f>
        <v>11.706</v>
      </c>
    </row>
    <row r="5" spans="2:11" x14ac:dyDescent="0.3">
      <c r="B5" s="3" t="s">
        <v>3</v>
      </c>
      <c r="C5" s="273">
        <v>0.4</v>
      </c>
      <c r="D5" s="273">
        <v>1.25</v>
      </c>
      <c r="E5" s="265">
        <f>SUM('Company Name Rev Build'!K51:K53)/1000</f>
        <v>0.79800000000000004</v>
      </c>
      <c r="F5" s="265">
        <f>SUM('Company Name Rev Build'!O51:O53)/1000</f>
        <v>7.8159999999999998</v>
      </c>
      <c r="G5" s="265">
        <f>SUM('Company Name Rev Build'!S51:S53)/1000</f>
        <v>11.316000000000001</v>
      </c>
      <c r="H5" s="265">
        <f>SUM('Company Name Rev Build'!W51:W53)/1000</f>
        <v>14.816000000000001</v>
      </c>
      <c r="I5" s="265">
        <f>SUM('Company Name Rev Build'!AA51:AA53)/1000</f>
        <v>18.315999999999999</v>
      </c>
      <c r="J5" s="265">
        <f>SUM('Company Name Rev Build'!AE51:AE53)/1000</f>
        <v>21.815999999999999</v>
      </c>
    </row>
    <row r="6" spans="2:11" x14ac:dyDescent="0.3">
      <c r="B6" s="3" t="s">
        <v>4</v>
      </c>
      <c r="C6" s="273">
        <v>9.1999999999999993</v>
      </c>
      <c r="D6" s="273">
        <v>10.5</v>
      </c>
      <c r="E6" s="265">
        <f>('Company Name Rev Build'!K55)/1000</f>
        <v>10.432</v>
      </c>
      <c r="F6" s="265">
        <f>('Company Name Rev Build'!O55)/1000</f>
        <v>12.372999999999999</v>
      </c>
      <c r="G6" s="265">
        <f>('Company Name Rev Build'!S55)/1000</f>
        <v>13.372999999999999</v>
      </c>
      <c r="H6" s="265">
        <f>('Company Name Rev Build'!W55)/1000</f>
        <v>14.372999999999999</v>
      </c>
      <c r="I6" s="265">
        <f>('Company Name Rev Build'!AA55)/1000</f>
        <v>15.372999999999999</v>
      </c>
      <c r="J6" s="265">
        <f>('Company Name Rev Build'!AE55)/1000</f>
        <v>16.373000000000001</v>
      </c>
    </row>
    <row r="7" spans="2:11" x14ac:dyDescent="0.3">
      <c r="B7" s="3" t="s">
        <v>25</v>
      </c>
      <c r="C7" s="273">
        <v>0.30499999999999972</v>
      </c>
      <c r="D7" s="273">
        <v>1.5</v>
      </c>
      <c r="E7" s="265">
        <f>'Company Name Rev Build'!K49/1000</f>
        <v>0.44500000000000001</v>
      </c>
      <c r="F7" s="265">
        <f>'Company Name Rev Build'!O49/1000</f>
        <v>1.508</v>
      </c>
      <c r="G7" s="265">
        <f>'Company Name Rev Build'!S49/1000</f>
        <v>4.2329999999999997</v>
      </c>
      <c r="H7" s="265">
        <f>'Company Name Rev Build'!W49/1000</f>
        <v>7.1267500000000004</v>
      </c>
      <c r="I7" s="265">
        <f>'Company Name Rev Build'!AA49/1000</f>
        <v>10.3158125</v>
      </c>
      <c r="J7" s="265">
        <f>'Company Name Rev Build'!AE49/1000</f>
        <v>14.021671874999999</v>
      </c>
    </row>
    <row r="8" spans="2:11" x14ac:dyDescent="0.3">
      <c r="B8" s="4" t="s">
        <v>5</v>
      </c>
      <c r="C8" s="274">
        <v>9.9049999999999994</v>
      </c>
      <c r="D8" s="274">
        <v>13.741304</v>
      </c>
      <c r="E8" s="266">
        <f>SUM(E3:E7)</f>
        <v>12.171916000000001</v>
      </c>
      <c r="F8" s="266">
        <f>SUM(F3:F7)</f>
        <v>59.566360799999998</v>
      </c>
      <c r="G8" s="216">
        <f t="shared" ref="G8:J8" si="0">SUM(G3:G7)</f>
        <v>103.96514080000003</v>
      </c>
      <c r="H8" s="216">
        <f t="shared" si="0"/>
        <v>149.08740280000001</v>
      </c>
      <c r="I8" s="216">
        <f t="shared" si="0"/>
        <v>197.64201729999999</v>
      </c>
      <c r="J8" s="216">
        <f t="shared" si="0"/>
        <v>249.850468675</v>
      </c>
      <c r="K8" s="5">
        <f>(J8/E8)^(1/5)-1</f>
        <v>0.83005543096151868</v>
      </c>
    </row>
    <row r="9" spans="2:11" x14ac:dyDescent="0.3">
      <c r="B9" s="6" t="s">
        <v>6</v>
      </c>
      <c r="C9" s="275">
        <v>0.15469806481697357</v>
      </c>
      <c r="D9" s="275">
        <f>D8/C8-1</f>
        <v>0.38730984351337705</v>
      </c>
      <c r="E9" s="217">
        <f t="shared" ref="E9:J9" si="1">E8/D8-1</f>
        <v>-0.11420953935667233</v>
      </c>
      <c r="F9" s="217">
        <f t="shared" si="1"/>
        <v>3.89375385107817</v>
      </c>
      <c r="G9" s="217">
        <f t="shared" si="1"/>
        <v>0.74536667010887858</v>
      </c>
      <c r="H9" s="217">
        <f t="shared" si="1"/>
        <v>0.43401337845348231</v>
      </c>
      <c r="I9" s="217">
        <f t="shared" si="1"/>
        <v>0.32567885406881603</v>
      </c>
      <c r="J9" s="217">
        <f t="shared" si="1"/>
        <v>0.26415664082072698</v>
      </c>
    </row>
    <row r="10" spans="2:11" x14ac:dyDescent="0.3">
      <c r="B10" s="7"/>
      <c r="C10" s="276"/>
      <c r="D10" s="276"/>
      <c r="E10" s="218"/>
      <c r="F10" s="218"/>
      <c r="G10" s="218"/>
      <c r="H10" s="218"/>
      <c r="I10" s="218"/>
      <c r="J10" s="218"/>
    </row>
    <row r="11" spans="2:11" x14ac:dyDescent="0.3">
      <c r="B11" s="8" t="s">
        <v>7</v>
      </c>
      <c r="C11" s="277">
        <v>-8.9599793899999973</v>
      </c>
      <c r="D11" s="277">
        <v>-8.746694377499999</v>
      </c>
      <c r="E11" s="269">
        <f>-'Company Name COGS+OPEX Build'!M145</f>
        <v>0</v>
      </c>
      <c r="F11" s="269">
        <f>-'Company Name COGS+OPEX Build'!N145</f>
        <v>-0.17899999999999999</v>
      </c>
      <c r="G11" s="269">
        <f>-'Company Name COGS+OPEX Build'!O145</f>
        <v>-0.59829999999999983</v>
      </c>
      <c r="H11" s="269">
        <f>-'Company Name COGS+OPEX Build'!P145</f>
        <v>-0.84829999999999983</v>
      </c>
      <c r="I11" s="269">
        <f>-'Company Name COGS+OPEX Build'!Q145</f>
        <v>-1.0982999999999998</v>
      </c>
      <c r="J11" s="269">
        <f>-'Company Name COGS+OPEX Build'!R145</f>
        <v>-1.3482999999999998</v>
      </c>
    </row>
    <row r="12" spans="2:11" x14ac:dyDescent="0.3">
      <c r="B12" s="8" t="s">
        <v>8</v>
      </c>
      <c r="C12" s="277">
        <v>-7.5369999999999999</v>
      </c>
      <c r="D12" s="277">
        <v>-8.5399999999999991</v>
      </c>
      <c r="E12" s="219">
        <f>-'Company Name COGS+OPEX Build'!M191</f>
        <v>-7.141</v>
      </c>
      <c r="F12" s="219">
        <f>-'Company Name COGS+OPEX Build'!N191</f>
        <v>-8.5220000000000002</v>
      </c>
      <c r="G12" s="219">
        <f>-'Company Name COGS+OPEX Build'!O191</f>
        <v>-9.1181429890317993</v>
      </c>
      <c r="H12" s="219">
        <f>-'Company Name COGS+OPEX Build'!P191</f>
        <v>-9.7695887271660222</v>
      </c>
      <c r="I12" s="219">
        <f>-'Company Name COGS+OPEX Build'!Q191</f>
        <v>-10.542090677632196</v>
      </c>
      <c r="J12" s="219">
        <f>-'Company Name COGS+OPEX Build'!R191</f>
        <v>-11.547783862710729</v>
      </c>
    </row>
    <row r="13" spans="2:11" x14ac:dyDescent="0.3">
      <c r="B13" s="9" t="s">
        <v>9</v>
      </c>
      <c r="C13" s="278">
        <v>-16.496979389999996</v>
      </c>
      <c r="D13" s="278">
        <v>-17.286694377499998</v>
      </c>
      <c r="E13" s="220">
        <f>SUM(E11:E12)</f>
        <v>-7.141</v>
      </c>
      <c r="F13" s="220">
        <f t="shared" ref="F13:J13" si="2">SUM(F11:F12)</f>
        <v>-8.7010000000000005</v>
      </c>
      <c r="G13" s="220">
        <f t="shared" si="2"/>
        <v>-9.7164429890317994</v>
      </c>
      <c r="H13" s="220">
        <f t="shared" si="2"/>
        <v>-10.617888727166022</v>
      </c>
      <c r="I13" s="220">
        <f t="shared" si="2"/>
        <v>-11.640390677632196</v>
      </c>
      <c r="J13" s="220">
        <f t="shared" si="2"/>
        <v>-12.896083862710729</v>
      </c>
    </row>
    <row r="14" spans="2:11" x14ac:dyDescent="0.3">
      <c r="B14" s="3" t="s">
        <v>10</v>
      </c>
      <c r="C14" s="273">
        <v>0</v>
      </c>
      <c r="D14" s="273">
        <v>-0.16500000000000001</v>
      </c>
      <c r="E14" s="215">
        <f>-'Company Name COGS+OPEX Build'!M175</f>
        <v>-0.159</v>
      </c>
      <c r="F14" s="215">
        <f>-'Company Name COGS+OPEX Build'!N175</f>
        <v>-0.84407142857142858</v>
      </c>
      <c r="G14" s="215">
        <f>-'Company Name COGS+OPEX Build'!O175</f>
        <v>-1.6622142857142856</v>
      </c>
      <c r="H14" s="215">
        <f>-'Company Name COGS+OPEX Build'!P175</f>
        <v>-2.5542857142857147</v>
      </c>
      <c r="I14" s="215">
        <f>-'Company Name COGS+OPEX Build'!Q175</f>
        <v>-3.8828571428571426</v>
      </c>
      <c r="J14" s="215">
        <f>-'Company Name COGS+OPEX Build'!R175</f>
        <v>-5.4685714285714289</v>
      </c>
    </row>
    <row r="15" spans="2:11" x14ac:dyDescent="0.3">
      <c r="B15" s="3" t="s">
        <v>11</v>
      </c>
      <c r="C15" s="273">
        <v>0</v>
      </c>
      <c r="D15" s="273">
        <v>-0.24</v>
      </c>
      <c r="E15" s="215">
        <f>-'Company Name COGS+OPEX Build'!M176</f>
        <v>-0.312</v>
      </c>
      <c r="F15" s="215">
        <f>-'Company Name COGS+OPEX Build'!N176</f>
        <v>-14.6265</v>
      </c>
      <c r="G15" s="215">
        <f>-'Company Name COGS+OPEX Build'!O176</f>
        <v>-14.94</v>
      </c>
      <c r="H15" s="215">
        <f>-'Company Name COGS+OPEX Build'!P176</f>
        <v>-17.940000000000001</v>
      </c>
      <c r="I15" s="215">
        <f>-'Company Name COGS+OPEX Build'!Q176</f>
        <v>-20.94</v>
      </c>
      <c r="J15" s="215">
        <f>-'Company Name COGS+OPEX Build'!R176</f>
        <v>-23.94</v>
      </c>
    </row>
    <row r="16" spans="2:11" x14ac:dyDescent="0.3">
      <c r="B16" s="3" t="s">
        <v>12</v>
      </c>
      <c r="C16" s="273">
        <v>0</v>
      </c>
      <c r="D16" s="273">
        <v>0</v>
      </c>
      <c r="E16" s="215">
        <f>-'Company Name COGS+OPEX Build'!M177</f>
        <v>-1.4907479999999997E-2</v>
      </c>
      <c r="F16" s="215">
        <f>-'Company Name COGS+OPEX Build'!N177</f>
        <v>-1.1360808239999998</v>
      </c>
      <c r="G16" s="215">
        <f>-'Company Name COGS+OPEX Build'!O177</f>
        <v>-2.251294224</v>
      </c>
      <c r="H16" s="215">
        <f>-'Company Name COGS+OPEX Build'!P177</f>
        <v>-3.3831495840000003</v>
      </c>
      <c r="I16" s="215">
        <f>-'Company Name COGS+OPEX Build'!Q177</f>
        <v>-4.6091161439999997</v>
      </c>
      <c r="J16" s="215">
        <f>-'Company Name COGS+OPEX Build'!R177</f>
        <v>-5.9291939039999999</v>
      </c>
    </row>
    <row r="17" spans="2:15" ht="25" x14ac:dyDescent="0.3">
      <c r="B17" s="270" t="s">
        <v>243</v>
      </c>
      <c r="C17" s="273">
        <v>0</v>
      </c>
      <c r="D17" s="273">
        <v>-0.74714285714285722</v>
      </c>
      <c r="E17" s="215">
        <f>E18-SUM(E13:E16)</f>
        <v>-3.8750925200000008</v>
      </c>
      <c r="F17" s="215">
        <f t="shared" ref="F17:J17" si="3">F18-SUM(F13:F16)</f>
        <v>-12.821347747428568</v>
      </c>
      <c r="G17" s="215">
        <f t="shared" si="3"/>
        <v>-18.383260861313623</v>
      </c>
      <c r="H17" s="215">
        <f t="shared" si="3"/>
        <v>-23.914913500188391</v>
      </c>
      <c r="I17" s="215">
        <f t="shared" si="3"/>
        <v>-29.458113476782515</v>
      </c>
      <c r="J17" s="215">
        <f t="shared" si="3"/>
        <v>-34.998921849755931</v>
      </c>
    </row>
    <row r="18" spans="2:15" x14ac:dyDescent="0.3">
      <c r="B18" s="10" t="s">
        <v>13</v>
      </c>
      <c r="C18" s="278">
        <v>-16.496979389999996</v>
      </c>
      <c r="D18" s="278">
        <v>-18.43883723464285</v>
      </c>
      <c r="E18" s="220">
        <f>-'Company Name COGS+OPEX Build'!M205</f>
        <v>-11.502000000000001</v>
      </c>
      <c r="F18" s="220">
        <f>-'Company Name COGS+OPEX Build'!N205</f>
        <v>-38.128999999999998</v>
      </c>
      <c r="G18" s="220">
        <f>-'Company Name COGS+OPEX Build'!O205</f>
        <v>-46.953212360059709</v>
      </c>
      <c r="H18" s="220">
        <f>-'Company Name COGS+OPEX Build'!P205</f>
        <v>-58.410237525640127</v>
      </c>
      <c r="I18" s="220">
        <f>-'Company Name COGS+OPEX Build'!Q205</f>
        <v>-70.530477441271856</v>
      </c>
      <c r="J18" s="220">
        <f>-'Company Name COGS+OPEX Build'!R205</f>
        <v>-83.232771045038092</v>
      </c>
      <c r="K18" s="11"/>
      <c r="L18" s="12"/>
      <c r="M18" s="12"/>
    </row>
    <row r="19" spans="2:15" s="14" customFormat="1" x14ac:dyDescent="0.3">
      <c r="B19" s="13"/>
      <c r="C19" s="279"/>
      <c r="D19" s="279"/>
      <c r="E19" s="221"/>
      <c r="F19" s="221"/>
      <c r="G19" s="221"/>
      <c r="H19" s="221"/>
      <c r="I19" s="221"/>
      <c r="J19" s="221"/>
    </row>
    <row r="20" spans="2:15" s="14" customFormat="1" x14ac:dyDescent="0.3">
      <c r="B20" s="15" t="s">
        <v>14</v>
      </c>
      <c r="C20" s="280">
        <v>-6.591979389999997</v>
      </c>
      <c r="D20" s="280">
        <v>-4.6975332346428509</v>
      </c>
      <c r="E20" s="222">
        <f>E8+E18</f>
        <v>0.66991600000000062</v>
      </c>
      <c r="F20" s="222">
        <f t="shared" ref="F20:J20" si="4">F8+F18</f>
        <v>21.4373608</v>
      </c>
      <c r="G20" s="222">
        <f t="shared" si="4"/>
        <v>57.01192843994032</v>
      </c>
      <c r="H20" s="222">
        <f t="shared" si="4"/>
        <v>90.677165274359879</v>
      </c>
      <c r="I20" s="222">
        <f t="shared" si="4"/>
        <v>127.11153985872814</v>
      </c>
      <c r="J20" s="222">
        <f t="shared" si="4"/>
        <v>166.61769762996192</v>
      </c>
    </row>
    <row r="21" spans="2:15" s="14" customFormat="1" x14ac:dyDescent="0.3">
      <c r="B21" s="6" t="s">
        <v>15</v>
      </c>
      <c r="C21" s="281">
        <v>-0.66552038263503255</v>
      </c>
      <c r="D21" s="281">
        <v>-0.34185498222314642</v>
      </c>
      <c r="E21" s="217">
        <f>E20/E$8</f>
        <v>5.5037842850706543E-2</v>
      </c>
      <c r="F21" s="217">
        <f t="shared" ref="F21:J21" si="5">F20/F$8</f>
        <v>0.3598903896777928</v>
      </c>
      <c r="G21" s="217">
        <f t="shared" si="5"/>
        <v>0.54837542662126904</v>
      </c>
      <c r="H21" s="217">
        <f t="shared" si="5"/>
        <v>0.60821480266849126</v>
      </c>
      <c r="I21" s="217">
        <f t="shared" si="5"/>
        <v>0.64314026741482844</v>
      </c>
      <c r="J21" s="217">
        <f t="shared" si="5"/>
        <v>0.66686966213657406</v>
      </c>
    </row>
    <row r="22" spans="2:15" s="14" customFormat="1" x14ac:dyDescent="0.3">
      <c r="B22" s="13"/>
      <c r="C22" s="279"/>
      <c r="D22" s="279"/>
      <c r="E22" s="221"/>
      <c r="F22" s="221"/>
      <c r="G22" s="221"/>
      <c r="H22" s="221"/>
      <c r="I22" s="221"/>
      <c r="J22" s="221"/>
    </row>
    <row r="23" spans="2:15" s="14" customFormat="1" x14ac:dyDescent="0.3">
      <c r="B23" s="16" t="s">
        <v>16</v>
      </c>
      <c r="C23" s="282">
        <v>-4.1680000000000001</v>
      </c>
      <c r="D23" s="282">
        <v>-4.3830056840000005</v>
      </c>
      <c r="E23" s="223">
        <f>-'Company Name COGS+OPEX Build'!M40</f>
        <v>-7.4026608746666662</v>
      </c>
      <c r="F23" s="223">
        <f>-'Company Name COGS+OPEX Build'!N40</f>
        <v>-16.528202166186663</v>
      </c>
      <c r="G23" s="223">
        <f>-'Company Name COGS+OPEX Build'!O40</f>
        <v>-19.578629821044821</v>
      </c>
      <c r="H23" s="223">
        <f>-'Company Name COGS+OPEX Build'!P40</f>
        <v>-22.03347668350245</v>
      </c>
      <c r="I23" s="223">
        <f>-'Company Name COGS+OPEX Build'!Q40</f>
        <v>-24.501411748856089</v>
      </c>
      <c r="J23" s="223">
        <f>-'Company Name COGS+OPEX Build'!R40</f>
        <v>-26.989853289392634</v>
      </c>
    </row>
    <row r="24" spans="2:15" s="14" customFormat="1" x14ac:dyDescent="0.3">
      <c r="B24" s="6" t="s">
        <v>15</v>
      </c>
      <c r="C24" s="281">
        <v>0.42079757698132259</v>
      </c>
      <c r="D24" s="281">
        <v>0.31896577530051012</v>
      </c>
      <c r="E24" s="217">
        <f>-E23/E$8</f>
        <v>0.60817548154839929</v>
      </c>
      <c r="F24" s="217">
        <f t="shared" ref="F24:J24" si="6">-F23/F$8</f>
        <v>0.27747543989940482</v>
      </c>
      <c r="G24" s="217">
        <f t="shared" si="6"/>
        <v>0.18831917766271919</v>
      </c>
      <c r="H24" s="217">
        <f t="shared" si="6"/>
        <v>0.14778899001319545</v>
      </c>
      <c r="I24" s="217">
        <f t="shared" si="6"/>
        <v>0.12396863826615116</v>
      </c>
      <c r="J24" s="217">
        <f t="shared" si="6"/>
        <v>0.10802402505996674</v>
      </c>
    </row>
    <row r="25" spans="2:15" s="14" customFormat="1" x14ac:dyDescent="0.3">
      <c r="B25" s="16" t="s">
        <v>17</v>
      </c>
      <c r="C25" s="282">
        <v>-25.779999999999998</v>
      </c>
      <c r="D25" s="282">
        <v>-23.288410330625005</v>
      </c>
      <c r="E25" s="223">
        <f>-'Company Name COGS+OPEX Build'!M129</f>
        <v>-17.169841610666669</v>
      </c>
      <c r="F25" s="223">
        <f>-'Company Name COGS+OPEX Build'!N129</f>
        <v>-20.69119636288</v>
      </c>
      <c r="G25" s="223">
        <f>-'Company Name COGS+OPEX Build'!O129</f>
        <v>-21.61319059273211</v>
      </c>
      <c r="H25" s="223">
        <f>-'Company Name COGS+OPEX Build'!P129</f>
        <v>-22.572988320679869</v>
      </c>
      <c r="I25" s="223">
        <f>-'Company Name COGS+OPEX Build'!Q129</f>
        <v>-23.470266597401515</v>
      </c>
      <c r="J25" s="223">
        <f>-'Company Name COGS+OPEX Build'!R129</f>
        <v>-24.618709896987021</v>
      </c>
    </row>
    <row r="26" spans="2:15" s="14" customFormat="1" x14ac:dyDescent="0.3">
      <c r="B26" s="6" t="s">
        <v>15</v>
      </c>
      <c r="C26" s="281">
        <v>2.6027258960121151</v>
      </c>
      <c r="D26" s="281">
        <v>1.6947744064628079</v>
      </c>
      <c r="E26" s="217">
        <f>-E25/E$8</f>
        <v>1.4106112472897996</v>
      </c>
      <c r="F26" s="217">
        <f t="shared" ref="F26" si="7">-F25/F$8</f>
        <v>0.34736378192303463</v>
      </c>
      <c r="G26" s="217">
        <f t="shared" ref="G26" si="8">-G25/G$8</f>
        <v>0.20788882144939205</v>
      </c>
      <c r="H26" s="217">
        <f t="shared" ref="H26" si="9">-H25/H$8</f>
        <v>0.15140775073371837</v>
      </c>
      <c r="I26" s="217">
        <f t="shared" ref="I26" si="10">-I25/I$8</f>
        <v>0.11875140174154414</v>
      </c>
      <c r="J26" s="217">
        <f t="shared" ref="J26" si="11">-J25/J$8</f>
        <v>9.8533775131758899E-2</v>
      </c>
    </row>
    <row r="27" spans="2:15" s="14" customFormat="1" x14ac:dyDescent="0.3">
      <c r="B27" s="16" t="s">
        <v>18</v>
      </c>
      <c r="C27" s="282">
        <v>-26.048999999999999</v>
      </c>
      <c r="D27" s="282">
        <v>-20.930979095624998</v>
      </c>
      <c r="E27" s="223">
        <f>-'Company Name COGS+OPEX Build'!M74</f>
        <v>-20.472702888000001</v>
      </c>
      <c r="F27" s="223">
        <f>-'Company Name COGS+OPEX Build'!N74</f>
        <v>-23.365871728959998</v>
      </c>
      <c r="G27" s="223">
        <f>-'Company Name COGS+OPEX Build'!O74</f>
        <v>-24.975894779057278</v>
      </c>
      <c r="H27" s="223">
        <f>-'Company Name COGS+OPEX Build'!P74</f>
        <v>-25.21141622283114</v>
      </c>
      <c r="I27" s="223">
        <f>-'Company Name COGS+OPEX Build'!Q74</f>
        <v>-25.618464089747683</v>
      </c>
      <c r="J27" s="223">
        <f>-'Company Name COGS+OPEX Build'!R74</f>
        <v>-26.332085368439188</v>
      </c>
    </row>
    <row r="28" spans="2:15" s="14" customFormat="1" x14ac:dyDescent="0.3">
      <c r="B28" s="6" t="s">
        <v>15</v>
      </c>
      <c r="C28" s="281">
        <v>2.6298838970217062</v>
      </c>
      <c r="D28" s="281">
        <v>1.5232163625537285</v>
      </c>
      <c r="E28" s="217">
        <f>-E27/E$8</f>
        <v>1.6819622225457356</v>
      </c>
      <c r="F28" s="217">
        <f t="shared" ref="F28" si="12">-F27/F$8</f>
        <v>0.39226622904516939</v>
      </c>
      <c r="G28" s="217">
        <f t="shared" ref="G28" si="13">-G27/G$8</f>
        <v>0.24023335693936049</v>
      </c>
      <c r="H28" s="217">
        <f t="shared" ref="H28" si="14">-H27/H$8</f>
        <v>0.16910493944717869</v>
      </c>
      <c r="I28" s="217">
        <f t="shared" ref="I28" si="15">-I27/I$8</f>
        <v>0.1296205353483188</v>
      </c>
      <c r="J28" s="217">
        <f t="shared" ref="J28" si="16">-J27/J$8</f>
        <v>0.10539137872377333</v>
      </c>
    </row>
    <row r="29" spans="2:15" x14ac:dyDescent="0.3">
      <c r="B29" s="7"/>
      <c r="C29" s="276"/>
      <c r="D29" s="276"/>
      <c r="E29" s="218"/>
      <c r="F29" s="218"/>
      <c r="G29" s="218"/>
      <c r="H29" s="218"/>
      <c r="I29" s="218"/>
      <c r="J29" s="218"/>
    </row>
    <row r="30" spans="2:15" x14ac:dyDescent="0.3">
      <c r="B30" s="10" t="s">
        <v>19</v>
      </c>
      <c r="C30" s="278">
        <v>-62.588979389999999</v>
      </c>
      <c r="D30" s="278">
        <v>-53.299928344892855</v>
      </c>
      <c r="E30" s="220">
        <f>E20+E23+E25+E27</f>
        <v>-44.375289373333331</v>
      </c>
      <c r="F30" s="220">
        <f t="shared" ref="F30:J30" si="17">F20+F23+F25+F27</f>
        <v>-39.14790945802666</v>
      </c>
      <c r="G30" s="220">
        <f t="shared" si="17"/>
        <v>-9.1557867528938885</v>
      </c>
      <c r="H30" s="220">
        <f t="shared" si="17"/>
        <v>20.859284047346428</v>
      </c>
      <c r="I30" s="220">
        <f t="shared" si="17"/>
        <v>53.521397422722849</v>
      </c>
      <c r="J30" s="220">
        <f t="shared" si="17"/>
        <v>88.677049075143088</v>
      </c>
      <c r="K30" s="11"/>
      <c r="L30" s="12"/>
      <c r="N30" s="12"/>
      <c r="O30" s="12"/>
    </row>
    <row r="31" spans="2:15" x14ac:dyDescent="0.3">
      <c r="B31" s="6" t="s">
        <v>15</v>
      </c>
      <c r="C31" s="283">
        <v>-6.3189277526501764</v>
      </c>
      <c r="D31" s="283">
        <v>-3.8788115265401926</v>
      </c>
      <c r="E31" s="224">
        <f>E30/E$8</f>
        <v>-3.6457111085332272</v>
      </c>
      <c r="F31" s="224">
        <f t="shared" ref="F31:J31" si="18">F30/F$8</f>
        <v>-0.6572150611898161</v>
      </c>
      <c r="G31" s="224">
        <f t="shared" si="18"/>
        <v>-8.806592943020268E-2</v>
      </c>
      <c r="H31" s="224">
        <f t="shared" si="18"/>
        <v>0.1399131224743988</v>
      </c>
      <c r="I31" s="224">
        <f t="shared" si="18"/>
        <v>0.27079969205881432</v>
      </c>
      <c r="J31" s="224">
        <f t="shared" si="18"/>
        <v>0.35492048322107511</v>
      </c>
    </row>
    <row r="32" spans="2:15" x14ac:dyDescent="0.3">
      <c r="B32" s="6"/>
      <c r="C32" s="283"/>
      <c r="D32" s="283"/>
      <c r="E32" s="224"/>
      <c r="F32" s="224"/>
      <c r="G32" s="224"/>
      <c r="H32" s="224"/>
      <c r="I32" s="224"/>
      <c r="J32" s="224"/>
    </row>
    <row r="33" spans="2:12" x14ac:dyDescent="0.3">
      <c r="B33" s="6" t="s">
        <v>244</v>
      </c>
      <c r="C33" s="283">
        <f t="shared" ref="C33:J33" si="19">-(C23+C25+C27)/C$8</f>
        <v>5.6534073700151444</v>
      </c>
      <c r="D33" s="283">
        <f t="shared" si="19"/>
        <v>3.5369565443170461</v>
      </c>
      <c r="E33" s="224">
        <f t="shared" si="19"/>
        <v>3.7007489513839338</v>
      </c>
      <c r="F33" s="224">
        <f t="shared" si="19"/>
        <v>1.017105450867609</v>
      </c>
      <c r="G33" s="224">
        <f t="shared" si="19"/>
        <v>0.63644135605147167</v>
      </c>
      <c r="H33" s="224">
        <f t="shared" si="19"/>
        <v>0.46830168019409252</v>
      </c>
      <c r="I33" s="224">
        <f t="shared" si="19"/>
        <v>0.37234057535601411</v>
      </c>
      <c r="J33" s="224">
        <f t="shared" si="19"/>
        <v>0.31194917891549895</v>
      </c>
    </row>
    <row r="34" spans="2:12" x14ac:dyDescent="0.3">
      <c r="B34" s="6"/>
      <c r="C34" s="283"/>
      <c r="D34" s="283"/>
      <c r="E34" s="224"/>
      <c r="F34" s="224"/>
      <c r="G34" s="224"/>
      <c r="H34" s="224"/>
      <c r="I34" s="224"/>
      <c r="J34" s="224"/>
    </row>
    <row r="35" spans="2:12" x14ac:dyDescent="0.3">
      <c r="B35" s="7" t="s">
        <v>20</v>
      </c>
      <c r="C35" s="284">
        <v>11.81</v>
      </c>
      <c r="D35" s="284">
        <v>11.920999999999999</v>
      </c>
      <c r="E35" s="225">
        <f>'Company Name COGS+OPEX Build'!M33+'Company Name COGS+OPEX Build'!M32+'Company Name COGS+OPEX Build'!M67+'Company Name COGS+OPEX Build'!M124</f>
        <v>1.49594228</v>
      </c>
      <c r="F35" s="225">
        <f>'Company Name COGS+OPEX Build'!N33+'Company Name COGS+OPEX Build'!N32+'Company Name COGS+OPEX Build'!N67+'Company Name COGS+OPEX Build'!N124</f>
        <v>1.49594228</v>
      </c>
      <c r="G35" s="225">
        <f>'Company Name COGS+OPEX Build'!O33+'Company Name COGS+OPEX Build'!O32+'Company Name COGS+OPEX Build'!O67+'Company Name COGS+OPEX Build'!O124</f>
        <v>1.49594228</v>
      </c>
      <c r="H35" s="225">
        <f>'Company Name COGS+OPEX Build'!P33+'Company Name COGS+OPEX Build'!P32+'Company Name COGS+OPEX Build'!P67+'Company Name COGS+OPEX Build'!P124</f>
        <v>1.49594228</v>
      </c>
      <c r="I35" s="225">
        <f>'Company Name COGS+OPEX Build'!Q33+'Company Name COGS+OPEX Build'!Q32+'Company Name COGS+OPEX Build'!Q67+'Company Name COGS+OPEX Build'!Q124</f>
        <v>1.49594228</v>
      </c>
      <c r="J35" s="225">
        <f>'Company Name COGS+OPEX Build'!R33+'Company Name COGS+OPEX Build'!R32+'Company Name COGS+OPEX Build'!R67+'Company Name COGS+OPEX Build'!R124</f>
        <v>1.49594228</v>
      </c>
    </row>
    <row r="36" spans="2:12" x14ac:dyDescent="0.3">
      <c r="B36" s="17"/>
      <c r="C36" s="285"/>
      <c r="D36" s="285"/>
      <c r="E36" s="226"/>
      <c r="F36" s="226"/>
      <c r="G36" s="226"/>
      <c r="H36" s="226"/>
      <c r="I36" s="226"/>
      <c r="J36" s="226"/>
    </row>
    <row r="37" spans="2:12" x14ac:dyDescent="0.3">
      <c r="B37" s="10" t="s">
        <v>21</v>
      </c>
      <c r="C37" s="278">
        <v>-50.778979389999996</v>
      </c>
      <c r="D37" s="278">
        <v>-41.378928344892856</v>
      </c>
      <c r="E37" s="220">
        <f>E30+E35</f>
        <v>-42.87934709333333</v>
      </c>
      <c r="F37" s="220">
        <f t="shared" ref="F37:J37" si="20">F30+F35</f>
        <v>-37.651967178026659</v>
      </c>
      <c r="G37" s="220">
        <f t="shared" si="20"/>
        <v>-7.659844472893889</v>
      </c>
      <c r="H37" s="220">
        <f t="shared" si="20"/>
        <v>22.355226327346429</v>
      </c>
      <c r="I37" s="220">
        <f t="shared" si="20"/>
        <v>55.01733970272285</v>
      </c>
      <c r="J37" s="220">
        <f t="shared" si="20"/>
        <v>90.172991355143083</v>
      </c>
    </row>
    <row r="38" spans="2:12" x14ac:dyDescent="0.3">
      <c r="B38" s="6" t="s">
        <v>15</v>
      </c>
      <c r="C38" s="283">
        <v>-5.1266006451287218</v>
      </c>
      <c r="D38" s="283">
        <v>-3.0112810505387886</v>
      </c>
      <c r="E38" s="224">
        <f>E37/E8</f>
        <v>-3.522809974480051</v>
      </c>
      <c r="F38" s="224">
        <f t="shared" ref="F38:J38" si="21">F37/F8</f>
        <v>-0.63210118382835068</v>
      </c>
      <c r="G38" s="224">
        <f t="shared" si="21"/>
        <v>-7.3677046113266906E-2</v>
      </c>
      <c r="H38" s="224">
        <f t="shared" si="21"/>
        <v>0.14994711764706137</v>
      </c>
      <c r="I38" s="224">
        <f t="shared" si="21"/>
        <v>0.27836864070868222</v>
      </c>
      <c r="J38" s="224">
        <f t="shared" si="21"/>
        <v>0.36090783352677286</v>
      </c>
    </row>
    <row r="39" spans="2:12" x14ac:dyDescent="0.3">
      <c r="B39" s="18"/>
      <c r="C39" s="286"/>
      <c r="D39" s="286"/>
      <c r="E39" s="227"/>
      <c r="F39" s="227"/>
      <c r="G39" s="227"/>
      <c r="H39" s="227"/>
      <c r="I39" s="227"/>
      <c r="J39" s="227"/>
    </row>
    <row r="40" spans="2:12" x14ac:dyDescent="0.3">
      <c r="B40" s="7" t="s">
        <v>22</v>
      </c>
      <c r="C40" s="277">
        <v>6.8380000000000001</v>
      </c>
      <c r="D40" s="277">
        <v>5.9079999999999995</v>
      </c>
      <c r="E40" s="219">
        <f>'Company Name COGS+OPEX Build'!M34++'Company Name COGS+OPEX Build'!M68+'Company Name COGS+OPEX Build'!M125+'Company Name COGS+OPEX Build'!M199</f>
        <v>6.6272666666666655</v>
      </c>
      <c r="F40" s="219">
        <f>'Company Name COGS+OPEX Build'!N34++'Company Name COGS+OPEX Build'!N68+'Company Name COGS+OPEX Build'!N125+'Company Name COGS+OPEX Build'!N199</f>
        <v>9.4503966666666646</v>
      </c>
      <c r="G40" s="219">
        <f>'Company Name COGS+OPEX Build'!O34++'Company Name COGS+OPEX Build'!O68+'Company Name COGS+OPEX Build'!O125+'Company Name COGS+OPEX Build'!O199</f>
        <v>9.8857498333333318</v>
      </c>
      <c r="H40" s="219">
        <f>'Company Name COGS+OPEX Build'!P34++'Company Name COGS+OPEX Build'!P68+'Company Name COGS+OPEX Build'!P125+'Company Name COGS+OPEX Build'!P199</f>
        <v>10.241687324999997</v>
      </c>
      <c r="I40" s="219">
        <f>'Company Name COGS+OPEX Build'!Q34++'Company Name COGS+OPEX Build'!Q68+'Company Name COGS+OPEX Build'!Q125+'Company Name COGS+OPEX Build'!Q199</f>
        <v>10.518238357916664</v>
      </c>
      <c r="J40" s="219">
        <f>'Company Name COGS+OPEX Build'!R34++'Company Name COGS+OPEX Build'!R68+'Company Name COGS+OPEX Build'!R125+'Company Name COGS+OPEX Build'!R199</f>
        <v>10.715433609145832</v>
      </c>
    </row>
    <row r="41" spans="2:12" x14ac:dyDescent="0.3">
      <c r="B41" s="19" t="s">
        <v>24</v>
      </c>
      <c r="C41" s="287">
        <v>3.0859999999999994</v>
      </c>
      <c r="D41" s="28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</row>
    <row r="42" spans="2:12" x14ac:dyDescent="0.3">
      <c r="B42" s="20" t="s">
        <v>23</v>
      </c>
      <c r="C42" s="274">
        <v>-40.854979389999997</v>
      </c>
      <c r="D42" s="274">
        <v>-35.470928344892855</v>
      </c>
      <c r="E42" s="216">
        <f>E37+E40</f>
        <v>-36.252080426666666</v>
      </c>
      <c r="F42" s="216">
        <f t="shared" ref="F42:J42" si="22">F37+F40</f>
        <v>-28.201570511359996</v>
      </c>
      <c r="G42" s="216">
        <f t="shared" si="22"/>
        <v>2.2259053604394428</v>
      </c>
      <c r="H42" s="216">
        <f t="shared" si="22"/>
        <v>32.59691365234643</v>
      </c>
      <c r="I42" s="216">
        <f t="shared" si="22"/>
        <v>65.535578060639509</v>
      </c>
      <c r="J42" s="216">
        <f t="shared" si="22"/>
        <v>100.88842496428892</v>
      </c>
      <c r="K42" s="5"/>
      <c r="L42" s="21"/>
    </row>
    <row r="43" spans="2:12" x14ac:dyDescent="0.3">
      <c r="B43" s="6" t="s">
        <v>15</v>
      </c>
      <c r="C43" s="283">
        <v>-4.1246824220090863</v>
      </c>
      <c r="D43" s="283">
        <v>-2.5813364106414394</v>
      </c>
      <c r="E43" s="224">
        <f>E42/E8</f>
        <v>-2.978338038700453</v>
      </c>
      <c r="F43" s="224">
        <f t="shared" ref="F43:J43" si="23">F42/F8</f>
        <v>-0.47344793491832721</v>
      </c>
      <c r="G43" s="224">
        <f t="shared" si="23"/>
        <v>2.1410112498394675E-2</v>
      </c>
      <c r="H43" s="224">
        <f t="shared" si="23"/>
        <v>0.21864297747593756</v>
      </c>
      <c r="I43" s="224">
        <f t="shared" si="23"/>
        <v>0.33158727560022488</v>
      </c>
      <c r="J43" s="224">
        <f t="shared" si="23"/>
        <v>0.40379521999425327</v>
      </c>
    </row>
    <row r="44" spans="2:12" x14ac:dyDescent="0.3">
      <c r="B44" t="s">
        <v>265</v>
      </c>
      <c r="G44" s="365">
        <f>SUM('[302]CF 2026'!$N$56:$P$56)/SUM('[302]CF 2026'!$N$2:$P$2)</f>
        <v>-0.11197992884102188</v>
      </c>
      <c r="H44" s="367">
        <f>G44</f>
        <v>-0.11197992884102188</v>
      </c>
      <c r="I44" s="367">
        <f t="shared" ref="I44:J44" si="24">H44</f>
        <v>-0.11197992884102188</v>
      </c>
      <c r="J44" s="367">
        <f t="shared" si="24"/>
        <v>-0.11197992884102188</v>
      </c>
    </row>
    <row r="45" spans="2:12" x14ac:dyDescent="0.3">
      <c r="B45" t="s">
        <v>260</v>
      </c>
      <c r="F45" s="370">
        <f>'[302]CF 2026'!$Q$6/1000000</f>
        <v>-4.4590331957314433</v>
      </c>
      <c r="G45" s="370">
        <f>G44*G8</f>
        <v>-11.642009068730824</v>
      </c>
      <c r="H45" s="370">
        <f t="shared" ref="H45:J45" si="25">H44*H8</f>
        <v>-16.694796756636766</v>
      </c>
      <c r="I45" s="370">
        <f t="shared" si="25"/>
        <v>-22.131939033250013</v>
      </c>
      <c r="J45" s="370">
        <f t="shared" si="25"/>
        <v>-27.978237703122467</v>
      </c>
    </row>
    <row r="46" spans="2:12" x14ac:dyDescent="0.3">
      <c r="B46" t="s">
        <v>261</v>
      </c>
      <c r="F46" s="370">
        <f>'[302]CF 2026'!$Q$9/1000000</f>
        <v>-1.0464831818181817</v>
      </c>
      <c r="G46" s="371">
        <f>-0.5</f>
        <v>-0.5</v>
      </c>
      <c r="H46" s="371">
        <f>G46</f>
        <v>-0.5</v>
      </c>
      <c r="I46" s="371">
        <f t="shared" ref="I46:J46" si="26">H46</f>
        <v>-0.5</v>
      </c>
      <c r="J46" s="371">
        <f t="shared" si="26"/>
        <v>-0.5</v>
      </c>
    </row>
    <row r="47" spans="2:12" x14ac:dyDescent="0.3">
      <c r="B47" t="s">
        <v>264</v>
      </c>
      <c r="G47" s="371">
        <f>-3.3</f>
        <v>-3.3</v>
      </c>
      <c r="H47" s="371">
        <v>0</v>
      </c>
      <c r="I47" s="371">
        <v>0</v>
      </c>
      <c r="J47" s="371">
        <v>0</v>
      </c>
    </row>
    <row r="48" spans="2:12" x14ac:dyDescent="0.3">
      <c r="B48" s="369" t="s">
        <v>262</v>
      </c>
      <c r="C48" s="368"/>
      <c r="D48" s="368"/>
      <c r="E48" s="363"/>
      <c r="F48" s="363"/>
      <c r="G48" s="366"/>
      <c r="H48" s="366"/>
      <c r="I48" s="366"/>
      <c r="J48" s="366"/>
    </row>
    <row r="49" spans="2:10" x14ac:dyDescent="0.3">
      <c r="B49" s="372" t="s">
        <v>263</v>
      </c>
      <c r="F49" s="364">
        <f>F42+SUM(F45:F48)</f>
        <v>-33.707086888909622</v>
      </c>
      <c r="G49" s="364">
        <f t="shared" ref="G49:J49" si="27">G42+SUM(G45:G48)</f>
        <v>-13.21610370829138</v>
      </c>
      <c r="H49" s="364">
        <f t="shared" si="27"/>
        <v>15.402116895709664</v>
      </c>
      <c r="I49" s="364">
        <f t="shared" si="27"/>
        <v>42.903639027389495</v>
      </c>
      <c r="J49" s="364">
        <f t="shared" si="27"/>
        <v>72.410187261166442</v>
      </c>
    </row>
  </sheetData>
  <pageMargins left="0.7" right="0.7" top="0.75" bottom="0.75" header="0.3" footer="0.3"/>
  <pageSetup scale="4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C39-1098-4F4E-93D2-A8635D76578D}">
  <sheetPr>
    <pageSetUpPr fitToPage="1"/>
  </sheetPr>
  <dimension ref="B1:AI97"/>
  <sheetViews>
    <sheetView zoomScale="70" zoomScaleNormal="70" workbookViewId="0">
      <pane xSplit="4" ySplit="5" topLeftCell="E30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defaultColWidth="7.5" defaultRowHeight="14" outlineLevelRow="1" x14ac:dyDescent="0.3"/>
  <cols>
    <col min="1" max="1" width="8.08203125" style="23" bestFit="1" customWidth="1"/>
    <col min="2" max="2" width="26" style="23" customWidth="1"/>
    <col min="3" max="3" width="2.58203125" style="23" customWidth="1"/>
    <col min="4" max="4" width="3" style="23" customWidth="1"/>
    <col min="5" max="6" width="13" style="315" customWidth="1"/>
    <col min="7" max="7" width="13" style="316" customWidth="1"/>
    <col min="8" max="8" width="3.58203125" style="23" customWidth="1"/>
    <col min="9" max="11" width="13" style="23" customWidth="1"/>
    <col min="12" max="12" width="3.58203125" style="23" customWidth="1"/>
    <col min="13" max="15" width="13" style="23" customWidth="1"/>
    <col min="16" max="16" width="3.08203125" style="23" customWidth="1"/>
    <col min="17" max="19" width="13" style="23" customWidth="1"/>
    <col min="20" max="20" width="4.5" style="23" customWidth="1"/>
    <col min="21" max="21" width="11.83203125" style="23" bestFit="1" customWidth="1"/>
    <col min="22" max="22" width="11.25" style="23" bestFit="1" customWidth="1"/>
    <col min="23" max="23" width="12.5" style="23" bestFit="1" customWidth="1"/>
    <col min="24" max="24" width="4.25" style="23" customWidth="1"/>
    <col min="25" max="25" width="12.5" style="23" bestFit="1" customWidth="1"/>
    <col min="26" max="26" width="11.25" style="23" bestFit="1" customWidth="1"/>
    <col min="27" max="27" width="22.08203125" style="23" bestFit="1" customWidth="1"/>
    <col min="28" max="28" width="7.58203125" style="23" bestFit="1" customWidth="1"/>
    <col min="29" max="29" width="12.5" style="23" bestFit="1" customWidth="1"/>
    <col min="30" max="30" width="12.08203125" style="23" bestFit="1" customWidth="1"/>
    <col min="31" max="31" width="12.5" style="23" bestFit="1" customWidth="1"/>
    <col min="32" max="32" width="9.5" style="23" customWidth="1"/>
    <col min="33" max="35" width="9" style="23" customWidth="1"/>
    <col min="36" max="16384" width="7.5" style="23"/>
  </cols>
  <sheetData>
    <row r="1" spans="2:31" ht="14.5" x14ac:dyDescent="0.35">
      <c r="M1" s="358" t="s">
        <v>257</v>
      </c>
      <c r="N1" s="359">
        <f>M6+M9+N9</f>
        <v>151</v>
      </c>
      <c r="O1" s="360">
        <f>N1/SUM(N$1:N$2)</f>
        <v>0.43142857142857144</v>
      </c>
      <c r="Q1" s="358" t="s">
        <v>257</v>
      </c>
      <c r="R1" s="359">
        <f>Q6+Q9+R9</f>
        <v>201</v>
      </c>
      <c r="S1" s="360">
        <f>R1/SUM(R$1:R$2)</f>
        <v>0.44666666666666666</v>
      </c>
      <c r="U1" s="358" t="s">
        <v>257</v>
      </c>
      <c r="V1" s="359">
        <f>U6+U9+V9</f>
        <v>251</v>
      </c>
      <c r="W1" s="360">
        <f>V1/SUM(V$1:V$2)</f>
        <v>0.45636363636363636</v>
      </c>
      <c r="Y1" s="358" t="s">
        <v>257</v>
      </c>
      <c r="Z1" s="359">
        <f>Y6+Y9+Z9</f>
        <v>301</v>
      </c>
      <c r="AA1" s="360">
        <f>Z1/SUM(Z$1:Z$2)</f>
        <v>0.46307692307692305</v>
      </c>
      <c r="AC1" s="358" t="s">
        <v>257</v>
      </c>
      <c r="AD1" s="359">
        <f>AC6+AC9+AD9</f>
        <v>351</v>
      </c>
      <c r="AE1" s="360">
        <f>AD1/SUM(AD$1:AD$2)</f>
        <v>0.46800000000000003</v>
      </c>
    </row>
    <row r="2" spans="2:31" ht="14.5" x14ac:dyDescent="0.35">
      <c r="K2" s="24"/>
      <c r="M2" s="358" t="s">
        <v>258</v>
      </c>
      <c r="N2" s="359">
        <f>M12+N12</f>
        <v>199</v>
      </c>
      <c r="O2" s="360">
        <f>N2/SUM(N$1:N$2)</f>
        <v>0.56857142857142862</v>
      </c>
      <c r="Q2" s="358" t="s">
        <v>258</v>
      </c>
      <c r="R2" s="359">
        <f>Q12+R12</f>
        <v>249</v>
      </c>
      <c r="S2" s="360">
        <f>R2/SUM(R$1:R$2)</f>
        <v>0.55333333333333334</v>
      </c>
      <c r="T2" s="25"/>
      <c r="U2" s="358" t="s">
        <v>258</v>
      </c>
      <c r="V2" s="359">
        <f>U12+V12</f>
        <v>299</v>
      </c>
      <c r="W2" s="360">
        <f>V2/SUM(V$1:V$2)</f>
        <v>0.54363636363636358</v>
      </c>
      <c r="X2" s="26"/>
      <c r="Y2" s="358" t="s">
        <v>258</v>
      </c>
      <c r="Z2" s="359">
        <f>Y12+Z12</f>
        <v>349</v>
      </c>
      <c r="AA2" s="360">
        <f>Z2/SUM(Z$1:Z$2)</f>
        <v>0.53692307692307695</v>
      </c>
      <c r="AC2" s="358" t="s">
        <v>258</v>
      </c>
      <c r="AD2" s="359">
        <f>AC12+AD12</f>
        <v>399</v>
      </c>
      <c r="AE2" s="360">
        <f>AD2/SUM(AD$1:AD$2)</f>
        <v>0.53200000000000003</v>
      </c>
    </row>
    <row r="3" spans="2:31" ht="14.5" x14ac:dyDescent="0.35">
      <c r="B3" s="22" t="s">
        <v>28</v>
      </c>
      <c r="E3" s="375" t="s">
        <v>29</v>
      </c>
      <c r="F3" s="375"/>
      <c r="G3" s="375"/>
      <c r="I3" s="375" t="s">
        <v>30</v>
      </c>
      <c r="J3" s="375"/>
      <c r="K3" s="375"/>
      <c r="M3" s="375" t="s">
        <v>31</v>
      </c>
      <c r="N3" s="375"/>
      <c r="O3" s="375"/>
      <c r="Q3" s="375" t="s">
        <v>32</v>
      </c>
      <c r="R3" s="375"/>
      <c r="S3" s="375"/>
      <c r="T3" s="25"/>
      <c r="U3" s="375" t="s">
        <v>170</v>
      </c>
      <c r="V3" s="375"/>
      <c r="W3" s="375"/>
      <c r="X3" s="26"/>
      <c r="Y3" s="375" t="s">
        <v>171</v>
      </c>
      <c r="Z3" s="375"/>
      <c r="AA3" s="375"/>
      <c r="AC3" s="375" t="s">
        <v>172</v>
      </c>
      <c r="AD3" s="375"/>
      <c r="AE3" s="375"/>
    </row>
    <row r="4" spans="2:31" x14ac:dyDescent="0.3">
      <c r="E4" s="27"/>
      <c r="F4" s="27"/>
      <c r="G4" s="28"/>
      <c r="I4" s="27"/>
      <c r="J4" s="27"/>
      <c r="K4" s="28"/>
      <c r="M4" s="27"/>
      <c r="N4" s="27"/>
      <c r="O4" s="28"/>
      <c r="Q4" s="27"/>
      <c r="R4" s="27"/>
      <c r="S4" s="28"/>
      <c r="T4" s="29"/>
      <c r="U4" s="27"/>
      <c r="V4" s="27"/>
      <c r="W4" s="28"/>
      <c r="X4" s="26"/>
      <c r="Y4" s="27"/>
      <c r="Z4" s="27"/>
      <c r="AA4" s="28"/>
      <c r="AC4" s="27"/>
      <c r="AD4" s="27"/>
      <c r="AE4" s="28"/>
    </row>
    <row r="5" spans="2:31" x14ac:dyDescent="0.3">
      <c r="E5" s="27" t="s">
        <v>34</v>
      </c>
      <c r="F5" s="27" t="s">
        <v>35</v>
      </c>
      <c r="G5" s="30" t="s">
        <v>36</v>
      </c>
      <c r="H5" s="31"/>
      <c r="I5" s="27" t="s">
        <v>34</v>
      </c>
      <c r="J5" s="27" t="s">
        <v>35</v>
      </c>
      <c r="K5" s="32" t="s">
        <v>36</v>
      </c>
      <c r="L5" s="31"/>
      <c r="M5" s="27" t="s">
        <v>34</v>
      </c>
      <c r="N5" s="27" t="s">
        <v>35</v>
      </c>
      <c r="O5" s="32" t="s">
        <v>36</v>
      </c>
      <c r="P5" s="33"/>
      <c r="Q5" s="27" t="s">
        <v>34</v>
      </c>
      <c r="R5" s="27" t="s">
        <v>35</v>
      </c>
      <c r="S5" s="32" t="s">
        <v>36</v>
      </c>
      <c r="U5" s="27" t="s">
        <v>34</v>
      </c>
      <c r="V5" s="27" t="s">
        <v>35</v>
      </c>
      <c r="W5" s="32" t="s">
        <v>36</v>
      </c>
      <c r="Y5" s="27" t="s">
        <v>34</v>
      </c>
      <c r="Z5" s="27" t="s">
        <v>35</v>
      </c>
      <c r="AA5" s="32" t="s">
        <v>36</v>
      </c>
      <c r="AC5" s="27" t="s">
        <v>34</v>
      </c>
      <c r="AD5" s="27" t="s">
        <v>35</v>
      </c>
      <c r="AE5" s="32" t="s">
        <v>36</v>
      </c>
    </row>
    <row r="6" spans="2:31" x14ac:dyDescent="0.3">
      <c r="B6" s="230" t="s">
        <v>166</v>
      </c>
      <c r="C6" s="230"/>
      <c r="D6" s="230"/>
      <c r="E6" s="27"/>
      <c r="F6" s="27"/>
      <c r="G6" s="30"/>
      <c r="H6" s="232"/>
      <c r="I6" s="231"/>
      <c r="J6" s="231"/>
      <c r="K6" s="233"/>
      <c r="L6" s="232"/>
      <c r="M6" s="235">
        <f>50</f>
        <v>50</v>
      </c>
      <c r="N6" s="231"/>
      <c r="O6" s="233"/>
      <c r="P6" s="234"/>
      <c r="Q6" s="238">
        <f>M6</f>
        <v>50</v>
      </c>
      <c r="R6" s="231"/>
      <c r="S6" s="233"/>
      <c r="U6" s="238">
        <f>Q6</f>
        <v>50</v>
      </c>
      <c r="V6" s="231"/>
      <c r="W6" s="233"/>
      <c r="Y6" s="238">
        <f>U6</f>
        <v>50</v>
      </c>
      <c r="Z6" s="231"/>
      <c r="AA6" s="233"/>
      <c r="AC6" s="238">
        <f>Y6</f>
        <v>50</v>
      </c>
      <c r="AD6" s="231"/>
      <c r="AE6" s="233"/>
    </row>
    <row r="7" spans="2:31" x14ac:dyDescent="0.3">
      <c r="B7" s="230" t="s">
        <v>167</v>
      </c>
      <c r="C7" s="230"/>
      <c r="D7" s="230"/>
      <c r="E7" s="27"/>
      <c r="F7" s="27"/>
      <c r="G7" s="30"/>
      <c r="H7" s="232"/>
      <c r="I7" s="237">
        <v>1E-3</v>
      </c>
      <c r="J7" s="231"/>
      <c r="K7" s="233"/>
      <c r="L7" s="232"/>
      <c r="M7" s="235">
        <f>+I7+M6</f>
        <v>50.000999999999998</v>
      </c>
      <c r="N7" s="235">
        <f>+J7+N6</f>
        <v>0</v>
      </c>
      <c r="O7" s="236">
        <f t="shared" ref="O7:O8" si="0">SUM(M7:N7)</f>
        <v>50.000999999999998</v>
      </c>
      <c r="P7" s="234"/>
      <c r="Q7" s="235">
        <f>+M7+Q6</f>
        <v>100.001</v>
      </c>
      <c r="R7" s="235">
        <f>+N7+R6</f>
        <v>0</v>
      </c>
      <c r="S7" s="236">
        <f t="shared" ref="S7:S8" si="1">SUM(Q7:R7)</f>
        <v>100.001</v>
      </c>
      <c r="U7" s="235">
        <f>+Q7+U6</f>
        <v>150.001</v>
      </c>
      <c r="V7" s="235">
        <f>+R7+V6</f>
        <v>0</v>
      </c>
      <c r="W7" s="236">
        <f t="shared" ref="W7:W14" si="2">SUM(U7:V7)</f>
        <v>150.001</v>
      </c>
      <c r="Y7" s="235">
        <f>+U7+Y6</f>
        <v>200.001</v>
      </c>
      <c r="Z7" s="235">
        <f>+V7+Z6</f>
        <v>0</v>
      </c>
      <c r="AA7" s="236">
        <f t="shared" ref="AA7:AA14" si="3">SUM(Y7:Z7)</f>
        <v>200.001</v>
      </c>
      <c r="AC7" s="235">
        <f>+Y7+AC6</f>
        <v>250.001</v>
      </c>
      <c r="AD7" s="235">
        <f>+Z7+AD6</f>
        <v>0</v>
      </c>
      <c r="AE7" s="236">
        <f t="shared" ref="AE7:AE14" si="4">SUM(AC7:AD7)</f>
        <v>250.001</v>
      </c>
    </row>
    <row r="8" spans="2:31" x14ac:dyDescent="0.3">
      <c r="B8" s="230" t="s">
        <v>168</v>
      </c>
      <c r="C8" s="230"/>
      <c r="D8" s="230"/>
      <c r="E8" s="27"/>
      <c r="F8" s="27"/>
      <c r="G8" s="30"/>
      <c r="H8" s="232"/>
      <c r="I8" s="231"/>
      <c r="J8" s="231"/>
      <c r="K8" s="233"/>
      <c r="L8" s="232"/>
      <c r="M8" s="235">
        <f>I8+I6</f>
        <v>0</v>
      </c>
      <c r="N8" s="235">
        <f>J8+J6</f>
        <v>0</v>
      </c>
      <c r="O8" s="236">
        <f t="shared" si="0"/>
        <v>0</v>
      </c>
      <c r="P8" s="234"/>
      <c r="Q8" s="235">
        <f>M8+M6</f>
        <v>50</v>
      </c>
      <c r="R8" s="235">
        <f>N8+N6</f>
        <v>0</v>
      </c>
      <c r="S8" s="236">
        <f t="shared" si="1"/>
        <v>50</v>
      </c>
      <c r="U8" s="235">
        <f>Q8+Q6</f>
        <v>100</v>
      </c>
      <c r="V8" s="235">
        <f>R8+R6</f>
        <v>0</v>
      </c>
      <c r="W8" s="236">
        <f t="shared" si="2"/>
        <v>100</v>
      </c>
      <c r="Y8" s="235">
        <f>U8+U6</f>
        <v>150</v>
      </c>
      <c r="Z8" s="235">
        <f>V8+V6</f>
        <v>0</v>
      </c>
      <c r="AA8" s="236">
        <f t="shared" si="3"/>
        <v>150</v>
      </c>
      <c r="AC8" s="235">
        <f>Y8+Y6</f>
        <v>200</v>
      </c>
      <c r="AD8" s="235">
        <f>Z8+Z6</f>
        <v>0</v>
      </c>
      <c r="AE8" s="236">
        <f t="shared" si="4"/>
        <v>200</v>
      </c>
    </row>
    <row r="9" spans="2:31" x14ac:dyDescent="0.3">
      <c r="B9" s="75" t="s">
        <v>37</v>
      </c>
      <c r="C9" s="76"/>
      <c r="D9" s="76"/>
      <c r="E9" s="317">
        <v>0</v>
      </c>
      <c r="F9" s="317">
        <v>0</v>
      </c>
      <c r="G9" s="318">
        <f t="shared" ref="G9:G14" si="5">SUM(E9:F9)</f>
        <v>0</v>
      </c>
      <c r="H9" s="79"/>
      <c r="I9" s="77">
        <v>13</v>
      </c>
      <c r="J9" s="77">
        <v>2</v>
      </c>
      <c r="K9" s="78">
        <f t="shared" ref="K9:K14" si="6">SUM(I9:J9)</f>
        <v>15</v>
      </c>
      <c r="L9" s="79"/>
      <c r="M9" s="77">
        <v>80</v>
      </c>
      <c r="N9" s="77">
        <v>21</v>
      </c>
      <c r="O9" s="78">
        <f t="shared" ref="O9:O14" si="7">SUM(M9:N9)</f>
        <v>101</v>
      </c>
      <c r="Q9" s="77">
        <f>M9+30</f>
        <v>110</v>
      </c>
      <c r="R9" s="77">
        <f>N9+20</f>
        <v>41</v>
      </c>
      <c r="S9" s="78">
        <f t="shared" ref="S9:S14" si="8">SUM(Q9:R9)</f>
        <v>151</v>
      </c>
      <c r="U9" s="77">
        <f>Q9+30</f>
        <v>140</v>
      </c>
      <c r="V9" s="77">
        <f>R9+20</f>
        <v>61</v>
      </c>
      <c r="W9" s="78">
        <f t="shared" si="2"/>
        <v>201</v>
      </c>
      <c r="Y9" s="77">
        <f>U9+30</f>
        <v>170</v>
      </c>
      <c r="Z9" s="77">
        <f>V9+20</f>
        <v>81</v>
      </c>
      <c r="AA9" s="78">
        <f t="shared" si="3"/>
        <v>251</v>
      </c>
      <c r="AC9" s="77">
        <f>Y9+30</f>
        <v>200</v>
      </c>
      <c r="AD9" s="77">
        <f>Z9+20</f>
        <v>101</v>
      </c>
      <c r="AE9" s="78">
        <f t="shared" si="4"/>
        <v>301</v>
      </c>
    </row>
    <row r="10" spans="2:31" x14ac:dyDescent="0.3">
      <c r="B10" s="80" t="s">
        <v>38</v>
      </c>
      <c r="C10" s="76"/>
      <c r="D10" s="76"/>
      <c r="E10" s="317">
        <f>E9</f>
        <v>0</v>
      </c>
      <c r="F10" s="317">
        <f>F9</f>
        <v>0</v>
      </c>
      <c r="G10" s="318">
        <f t="shared" si="5"/>
        <v>0</v>
      </c>
      <c r="H10" s="79"/>
      <c r="I10" s="77">
        <f>+E10+I9</f>
        <v>13</v>
      </c>
      <c r="J10" s="77">
        <f>+F10+J9</f>
        <v>2</v>
      </c>
      <c r="K10" s="78">
        <f t="shared" si="6"/>
        <v>15</v>
      </c>
      <c r="L10" s="79"/>
      <c r="M10" s="77">
        <f>+I10+M9</f>
        <v>93</v>
      </c>
      <c r="N10" s="77">
        <f>+J10+N9</f>
        <v>23</v>
      </c>
      <c r="O10" s="78">
        <f t="shared" si="7"/>
        <v>116</v>
      </c>
      <c r="Q10" s="77">
        <f>+M10+Q9</f>
        <v>203</v>
      </c>
      <c r="R10" s="77">
        <f>+N10+R9</f>
        <v>64</v>
      </c>
      <c r="S10" s="78">
        <f t="shared" si="8"/>
        <v>267</v>
      </c>
      <c r="U10" s="77">
        <f>+Q10+U9</f>
        <v>343</v>
      </c>
      <c r="V10" s="77">
        <f>+R10+V9</f>
        <v>125</v>
      </c>
      <c r="W10" s="78">
        <f t="shared" si="2"/>
        <v>468</v>
      </c>
      <c r="Y10" s="77">
        <f>+U10+Y9</f>
        <v>513</v>
      </c>
      <c r="Z10" s="77">
        <f>+V10+Z9</f>
        <v>206</v>
      </c>
      <c r="AA10" s="78">
        <f t="shared" si="3"/>
        <v>719</v>
      </c>
      <c r="AC10" s="77">
        <f>+Y10+AC9</f>
        <v>713</v>
      </c>
      <c r="AD10" s="77">
        <f>+Z10+AD9</f>
        <v>307</v>
      </c>
      <c r="AE10" s="78">
        <f t="shared" si="4"/>
        <v>1020</v>
      </c>
    </row>
    <row r="11" spans="2:31" x14ac:dyDescent="0.3">
      <c r="B11" s="80" t="s">
        <v>39</v>
      </c>
      <c r="C11" s="76"/>
      <c r="D11" s="76"/>
      <c r="E11" s="317">
        <v>0</v>
      </c>
      <c r="F11" s="317">
        <v>0</v>
      </c>
      <c r="G11" s="318">
        <f t="shared" si="5"/>
        <v>0</v>
      </c>
      <c r="H11" s="79"/>
      <c r="I11" s="77">
        <f>E11+E9</f>
        <v>0</v>
      </c>
      <c r="J11" s="77">
        <f>F11+F9</f>
        <v>0</v>
      </c>
      <c r="K11" s="78">
        <f t="shared" si="6"/>
        <v>0</v>
      </c>
      <c r="L11" s="79"/>
      <c r="M11" s="77">
        <f>I11+I9</f>
        <v>13</v>
      </c>
      <c r="N11" s="77">
        <f>J11+J9</f>
        <v>2</v>
      </c>
      <c r="O11" s="78">
        <f t="shared" si="7"/>
        <v>15</v>
      </c>
      <c r="Q11" s="77">
        <f>M11+M9</f>
        <v>93</v>
      </c>
      <c r="R11" s="77">
        <f>N11+N9</f>
        <v>23</v>
      </c>
      <c r="S11" s="78">
        <f t="shared" si="8"/>
        <v>116</v>
      </c>
      <c r="U11" s="77">
        <f>Q11+Q9</f>
        <v>203</v>
      </c>
      <c r="V11" s="77">
        <f>R11+R9</f>
        <v>64</v>
      </c>
      <c r="W11" s="78">
        <f t="shared" si="2"/>
        <v>267</v>
      </c>
      <c r="Y11" s="77">
        <f>U11+U9</f>
        <v>343</v>
      </c>
      <c r="Z11" s="77">
        <f>V11+V9</f>
        <v>125</v>
      </c>
      <c r="AA11" s="78">
        <f t="shared" si="3"/>
        <v>468</v>
      </c>
      <c r="AC11" s="77">
        <f>Y11+Y9</f>
        <v>513</v>
      </c>
      <c r="AD11" s="77">
        <f>Z11+Z9</f>
        <v>206</v>
      </c>
      <c r="AE11" s="78">
        <f t="shared" si="4"/>
        <v>719</v>
      </c>
    </row>
    <row r="12" spans="2:31" x14ac:dyDescent="0.3">
      <c r="B12" s="81" t="s">
        <v>40</v>
      </c>
      <c r="C12" s="82"/>
      <c r="D12" s="82"/>
      <c r="E12" s="319">
        <v>0</v>
      </c>
      <c r="F12" s="319"/>
      <c r="G12" s="320">
        <f t="shared" si="5"/>
        <v>0</v>
      </c>
      <c r="H12" s="85"/>
      <c r="I12" s="83">
        <v>1</v>
      </c>
      <c r="J12" s="83">
        <v>1</v>
      </c>
      <c r="K12" s="84">
        <f t="shared" si="6"/>
        <v>2</v>
      </c>
      <c r="L12" s="85"/>
      <c r="M12" s="83">
        <v>145</v>
      </c>
      <c r="N12" s="83">
        <v>54</v>
      </c>
      <c r="O12" s="83">
        <f t="shared" si="7"/>
        <v>199</v>
      </c>
      <c r="Q12" s="83">
        <f>M12+30</f>
        <v>175</v>
      </c>
      <c r="R12" s="83">
        <f>N12+20</f>
        <v>74</v>
      </c>
      <c r="S12" s="83">
        <f t="shared" si="8"/>
        <v>249</v>
      </c>
      <c r="U12" s="83">
        <f>Q12+30</f>
        <v>205</v>
      </c>
      <c r="V12" s="83">
        <f>R12+20</f>
        <v>94</v>
      </c>
      <c r="W12" s="83">
        <f t="shared" si="2"/>
        <v>299</v>
      </c>
      <c r="Y12" s="83">
        <f>U12+30</f>
        <v>235</v>
      </c>
      <c r="Z12" s="83">
        <f>V12+20</f>
        <v>114</v>
      </c>
      <c r="AA12" s="83">
        <f t="shared" si="3"/>
        <v>349</v>
      </c>
      <c r="AC12" s="83">
        <f>Y12+30</f>
        <v>265</v>
      </c>
      <c r="AD12" s="83">
        <f>Z12+20</f>
        <v>134</v>
      </c>
      <c r="AE12" s="83">
        <f t="shared" si="4"/>
        <v>399</v>
      </c>
    </row>
    <row r="13" spans="2:31" x14ac:dyDescent="0.3">
      <c r="B13" s="86" t="s">
        <v>41</v>
      </c>
      <c r="C13" s="87"/>
      <c r="D13" s="87"/>
      <c r="E13" s="317">
        <f>E12</f>
        <v>0</v>
      </c>
      <c r="F13" s="317">
        <f>F12</f>
        <v>0</v>
      </c>
      <c r="G13" s="318">
        <f t="shared" si="5"/>
        <v>0</v>
      </c>
      <c r="H13" s="90"/>
      <c r="I13" s="88">
        <f>+E13+I12</f>
        <v>1</v>
      </c>
      <c r="J13" s="88">
        <f>+F13+J12</f>
        <v>1</v>
      </c>
      <c r="K13" s="89">
        <f t="shared" si="6"/>
        <v>2</v>
      </c>
      <c r="L13" s="90"/>
      <c r="M13" s="88">
        <f>+I13+M12</f>
        <v>146</v>
      </c>
      <c r="N13" s="88">
        <f>+J13+N12</f>
        <v>55</v>
      </c>
      <c r="O13" s="89">
        <f t="shared" si="7"/>
        <v>201</v>
      </c>
      <c r="Q13" s="88">
        <f>+M13+Q12</f>
        <v>321</v>
      </c>
      <c r="R13" s="88">
        <f>+N13+R12</f>
        <v>129</v>
      </c>
      <c r="S13" s="89">
        <f t="shared" si="8"/>
        <v>450</v>
      </c>
      <c r="U13" s="88">
        <f>+Q13+U12</f>
        <v>526</v>
      </c>
      <c r="V13" s="88">
        <f>+R13+V12</f>
        <v>223</v>
      </c>
      <c r="W13" s="89">
        <f t="shared" si="2"/>
        <v>749</v>
      </c>
      <c r="Y13" s="88">
        <f>+U13+Y12</f>
        <v>761</v>
      </c>
      <c r="Z13" s="88">
        <f>+V13+Z12</f>
        <v>337</v>
      </c>
      <c r="AA13" s="89">
        <f t="shared" si="3"/>
        <v>1098</v>
      </c>
      <c r="AC13" s="88">
        <f>+Y13+AC12</f>
        <v>1026</v>
      </c>
      <c r="AD13" s="88">
        <f>+Z13+AD12</f>
        <v>471</v>
      </c>
      <c r="AE13" s="89">
        <f t="shared" si="4"/>
        <v>1497</v>
      </c>
    </row>
    <row r="14" spans="2:31" x14ac:dyDescent="0.3">
      <c r="B14" s="86" t="s">
        <v>42</v>
      </c>
      <c r="C14" s="87"/>
      <c r="D14" s="87"/>
      <c r="E14" s="317">
        <v>0</v>
      </c>
      <c r="F14" s="317">
        <v>0</v>
      </c>
      <c r="G14" s="318">
        <f t="shared" si="5"/>
        <v>0</v>
      </c>
      <c r="H14" s="90"/>
      <c r="I14" s="88">
        <f>E14+E12</f>
        <v>0</v>
      </c>
      <c r="J14" s="88">
        <f>F14+F12</f>
        <v>0</v>
      </c>
      <c r="K14" s="89">
        <f t="shared" si="6"/>
        <v>0</v>
      </c>
      <c r="L14" s="90"/>
      <c r="M14" s="88">
        <f>I14+I12</f>
        <v>1</v>
      </c>
      <c r="N14" s="88">
        <f>J14+J12</f>
        <v>1</v>
      </c>
      <c r="O14" s="89">
        <f t="shared" si="7"/>
        <v>2</v>
      </c>
      <c r="Q14" s="88">
        <f>M14+M12</f>
        <v>146</v>
      </c>
      <c r="R14" s="88">
        <f>N14+N12</f>
        <v>55</v>
      </c>
      <c r="S14" s="89">
        <f t="shared" si="8"/>
        <v>201</v>
      </c>
      <c r="U14" s="88">
        <f>Q14+Q12</f>
        <v>321</v>
      </c>
      <c r="V14" s="88">
        <f>R14+R12</f>
        <v>129</v>
      </c>
      <c r="W14" s="89">
        <f t="shared" si="2"/>
        <v>450</v>
      </c>
      <c r="Y14" s="88">
        <f>U14+U12</f>
        <v>526</v>
      </c>
      <c r="Z14" s="88">
        <f>V14+V12</f>
        <v>223</v>
      </c>
      <c r="AA14" s="89">
        <f t="shared" si="3"/>
        <v>749</v>
      </c>
      <c r="AC14" s="88">
        <f>Y14+Y12</f>
        <v>761</v>
      </c>
      <c r="AD14" s="88">
        <f>Z14+Z12</f>
        <v>337</v>
      </c>
      <c r="AE14" s="89">
        <f t="shared" si="4"/>
        <v>1098</v>
      </c>
    </row>
    <row r="15" spans="2:31" outlineLevel="1" x14ac:dyDescent="0.3">
      <c r="B15" s="29" t="s">
        <v>43</v>
      </c>
      <c r="E15" s="321">
        <f>E10+E13</f>
        <v>0</v>
      </c>
      <c r="F15" s="321">
        <f>F10+F13</f>
        <v>0</v>
      </c>
      <c r="G15" s="322">
        <f>G10+G13</f>
        <v>0</v>
      </c>
      <c r="H15" s="34"/>
      <c r="I15" s="91">
        <f>I10+I13+I7</f>
        <v>14.000999999999999</v>
      </c>
      <c r="J15" s="91">
        <f t="shared" ref="J15:K15" si="9">J10+J13+J7</f>
        <v>3</v>
      </c>
      <c r="K15" s="92">
        <f t="shared" si="9"/>
        <v>17</v>
      </c>
      <c r="L15" s="34"/>
      <c r="M15" s="91">
        <f>M10+M13+M7</f>
        <v>289.00099999999998</v>
      </c>
      <c r="N15" s="91">
        <f t="shared" ref="N15:O15" si="10">N10+N13+N7</f>
        <v>78</v>
      </c>
      <c r="O15" s="92">
        <f t="shared" si="10"/>
        <v>367.00099999999998</v>
      </c>
      <c r="Q15" s="91">
        <f>Q10+Q13+Q7</f>
        <v>624.00099999999998</v>
      </c>
      <c r="R15" s="91">
        <f t="shared" ref="R15:S15" si="11">R10+R13+R7</f>
        <v>193</v>
      </c>
      <c r="S15" s="92">
        <f t="shared" si="11"/>
        <v>817.00099999999998</v>
      </c>
      <c r="U15" s="91">
        <f>U10+U13+U7</f>
        <v>1019.001</v>
      </c>
      <c r="V15" s="91">
        <f t="shared" ref="V15:W15" si="12">V10+V13+V7</f>
        <v>348</v>
      </c>
      <c r="W15" s="92">
        <f t="shared" si="12"/>
        <v>1367.001</v>
      </c>
      <c r="Y15" s="91">
        <f>Y10+Y13+Y7</f>
        <v>1474.001</v>
      </c>
      <c r="Z15" s="91">
        <f t="shared" ref="Z15:AA15" si="13">Z10+Z13+Z7</f>
        <v>543</v>
      </c>
      <c r="AA15" s="92">
        <f t="shared" si="13"/>
        <v>2017.001</v>
      </c>
      <c r="AC15" s="91">
        <f>AC10+AC13+AC7</f>
        <v>1989.001</v>
      </c>
      <c r="AD15" s="91">
        <f t="shared" ref="AD15:AE15" si="14">AD10+AD13+AD7</f>
        <v>778</v>
      </c>
      <c r="AE15" s="92">
        <f t="shared" si="14"/>
        <v>2767.0010000000002</v>
      </c>
    </row>
    <row r="16" spans="2:31" outlineLevel="1" x14ac:dyDescent="0.3">
      <c r="D16" s="31"/>
      <c r="E16" s="323" t="str">
        <f>E5</f>
        <v xml:space="preserve">U.S. </v>
      </c>
      <c r="F16" s="323" t="str">
        <f>F5</f>
        <v>EX-US</v>
      </c>
      <c r="G16" s="324"/>
      <c r="H16" s="29"/>
      <c r="I16" s="35" t="str">
        <f>I5</f>
        <v xml:space="preserve">U.S. </v>
      </c>
      <c r="J16" s="35" t="str">
        <f>J5</f>
        <v>EX-US</v>
      </c>
      <c r="K16" s="29"/>
      <c r="L16" s="29"/>
      <c r="M16" s="35" t="str">
        <f>M5</f>
        <v xml:space="preserve">U.S. </v>
      </c>
      <c r="N16" s="35" t="str">
        <f>N5</f>
        <v>EX-US</v>
      </c>
      <c r="O16" s="91"/>
      <c r="Q16" s="35" t="str">
        <f>Q5</f>
        <v xml:space="preserve">U.S. </v>
      </c>
      <c r="R16" s="35" t="str">
        <f>R5</f>
        <v>EX-US</v>
      </c>
      <c r="S16" s="91"/>
      <c r="U16" s="35" t="str">
        <f>U5</f>
        <v xml:space="preserve">U.S. </v>
      </c>
      <c r="V16" s="35" t="str">
        <f>V5</f>
        <v>EX-US</v>
      </c>
      <c r="W16" s="91"/>
      <c r="Y16" s="35" t="str">
        <f>Y5</f>
        <v xml:space="preserve">U.S. </v>
      </c>
      <c r="Z16" s="35" t="str">
        <f>Z5</f>
        <v>EX-US</v>
      </c>
      <c r="AA16" s="91"/>
      <c r="AC16" s="35" t="str">
        <f>AC5</f>
        <v xml:space="preserve">U.S. </v>
      </c>
      <c r="AD16" s="35" t="str">
        <f>AD5</f>
        <v>EX-US</v>
      </c>
      <c r="AE16" s="91"/>
    </row>
    <row r="17" spans="2:31" outlineLevel="1" x14ac:dyDescent="0.3">
      <c r="B17" s="36" t="s">
        <v>44</v>
      </c>
      <c r="C17" s="37"/>
      <c r="D17" s="37"/>
      <c r="E17" s="325">
        <v>30</v>
      </c>
      <c r="F17" s="325">
        <v>14</v>
      </c>
      <c r="G17" s="326"/>
      <c r="H17" s="37"/>
      <c r="I17" s="93"/>
      <c r="J17" s="93"/>
      <c r="K17" s="37"/>
      <c r="L17" s="37"/>
      <c r="M17" s="93">
        <v>180</v>
      </c>
      <c r="N17" s="93"/>
      <c r="O17" s="94"/>
      <c r="Q17" s="93">
        <v>180</v>
      </c>
      <c r="R17" s="93"/>
      <c r="S17" s="94"/>
      <c r="U17" s="93">
        <v>180</v>
      </c>
      <c r="V17" s="93"/>
      <c r="W17" s="94"/>
      <c r="Y17" s="93">
        <v>180</v>
      </c>
      <c r="Z17" s="93"/>
      <c r="AA17" s="94"/>
      <c r="AC17" s="93">
        <v>180</v>
      </c>
      <c r="AD17" s="93"/>
      <c r="AE17" s="94"/>
    </row>
    <row r="18" spans="2:31" outlineLevel="1" x14ac:dyDescent="0.3">
      <c r="B18" s="38" t="s">
        <v>45</v>
      </c>
      <c r="E18" s="327">
        <v>2</v>
      </c>
      <c r="F18" s="327">
        <v>2</v>
      </c>
      <c r="G18" s="328"/>
      <c r="H18" s="33"/>
      <c r="I18" s="33"/>
      <c r="J18" s="33"/>
      <c r="K18" s="33"/>
      <c r="L18" s="33"/>
      <c r="M18" s="33">
        <v>9</v>
      </c>
      <c r="N18" s="33"/>
      <c r="O18" s="91"/>
      <c r="Q18" s="33">
        <v>9</v>
      </c>
      <c r="R18" s="33"/>
      <c r="S18" s="91"/>
      <c r="U18" s="33">
        <v>9</v>
      </c>
      <c r="V18" s="33"/>
      <c r="W18" s="91"/>
      <c r="Y18" s="33">
        <v>9</v>
      </c>
      <c r="Z18" s="33"/>
      <c r="AA18" s="91"/>
      <c r="AC18" s="33">
        <v>9</v>
      </c>
      <c r="AD18" s="33"/>
      <c r="AE18" s="91"/>
    </row>
    <row r="19" spans="2:31" outlineLevel="1" x14ac:dyDescent="0.3">
      <c r="B19" s="38" t="s">
        <v>46</v>
      </c>
      <c r="E19" s="327">
        <v>2</v>
      </c>
      <c r="F19" s="327">
        <v>2</v>
      </c>
      <c r="G19" s="328"/>
      <c r="H19" s="33"/>
      <c r="I19" s="33"/>
      <c r="J19" s="33"/>
      <c r="K19" s="33"/>
      <c r="L19" s="33"/>
      <c r="M19" s="33">
        <v>20</v>
      </c>
      <c r="N19" s="33"/>
      <c r="O19" s="91"/>
      <c r="Q19" s="33">
        <v>20</v>
      </c>
      <c r="R19" s="33"/>
      <c r="S19" s="91"/>
      <c r="U19" s="33">
        <v>20</v>
      </c>
      <c r="V19" s="33"/>
      <c r="W19" s="91"/>
      <c r="Y19" s="33">
        <v>20</v>
      </c>
      <c r="Z19" s="33"/>
      <c r="AA19" s="91"/>
      <c r="AC19" s="33">
        <v>20</v>
      </c>
      <c r="AD19" s="33"/>
      <c r="AE19" s="91"/>
    </row>
    <row r="20" spans="2:31" outlineLevel="1" x14ac:dyDescent="0.3">
      <c r="B20" s="38" t="s">
        <v>47</v>
      </c>
      <c r="E20" s="327"/>
      <c r="F20" s="327"/>
      <c r="G20" s="328"/>
      <c r="H20" s="33"/>
      <c r="I20" s="33"/>
      <c r="J20" s="33"/>
      <c r="K20" s="33"/>
      <c r="L20" s="33"/>
      <c r="M20" s="33">
        <f>M17*M18*M19/1000</f>
        <v>32.4</v>
      </c>
      <c r="N20" s="33"/>
      <c r="O20" s="91"/>
      <c r="Q20" s="33">
        <f>Q17*Q18*Q19/1000</f>
        <v>32.4</v>
      </c>
      <c r="R20" s="33"/>
      <c r="S20" s="91"/>
      <c r="U20" s="33">
        <f>U17*U18*U19/1000</f>
        <v>32.4</v>
      </c>
      <c r="V20" s="33"/>
      <c r="W20" s="91"/>
      <c r="Y20" s="33">
        <f>Y17*Y18*Y19/1000</f>
        <v>32.4</v>
      </c>
      <c r="Z20" s="33"/>
      <c r="AA20" s="91"/>
      <c r="AC20" s="33">
        <f>AC17*AC18*AC19/1000</f>
        <v>32.4</v>
      </c>
      <c r="AD20" s="33"/>
      <c r="AE20" s="91"/>
    </row>
    <row r="21" spans="2:31" outlineLevel="1" x14ac:dyDescent="0.3">
      <c r="B21" s="38" t="s">
        <v>48</v>
      </c>
      <c r="E21" s="327">
        <v>3</v>
      </c>
      <c r="F21" s="327">
        <v>3</v>
      </c>
      <c r="G21" s="328"/>
      <c r="H21" s="33"/>
      <c r="I21" s="33"/>
      <c r="J21" s="33"/>
      <c r="K21" s="33"/>
      <c r="L21" s="33"/>
      <c r="M21" s="33">
        <v>12</v>
      </c>
      <c r="N21" s="33"/>
      <c r="O21" s="91"/>
      <c r="Q21" s="33">
        <v>12</v>
      </c>
      <c r="R21" s="33"/>
      <c r="S21" s="91"/>
      <c r="U21" s="33">
        <v>12</v>
      </c>
      <c r="V21" s="33"/>
      <c r="W21" s="91"/>
      <c r="Y21" s="33">
        <v>12</v>
      </c>
      <c r="Z21" s="33"/>
      <c r="AA21" s="91"/>
      <c r="AC21" s="33">
        <v>12</v>
      </c>
      <c r="AD21" s="33"/>
      <c r="AE21" s="91"/>
    </row>
    <row r="22" spans="2:31" outlineLevel="1" x14ac:dyDescent="0.3">
      <c r="B22" s="38" t="s">
        <v>49</v>
      </c>
      <c r="E22" s="329">
        <f>E17*E18*E19*E21/1000</f>
        <v>0.36</v>
      </c>
      <c r="F22" s="329">
        <f>F17*F18*F19*F21/1000</f>
        <v>0.16800000000000001</v>
      </c>
      <c r="G22" s="330"/>
      <c r="H22" s="44"/>
      <c r="I22" s="44"/>
      <c r="J22" s="44"/>
      <c r="K22" s="44"/>
      <c r="L22" s="44"/>
      <c r="M22" s="44">
        <f>M17*M18*M19*M21/1000</f>
        <v>388.8</v>
      </c>
      <c r="N22" s="44"/>
      <c r="O22" s="91"/>
      <c r="Q22" s="44">
        <f>Q17*Q18*Q19*Q21/1000</f>
        <v>388.8</v>
      </c>
      <c r="R22" s="44"/>
      <c r="S22" s="91"/>
      <c r="U22" s="44">
        <f>U17*U18*U19*U21/1000</f>
        <v>388.8</v>
      </c>
      <c r="V22" s="44"/>
      <c r="W22" s="91"/>
      <c r="Y22" s="44">
        <f>Y17*Y18*Y19*Y21/1000</f>
        <v>388.8</v>
      </c>
      <c r="Z22" s="44"/>
      <c r="AA22" s="91"/>
      <c r="AC22" s="44">
        <f>AC17*AC18*AC19*AC21/1000</f>
        <v>388.8</v>
      </c>
      <c r="AD22" s="44"/>
      <c r="AE22" s="91"/>
    </row>
    <row r="23" spans="2:31" outlineLevel="1" x14ac:dyDescent="0.3">
      <c r="B23" s="45" t="s">
        <v>169</v>
      </c>
      <c r="C23" s="37"/>
      <c r="D23" s="37"/>
      <c r="E23" s="331">
        <f>E22*E2</f>
        <v>0</v>
      </c>
      <c r="F23" s="331">
        <f>F22*F2</f>
        <v>0</v>
      </c>
      <c r="G23" s="331">
        <f>SUM(E23:F23)</f>
        <v>0</v>
      </c>
      <c r="H23" s="46"/>
      <c r="I23" s="95">
        <f>IFERROR(AVERAGE(I7,E7)*I20*I21,0)</f>
        <v>0</v>
      </c>
      <c r="J23" s="95">
        <f>IFERROR(AVERAGE(J7,F7)*J20*J21,0)</f>
        <v>0</v>
      </c>
      <c r="K23" s="95">
        <f>SUM(I23:J23)</f>
        <v>0</v>
      </c>
      <c r="L23" s="95"/>
      <c r="M23" s="95">
        <f>AVERAGE(M7,I7)*M20*M21</f>
        <v>9720.3887999999988</v>
      </c>
      <c r="N23" s="95">
        <f>AVERAGE(N7,J7)*N20*N21</f>
        <v>0</v>
      </c>
      <c r="O23" s="95">
        <f>SUM(M23:N23)</f>
        <v>9720.3887999999988</v>
      </c>
      <c r="Q23" s="95">
        <f>AVERAGE(Q7,M7)*Q20*Q21</f>
        <v>29160.388800000001</v>
      </c>
      <c r="R23" s="95">
        <f>AVERAGE(R7,N7)*R20*R21</f>
        <v>0</v>
      </c>
      <c r="S23" s="95">
        <f>SUM(Q23:R23)</f>
        <v>29160.388800000001</v>
      </c>
      <c r="U23" s="95">
        <f>AVERAGE(U7,Q7)*U20*U21</f>
        <v>48600.388800000001</v>
      </c>
      <c r="V23" s="95">
        <f>AVERAGE(V7,R7)*V20*V21</f>
        <v>0</v>
      </c>
      <c r="W23" s="95">
        <f>SUM(U23:V23)</f>
        <v>48600.388800000001</v>
      </c>
      <c r="Y23" s="95">
        <f>AVERAGE(Y7,U7)*Y20*Y21</f>
        <v>68040.388800000001</v>
      </c>
      <c r="Z23" s="95">
        <f>AVERAGE(Z7,V7)*Z20*Z21</f>
        <v>0</v>
      </c>
      <c r="AA23" s="95">
        <f>SUM(Y23:Z23)</f>
        <v>68040.388800000001</v>
      </c>
      <c r="AC23" s="95">
        <f>AVERAGE(AC7,Y7)*AC20*AC21</f>
        <v>87480.388800000001</v>
      </c>
      <c r="AD23" s="95">
        <f>AVERAGE(AD7,Z7)*AD20*AD21</f>
        <v>0</v>
      </c>
      <c r="AE23" s="95">
        <f>SUM(AC23:AD23)</f>
        <v>87480.388800000001</v>
      </c>
    </row>
    <row r="24" spans="2:31" outlineLevel="1" x14ac:dyDescent="0.3">
      <c r="D24" s="31"/>
      <c r="E24" s="323" t="str">
        <f>E5</f>
        <v xml:space="preserve">U.S. </v>
      </c>
      <c r="F24" s="323" t="str">
        <f>F5</f>
        <v>EX-US</v>
      </c>
      <c r="G24" s="324"/>
      <c r="H24" s="29"/>
      <c r="I24" s="35" t="str">
        <f>I5</f>
        <v xml:space="preserve">U.S. </v>
      </c>
      <c r="J24" s="35" t="str">
        <f>J5</f>
        <v>EX-US</v>
      </c>
      <c r="K24" s="29"/>
      <c r="L24" s="29"/>
      <c r="M24" s="35" t="str">
        <f>M5</f>
        <v xml:space="preserve">U.S. </v>
      </c>
      <c r="N24" s="35" t="str">
        <f>N5</f>
        <v>EX-US</v>
      </c>
      <c r="O24" s="91"/>
      <c r="Q24" s="35" t="str">
        <f>Q5</f>
        <v xml:space="preserve">U.S. </v>
      </c>
      <c r="R24" s="35" t="str">
        <f>R5</f>
        <v>EX-US</v>
      </c>
      <c r="S24" s="91"/>
      <c r="U24" s="35" t="str">
        <f>U5</f>
        <v xml:space="preserve">U.S. </v>
      </c>
      <c r="V24" s="35" t="str">
        <f>V5</f>
        <v>EX-US</v>
      </c>
      <c r="W24" s="91"/>
      <c r="Y24" s="35" t="str">
        <f>Y5</f>
        <v xml:space="preserve">U.S. </v>
      </c>
      <c r="Z24" s="35" t="str">
        <f>Z5</f>
        <v>EX-US</v>
      </c>
      <c r="AA24" s="91"/>
      <c r="AC24" s="35" t="str">
        <f>AC5</f>
        <v xml:space="preserve">U.S. </v>
      </c>
      <c r="AD24" s="35" t="str">
        <f>AD5</f>
        <v>EX-US</v>
      </c>
      <c r="AE24" s="91"/>
    </row>
    <row r="25" spans="2:31" outlineLevel="1" x14ac:dyDescent="0.3">
      <c r="B25" s="36" t="s">
        <v>44</v>
      </c>
      <c r="C25" s="37"/>
      <c r="D25" s="37"/>
      <c r="E25" s="325">
        <v>30</v>
      </c>
      <c r="F25" s="325">
        <v>14</v>
      </c>
      <c r="G25" s="326"/>
      <c r="H25" s="37"/>
      <c r="I25" s="93">
        <v>30</v>
      </c>
      <c r="J25" s="93">
        <v>14</v>
      </c>
      <c r="K25" s="37"/>
      <c r="L25" s="37"/>
      <c r="M25" s="93">
        <v>30</v>
      </c>
      <c r="N25" s="93">
        <v>16</v>
      </c>
      <c r="O25" s="94"/>
      <c r="Q25" s="93">
        <v>30</v>
      </c>
      <c r="R25" s="93">
        <v>16</v>
      </c>
      <c r="S25" s="94"/>
      <c r="U25" s="93">
        <v>30</v>
      </c>
      <c r="V25" s="93">
        <v>16</v>
      </c>
      <c r="W25" s="94"/>
      <c r="Y25" s="93">
        <v>30</v>
      </c>
      <c r="Z25" s="93">
        <v>16</v>
      </c>
      <c r="AA25" s="94"/>
      <c r="AC25" s="93">
        <v>30</v>
      </c>
      <c r="AD25" s="93">
        <v>16</v>
      </c>
      <c r="AE25" s="94"/>
    </row>
    <row r="26" spans="2:31" outlineLevel="1" x14ac:dyDescent="0.3">
      <c r="B26" s="38" t="s">
        <v>45</v>
      </c>
      <c r="E26" s="327">
        <v>2</v>
      </c>
      <c r="F26" s="327">
        <v>2</v>
      </c>
      <c r="G26" s="328"/>
      <c r="H26" s="33"/>
      <c r="I26" s="33">
        <v>3</v>
      </c>
      <c r="J26" s="33">
        <v>4</v>
      </c>
      <c r="K26" s="33"/>
      <c r="L26" s="33"/>
      <c r="M26" s="33">
        <v>3.3</v>
      </c>
      <c r="N26" s="33">
        <v>4</v>
      </c>
      <c r="O26" s="91"/>
      <c r="Q26" s="33">
        <v>7</v>
      </c>
      <c r="R26" s="33">
        <v>7</v>
      </c>
      <c r="S26" s="91"/>
      <c r="U26" s="33">
        <v>7</v>
      </c>
      <c r="V26" s="33">
        <v>7</v>
      </c>
      <c r="W26" s="91"/>
      <c r="Y26" s="33">
        <v>7</v>
      </c>
      <c r="Z26" s="33">
        <v>7</v>
      </c>
      <c r="AA26" s="91"/>
      <c r="AC26" s="33">
        <v>7</v>
      </c>
      <c r="AD26" s="33">
        <v>7</v>
      </c>
      <c r="AE26" s="91"/>
    </row>
    <row r="27" spans="2:31" outlineLevel="1" x14ac:dyDescent="0.3">
      <c r="B27" s="38" t="s">
        <v>46</v>
      </c>
      <c r="E27" s="327">
        <v>2</v>
      </c>
      <c r="F27" s="327">
        <v>2</v>
      </c>
      <c r="G27" s="328"/>
      <c r="H27" s="33"/>
      <c r="I27" s="33">
        <v>23</v>
      </c>
      <c r="J27" s="33">
        <v>23</v>
      </c>
      <c r="K27" s="33"/>
      <c r="L27" s="33"/>
      <c r="M27" s="33">
        <v>23</v>
      </c>
      <c r="N27" s="33">
        <v>23</v>
      </c>
      <c r="O27" s="91"/>
      <c r="Q27" s="33">
        <v>23</v>
      </c>
      <c r="R27" s="33">
        <v>23</v>
      </c>
      <c r="S27" s="91"/>
      <c r="U27" s="33">
        <v>23</v>
      </c>
      <c r="V27" s="33">
        <v>23</v>
      </c>
      <c r="W27" s="91"/>
      <c r="Y27" s="33">
        <v>23</v>
      </c>
      <c r="Z27" s="33">
        <v>23</v>
      </c>
      <c r="AA27" s="91"/>
      <c r="AC27" s="33">
        <v>23</v>
      </c>
      <c r="AD27" s="33">
        <v>23</v>
      </c>
      <c r="AE27" s="91"/>
    </row>
    <row r="28" spans="2:31" outlineLevel="1" x14ac:dyDescent="0.3">
      <c r="B28" s="38" t="s">
        <v>47</v>
      </c>
      <c r="E28" s="327"/>
      <c r="F28" s="327"/>
      <c r="G28" s="328"/>
      <c r="H28" s="33"/>
      <c r="I28" s="33">
        <f>I25*I26*I27/1000</f>
        <v>2.0699999999999998</v>
      </c>
      <c r="J28" s="33">
        <f>J25*J26*J27/1000</f>
        <v>1.288</v>
      </c>
      <c r="K28" s="33"/>
      <c r="L28" s="33"/>
      <c r="M28" s="44">
        <f>M25*M26*M27/1000</f>
        <v>2.2770000000000001</v>
      </c>
      <c r="N28" s="44">
        <f>N25*N26*N27/1000</f>
        <v>1.472</v>
      </c>
      <c r="O28" s="91"/>
      <c r="Q28" s="44">
        <f>Q25*Q26*Q27/1000</f>
        <v>4.83</v>
      </c>
      <c r="R28" s="44">
        <f>R25*R26*R27/1000</f>
        <v>2.5760000000000001</v>
      </c>
      <c r="S28" s="91"/>
      <c r="U28" s="44">
        <f>U25*U26*U27/1000</f>
        <v>4.83</v>
      </c>
      <c r="V28" s="44">
        <f>V25*V26*V27/1000</f>
        <v>2.5760000000000001</v>
      </c>
      <c r="W28" s="44"/>
      <c r="X28" s="44"/>
      <c r="Y28" s="44">
        <f>Y25*Y26*Y27/1000</f>
        <v>4.83</v>
      </c>
      <c r="Z28" s="44">
        <f>Z25*Z26*Z27/1000</f>
        <v>2.5760000000000001</v>
      </c>
      <c r="AA28" s="44"/>
      <c r="AB28" s="44"/>
      <c r="AC28" s="44">
        <f>AC25*AC26*AC27/1000</f>
        <v>4.83</v>
      </c>
      <c r="AD28" s="44">
        <f>AD25*AD26*AD27/1000</f>
        <v>2.5760000000000001</v>
      </c>
      <c r="AE28" s="91"/>
    </row>
    <row r="29" spans="2:31" outlineLevel="1" x14ac:dyDescent="0.3">
      <c r="B29" s="38" t="s">
        <v>48</v>
      </c>
      <c r="E29" s="327">
        <v>3</v>
      </c>
      <c r="F29" s="327">
        <v>3</v>
      </c>
      <c r="G29" s="328"/>
      <c r="H29" s="33"/>
      <c r="I29" s="33">
        <v>12</v>
      </c>
      <c r="J29" s="33">
        <v>12</v>
      </c>
      <c r="K29" s="33"/>
      <c r="L29" s="33"/>
      <c r="M29" s="33">
        <v>12</v>
      </c>
      <c r="N29" s="33">
        <v>12</v>
      </c>
      <c r="O29" s="91"/>
      <c r="Q29" s="33">
        <v>12</v>
      </c>
      <c r="R29" s="33">
        <v>12</v>
      </c>
      <c r="S29" s="91"/>
      <c r="U29" s="33">
        <v>12</v>
      </c>
      <c r="V29" s="33">
        <v>12</v>
      </c>
      <c r="W29" s="91"/>
      <c r="Y29" s="33">
        <v>12</v>
      </c>
      <c r="Z29" s="33">
        <v>12</v>
      </c>
      <c r="AA29" s="91"/>
      <c r="AC29" s="33">
        <v>12</v>
      </c>
      <c r="AD29" s="33">
        <v>12</v>
      </c>
      <c r="AE29" s="91"/>
    </row>
    <row r="30" spans="2:31" outlineLevel="1" x14ac:dyDescent="0.3">
      <c r="B30" s="38" t="s">
        <v>49</v>
      </c>
      <c r="E30" s="329">
        <f>E25*E26*E27*E29/1000</f>
        <v>0.36</v>
      </c>
      <c r="F30" s="329">
        <f>F25*F26*F27*F29/1000</f>
        <v>0.16800000000000001</v>
      </c>
      <c r="G30" s="330"/>
      <c r="H30" s="44"/>
      <c r="I30" s="44">
        <f>I25*I26*I27*I29/1000</f>
        <v>24.84</v>
      </c>
      <c r="J30" s="44">
        <f>J25*J26*J27*J29/1000</f>
        <v>15.456</v>
      </c>
      <c r="K30" s="44"/>
      <c r="L30" s="44"/>
      <c r="M30" s="44">
        <f>M25*M26*M27*M29/1000</f>
        <v>27.324000000000002</v>
      </c>
      <c r="N30" s="44">
        <f>N25*N26*N27*N29/1000</f>
        <v>17.664000000000001</v>
      </c>
      <c r="O30" s="91"/>
      <c r="Q30" s="44">
        <f>Q25*Q26*Q27*Q29/1000</f>
        <v>57.96</v>
      </c>
      <c r="R30" s="44">
        <f>R25*R26*R27*R29/1000</f>
        <v>30.911999999999999</v>
      </c>
      <c r="S30" s="91"/>
      <c r="U30" s="44">
        <f>U25*U26*U27*U29/1000</f>
        <v>57.96</v>
      </c>
      <c r="V30" s="44">
        <f>V25*V26*V27*V29/1000</f>
        <v>30.911999999999999</v>
      </c>
      <c r="W30" s="91"/>
      <c r="Y30" s="44">
        <f>Y25*Y26*Y27*Y29/1000</f>
        <v>57.96</v>
      </c>
      <c r="Z30" s="44">
        <f>Z25*Z26*Z27*Z29/1000</f>
        <v>30.911999999999999</v>
      </c>
      <c r="AA30" s="91"/>
      <c r="AC30" s="44">
        <f>AC25*AC26*AC27*AC29/1000</f>
        <v>57.96</v>
      </c>
      <c r="AD30" s="44">
        <f>AD25*AD26*AD27*AD29/1000</f>
        <v>30.911999999999999</v>
      </c>
      <c r="AE30" s="91"/>
    </row>
    <row r="31" spans="2:31" outlineLevel="1" x14ac:dyDescent="0.3">
      <c r="B31" s="45" t="s">
        <v>50</v>
      </c>
      <c r="C31" s="37"/>
      <c r="D31" s="37"/>
      <c r="E31" s="331">
        <f>E30*E10</f>
        <v>0</v>
      </c>
      <c r="F31" s="331">
        <f>F30*F10</f>
        <v>0</v>
      </c>
      <c r="G31" s="331">
        <f>SUM(E31:F31)</f>
        <v>0</v>
      </c>
      <c r="H31" s="46"/>
      <c r="I31" s="95">
        <f>AVERAGE(I10,E10)*I28*I29</f>
        <v>161.45999999999998</v>
      </c>
      <c r="J31" s="95">
        <f>AVERAGE(J10,F10)*J28*J29</f>
        <v>15.456</v>
      </c>
      <c r="K31" s="95">
        <f>SUM(I31:J31)</f>
        <v>176.91599999999997</v>
      </c>
      <c r="L31" s="95"/>
      <c r="M31" s="95">
        <f>AVERAGE(M10,I10)*M28*M29</f>
        <v>1448.172</v>
      </c>
      <c r="N31" s="95">
        <f>AVERAGE(N10,J10)*N28*N29</f>
        <v>220.79999999999998</v>
      </c>
      <c r="O31" s="95">
        <f>SUM(M31:N31)</f>
        <v>1668.972</v>
      </c>
      <c r="Q31" s="95">
        <f>AVERAGE(Q10,M10)*Q28*Q29</f>
        <v>8578.08</v>
      </c>
      <c r="R31" s="95">
        <f>AVERAGE(R10,N10)*R28*R29</f>
        <v>1344.672</v>
      </c>
      <c r="S31" s="95">
        <f>SUM(Q31:R31)</f>
        <v>9922.7520000000004</v>
      </c>
      <c r="U31" s="95">
        <f>AVERAGE(U10,Q10)*U28*U29</f>
        <v>15823.079999999998</v>
      </c>
      <c r="V31" s="95">
        <f>AVERAGE(V10,R10)*V28*V29</f>
        <v>2921.1840000000002</v>
      </c>
      <c r="W31" s="95">
        <f>SUM(U31:V31)</f>
        <v>18744.263999999999</v>
      </c>
      <c r="Y31" s="95">
        <f>AVERAGE(Y10,U10)*Y28*Y29</f>
        <v>24806.880000000005</v>
      </c>
      <c r="Z31" s="95">
        <f>AVERAGE(Z10,V10)*Z28*Z29</f>
        <v>5115.9360000000006</v>
      </c>
      <c r="AA31" s="95">
        <f>SUM(Y31:Z31)</f>
        <v>29922.816000000006</v>
      </c>
      <c r="AC31" s="95">
        <f>AVERAGE(AC10,Y10)*AC28*AC29</f>
        <v>35529.479999999996</v>
      </c>
      <c r="AD31" s="95">
        <f>AVERAGE(AD10,Z10)*AD28*AD29</f>
        <v>7928.9279999999999</v>
      </c>
      <c r="AE31" s="95">
        <f>SUM(AC31:AD31)</f>
        <v>43458.407999999996</v>
      </c>
    </row>
    <row r="32" spans="2:31" s="74" customFormat="1" ht="14.5" outlineLevel="1" x14ac:dyDescent="0.35">
      <c r="E32" s="332"/>
      <c r="F32" s="332"/>
      <c r="G32" s="332"/>
    </row>
    <row r="33" spans="2:31" ht="14.5" outlineLevel="1" x14ac:dyDescent="0.35">
      <c r="B33" s="38" t="s">
        <v>51</v>
      </c>
      <c r="C33" s="74"/>
      <c r="D33" s="74"/>
      <c r="E33" s="333">
        <v>160</v>
      </c>
      <c r="F33" s="333">
        <v>160</v>
      </c>
      <c r="G33" s="333"/>
      <c r="H33" s="47"/>
      <c r="I33" s="47">
        <f>E33</f>
        <v>160</v>
      </c>
      <c r="J33" s="47">
        <f>F33</f>
        <v>160</v>
      </c>
      <c r="K33" s="47"/>
      <c r="L33" s="47"/>
      <c r="M33" s="243">
        <f>'Capex Price Weighted AVG.'!D5/1000</f>
        <v>127.37931034482757</v>
      </c>
      <c r="N33" s="47">
        <f>'Capex Price Weighted AVG.'!D9/1000</f>
        <v>143.55555555555557</v>
      </c>
      <c r="O33" s="91"/>
      <c r="Q33" s="47">
        <f>'Capex Price Weighted AVG.'!H5/1000</f>
        <v>126.68571428571428</v>
      </c>
      <c r="R33" s="47">
        <f>'Capex Price Weighted AVG.'!H9/1000</f>
        <v>160</v>
      </c>
      <c r="S33" s="91"/>
      <c r="U33" s="243">
        <f>'Capex Price Weighted AVG.'!L5/1000</f>
        <v>126.65853658536585</v>
      </c>
      <c r="V33" s="47">
        <f>'Capex Price Weighted AVG.'!L9/1000</f>
        <v>160</v>
      </c>
      <c r="W33" s="91"/>
      <c r="Y33" s="47">
        <f>'Capex Price Weighted AVG.'!P5/1000</f>
        <v>126.63829787234042</v>
      </c>
      <c r="Z33" s="47">
        <f>'Capex Price Weighted AVG.'!P9/1000</f>
        <v>160</v>
      </c>
      <c r="AA33" s="91"/>
      <c r="AC33" s="47">
        <f>'Capex Price Weighted AVG.'!T5/1000</f>
        <v>126.62264150943396</v>
      </c>
      <c r="AD33" s="47">
        <f>'Capex Price Weighted AVG.'!T9/1000</f>
        <v>160</v>
      </c>
      <c r="AE33" s="91"/>
    </row>
    <row r="34" spans="2:31" ht="14.5" outlineLevel="1" x14ac:dyDescent="0.35">
      <c r="B34" s="45" t="s">
        <v>52</v>
      </c>
      <c r="C34" s="96"/>
      <c r="D34" s="96"/>
      <c r="E34" s="334">
        <f>E33*E12</f>
        <v>0</v>
      </c>
      <c r="F34" s="334">
        <f>F33*F12</f>
        <v>0</v>
      </c>
      <c r="G34" s="334">
        <f>SUM(E34:F34)</f>
        <v>0</v>
      </c>
      <c r="H34" s="97"/>
      <c r="I34" s="97">
        <f>I33*I12</f>
        <v>160</v>
      </c>
      <c r="J34" s="97">
        <f>J33*J12</f>
        <v>160</v>
      </c>
      <c r="K34" s="97">
        <f>SUM(I34:J34)</f>
        <v>320</v>
      </c>
      <c r="L34" s="97"/>
      <c r="M34" s="97">
        <f>M33*M12</f>
        <v>18469.999999999996</v>
      </c>
      <c r="N34" s="97">
        <f>N33*N12</f>
        <v>7752.0000000000009</v>
      </c>
      <c r="O34" s="97">
        <f>SUM(M34:N34)</f>
        <v>26221.999999999996</v>
      </c>
      <c r="P34" s="98"/>
      <c r="Q34" s="97">
        <f>Q33*Q12</f>
        <v>22170</v>
      </c>
      <c r="R34" s="97">
        <f>R33*R12</f>
        <v>11840</v>
      </c>
      <c r="S34" s="97">
        <f>SUM(Q34:R34)</f>
        <v>34010</v>
      </c>
      <c r="U34" s="97">
        <f>U33*U12</f>
        <v>25965</v>
      </c>
      <c r="V34" s="97">
        <f>V33*V12</f>
        <v>15040</v>
      </c>
      <c r="W34" s="97">
        <f>SUM(U34:V34)</f>
        <v>41005</v>
      </c>
      <c r="Y34" s="97">
        <f>Y33*Y12</f>
        <v>29759.999999999996</v>
      </c>
      <c r="Z34" s="97">
        <f>Z33*Z12</f>
        <v>18240</v>
      </c>
      <c r="AA34" s="97">
        <f>SUM(Y34:Z34)</f>
        <v>48000</v>
      </c>
      <c r="AC34" s="97">
        <f>AC33*AC12</f>
        <v>33555</v>
      </c>
      <c r="AD34" s="97">
        <f>AD33*AD12</f>
        <v>21440</v>
      </c>
      <c r="AE34" s="97">
        <f>SUM(AC34:AD34)</f>
        <v>54995</v>
      </c>
    </row>
    <row r="35" spans="2:31" outlineLevel="1" x14ac:dyDescent="0.3">
      <c r="B35" s="29"/>
      <c r="E35" s="321"/>
      <c r="F35" s="321"/>
      <c r="G35" s="322"/>
      <c r="H35" s="34"/>
      <c r="I35" s="91"/>
      <c r="J35" s="91"/>
      <c r="K35" s="91"/>
      <c r="L35" s="34"/>
      <c r="M35" s="98"/>
      <c r="N35" s="98"/>
      <c r="O35" s="98"/>
      <c r="Q35" s="98"/>
      <c r="R35" s="98"/>
      <c r="S35" s="98">
        <f>SUM(Q35:R35)</f>
        <v>0</v>
      </c>
      <c r="U35" s="98"/>
      <c r="V35" s="98"/>
      <c r="W35" s="98">
        <f>SUM(U35:V35)</f>
        <v>0</v>
      </c>
      <c r="Y35" s="98"/>
      <c r="Z35" s="98"/>
      <c r="AA35" s="98">
        <f>SUM(Y35:Z35)</f>
        <v>0</v>
      </c>
      <c r="AC35" s="98"/>
      <c r="AD35" s="98"/>
      <c r="AE35" s="98">
        <f>SUM(AC35:AD35)</f>
        <v>0</v>
      </c>
    </row>
    <row r="36" spans="2:31" x14ac:dyDescent="0.3">
      <c r="B36" s="29" t="s">
        <v>53</v>
      </c>
      <c r="C36" s="29"/>
      <c r="D36" s="29"/>
      <c r="E36" s="335">
        <f>SUM(E31,E34)</f>
        <v>0</v>
      </c>
      <c r="F36" s="335">
        <f>SUM(F31,F34)</f>
        <v>0</v>
      </c>
      <c r="G36" s="335">
        <f>SUM(E36:F36)</f>
        <v>0</v>
      </c>
      <c r="H36" s="100"/>
      <c r="I36" s="99">
        <f>SUM(I31,I34,I23)</f>
        <v>321.45999999999998</v>
      </c>
      <c r="J36" s="99">
        <f>SUM(J31,J34,J23)</f>
        <v>175.45599999999999</v>
      </c>
      <c r="K36" s="99">
        <f>SUM(I36:J36)</f>
        <v>496.91599999999994</v>
      </c>
      <c r="L36" s="100"/>
      <c r="M36" s="99">
        <f>SUM(M31,M34,M23)</f>
        <v>29638.560799999992</v>
      </c>
      <c r="N36" s="99">
        <f>SUM(N31,N34,N23)</f>
        <v>7972.8000000000011</v>
      </c>
      <c r="O36" s="99">
        <f>SUM(M36:N36)</f>
        <v>37611.360799999995</v>
      </c>
      <c r="Q36" s="99">
        <f>SUM(Q31,Q34,Q23)</f>
        <v>59908.468800000002</v>
      </c>
      <c r="R36" s="99">
        <f>SUM(R31,R34,R23)</f>
        <v>13184.672</v>
      </c>
      <c r="S36" s="99">
        <f>SUM(Q36:R36)</f>
        <v>73093.140800000008</v>
      </c>
      <c r="U36" s="99">
        <f>SUM(U31,U34,U23)</f>
        <v>90388.468800000002</v>
      </c>
      <c r="V36" s="99">
        <f>SUM(V31,V34,V23)</f>
        <v>17961.184000000001</v>
      </c>
      <c r="W36" s="99">
        <f>SUM(U36:V36)</f>
        <v>108349.65280000001</v>
      </c>
      <c r="Y36" s="99">
        <f>SUM(Y31,Y34,Y23)</f>
        <v>122607.26880000001</v>
      </c>
      <c r="Z36" s="99">
        <f>SUM(Z31,Z34,Z23)</f>
        <v>23355.936000000002</v>
      </c>
      <c r="AA36" s="99">
        <f>SUM(Y36:Z36)</f>
        <v>145963.20480000001</v>
      </c>
      <c r="AC36" s="99">
        <f>SUM(AC31,AC34,AC23)</f>
        <v>156564.8688</v>
      </c>
      <c r="AD36" s="99">
        <f>SUM(AD31,AD34,AD23)</f>
        <v>29368.928</v>
      </c>
      <c r="AE36" s="99">
        <f>SUM(AC36:AD36)</f>
        <v>185933.79680000001</v>
      </c>
    </row>
    <row r="37" spans="2:31" x14ac:dyDescent="0.3">
      <c r="B37" s="29"/>
      <c r="E37" s="336"/>
      <c r="F37" s="336"/>
      <c r="G37" s="337"/>
      <c r="H37" s="53"/>
      <c r="I37" s="53"/>
      <c r="J37" s="53"/>
      <c r="K37" s="100"/>
      <c r="L37" s="53"/>
      <c r="M37" s="53"/>
      <c r="N37" s="53"/>
      <c r="O37" s="100"/>
      <c r="Q37" s="53"/>
      <c r="R37" s="53"/>
      <c r="S37" s="100"/>
      <c r="U37" s="53"/>
      <c r="V37" s="53"/>
      <c r="W37" s="100"/>
      <c r="Y37" s="53"/>
      <c r="Z37" s="53"/>
      <c r="AA37" s="100"/>
      <c r="AC37" s="53"/>
      <c r="AD37" s="53"/>
      <c r="AE37" s="100"/>
    </row>
    <row r="38" spans="2:31" x14ac:dyDescent="0.3">
      <c r="B38" s="29" t="s">
        <v>54</v>
      </c>
      <c r="E38" s="336">
        <v>18</v>
      </c>
      <c r="F38" s="336">
        <v>12</v>
      </c>
      <c r="G38" s="337"/>
      <c r="H38" s="53"/>
      <c r="I38" s="53">
        <v>18</v>
      </c>
      <c r="J38" s="53">
        <v>12</v>
      </c>
      <c r="K38" s="100"/>
      <c r="L38" s="53"/>
      <c r="M38" s="53">
        <v>18</v>
      </c>
      <c r="N38" s="53">
        <v>12</v>
      </c>
      <c r="O38" s="100"/>
      <c r="Q38" s="53">
        <v>18</v>
      </c>
      <c r="R38" s="53">
        <v>12</v>
      </c>
      <c r="S38" s="100"/>
      <c r="U38" s="53">
        <v>18</v>
      </c>
      <c r="V38" s="53">
        <v>12</v>
      </c>
      <c r="W38" s="100"/>
      <c r="Y38" s="53">
        <v>18</v>
      </c>
      <c r="Z38" s="53">
        <v>12</v>
      </c>
      <c r="AA38" s="100"/>
      <c r="AC38" s="53">
        <v>18</v>
      </c>
      <c r="AD38" s="53">
        <v>12</v>
      </c>
      <c r="AE38" s="100"/>
    </row>
    <row r="39" spans="2:31" s="26" customFormat="1" x14ac:dyDescent="0.3">
      <c r="B39" s="101" t="s">
        <v>55</v>
      </c>
      <c r="C39" s="37"/>
      <c r="D39" s="37"/>
      <c r="E39" s="338">
        <v>0</v>
      </c>
      <c r="F39" s="338">
        <v>0</v>
      </c>
      <c r="G39" s="338">
        <f>SUM(E39:F39)</f>
        <v>0</v>
      </c>
      <c r="H39" s="103"/>
      <c r="I39" s="104">
        <f>I38*E10</f>
        <v>0</v>
      </c>
      <c r="J39" s="104">
        <f>J38*F10</f>
        <v>0</v>
      </c>
      <c r="K39" s="102">
        <f>SUM(I39:J39)</f>
        <v>0</v>
      </c>
      <c r="L39" s="105"/>
      <c r="M39" s="104">
        <f>M38*I10</f>
        <v>234</v>
      </c>
      <c r="N39" s="104">
        <f>N38*J10</f>
        <v>24</v>
      </c>
      <c r="O39" s="102">
        <f>SUM(M39:N39)</f>
        <v>258</v>
      </c>
      <c r="Q39" s="104">
        <f>Q38*M10</f>
        <v>1674</v>
      </c>
      <c r="R39" s="104">
        <f>R38*N10</f>
        <v>276</v>
      </c>
      <c r="S39" s="102">
        <f>SUM(Q39:R39)</f>
        <v>1950</v>
      </c>
      <c r="U39" s="104">
        <f>U38*Q10</f>
        <v>3654</v>
      </c>
      <c r="V39" s="104">
        <f>V38*R10</f>
        <v>768</v>
      </c>
      <c r="W39" s="102">
        <f>SUM(U39:V39)</f>
        <v>4422</v>
      </c>
      <c r="Y39" s="104">
        <f>Y38*U10</f>
        <v>6174</v>
      </c>
      <c r="Z39" s="104">
        <f>Z38*V10</f>
        <v>1500</v>
      </c>
      <c r="AA39" s="102">
        <f>SUM(Y39:Z39)</f>
        <v>7674</v>
      </c>
      <c r="AC39" s="104">
        <f>AC38*Y10</f>
        <v>9234</v>
      </c>
      <c r="AD39" s="104">
        <f>AD38*Z10</f>
        <v>2472</v>
      </c>
      <c r="AE39" s="102">
        <f>SUM(AC39:AD39)</f>
        <v>11706</v>
      </c>
    </row>
    <row r="40" spans="2:31" s="26" customFormat="1" ht="14.5" x14ac:dyDescent="0.35">
      <c r="B40" s="106" t="s">
        <v>15</v>
      </c>
      <c r="C40" s="107"/>
      <c r="D40" s="107"/>
      <c r="E40" s="339"/>
      <c r="F40" s="339"/>
      <c r="G40" s="340"/>
      <c r="H40" s="108"/>
      <c r="I40" s="108"/>
      <c r="J40" s="108"/>
      <c r="K40" s="110">
        <f>K39/K31</f>
        <v>0</v>
      </c>
      <c r="L40" s="111"/>
      <c r="M40" s="111"/>
      <c r="N40" s="111"/>
      <c r="O40" s="110">
        <f>O39/O31</f>
        <v>0.15458617640080241</v>
      </c>
      <c r="P40" s="73"/>
      <c r="Q40" s="111"/>
      <c r="R40" s="111"/>
      <c r="S40" s="110">
        <f>S39/S31</f>
        <v>0.19651806273098429</v>
      </c>
      <c r="U40" s="111"/>
      <c r="V40" s="111"/>
      <c r="W40" s="110">
        <f>W39/W31</f>
        <v>0.23591217025112324</v>
      </c>
      <c r="Y40" s="111"/>
      <c r="Z40" s="111"/>
      <c r="AA40" s="110">
        <f>AA39/AA31</f>
        <v>0.25645981982444427</v>
      </c>
      <c r="AC40" s="111"/>
      <c r="AD40" s="111"/>
      <c r="AE40" s="110">
        <f>AE39/AE31</f>
        <v>0.26936099453988283</v>
      </c>
    </row>
    <row r="41" spans="2:31" s="26" customFormat="1" x14ac:dyDescent="0.3">
      <c r="B41" s="112" t="s">
        <v>56</v>
      </c>
      <c r="C41" s="107"/>
      <c r="D41" s="107"/>
      <c r="E41" s="341">
        <v>0</v>
      </c>
      <c r="F41" s="339">
        <v>1000</v>
      </c>
      <c r="G41" s="340">
        <f>SUM(E41:F41)</f>
        <v>1000</v>
      </c>
      <c r="H41" s="108"/>
      <c r="I41" s="113">
        <v>0</v>
      </c>
      <c r="J41" s="108">
        <v>0</v>
      </c>
      <c r="K41" s="109">
        <f>SUM(I41:J41)</f>
        <v>0</v>
      </c>
      <c r="L41" s="108"/>
      <c r="M41" s="113">
        <v>0</v>
      </c>
      <c r="N41" s="108">
        <v>0</v>
      </c>
      <c r="O41" s="109">
        <f>SUM(M41:N41)</f>
        <v>0</v>
      </c>
      <c r="Q41" s="113">
        <v>0</v>
      </c>
      <c r="R41" s="108">
        <v>0</v>
      </c>
      <c r="S41" s="109">
        <f>SUM(Q41:R41)</f>
        <v>0</v>
      </c>
      <c r="U41" s="113">
        <v>0</v>
      </c>
      <c r="V41" s="108">
        <v>0</v>
      </c>
      <c r="W41" s="109">
        <f>SUM(U41:V41)</f>
        <v>0</v>
      </c>
      <c r="Y41" s="113">
        <v>0</v>
      </c>
      <c r="Z41" s="108">
        <v>0</v>
      </c>
      <c r="AA41" s="109">
        <f>SUM(Y41:Z41)</f>
        <v>0</v>
      </c>
      <c r="AC41" s="113">
        <v>0</v>
      </c>
      <c r="AD41" s="108">
        <v>0</v>
      </c>
      <c r="AE41" s="109">
        <f>SUM(AC41:AD41)</f>
        <v>0</v>
      </c>
    </row>
    <row r="42" spans="2:31" s="26" customFormat="1" ht="14.5" x14ac:dyDescent="0.35">
      <c r="B42" s="106" t="s">
        <v>57</v>
      </c>
      <c r="C42" s="107"/>
      <c r="D42" s="107"/>
      <c r="E42" s="341"/>
      <c r="F42" s="339"/>
      <c r="G42" s="340"/>
      <c r="H42" s="108"/>
      <c r="I42" s="113"/>
      <c r="J42" s="108"/>
      <c r="K42" s="109"/>
      <c r="L42" s="108"/>
      <c r="M42" s="113"/>
      <c r="N42" s="108"/>
      <c r="O42" s="109"/>
      <c r="Q42" s="113"/>
      <c r="R42" s="108"/>
      <c r="S42" s="109"/>
      <c r="U42" s="113"/>
      <c r="V42" s="108"/>
      <c r="W42" s="109"/>
      <c r="Y42" s="113"/>
      <c r="Z42" s="108"/>
      <c r="AA42" s="109"/>
      <c r="AC42" s="113"/>
      <c r="AD42" s="108"/>
      <c r="AE42" s="109"/>
    </row>
    <row r="43" spans="2:31" s="26" customFormat="1" x14ac:dyDescent="0.3">
      <c r="B43" s="38" t="s">
        <v>58</v>
      </c>
      <c r="C43" s="107"/>
      <c r="D43" s="107"/>
      <c r="E43" s="339">
        <v>200</v>
      </c>
      <c r="F43" s="339">
        <v>0</v>
      </c>
      <c r="G43" s="340">
        <f>SUM(E43:F43)</f>
        <v>200</v>
      </c>
      <c r="H43" s="108"/>
      <c r="I43" s="108">
        <v>345</v>
      </c>
      <c r="J43" s="108">
        <v>0</v>
      </c>
      <c r="K43" s="109">
        <f>SUM(I43:J43)</f>
        <v>345</v>
      </c>
      <c r="L43" s="108"/>
      <c r="M43" s="108">
        <v>1208</v>
      </c>
      <c r="N43" s="108">
        <v>0</v>
      </c>
      <c r="O43" s="109">
        <f>SUM(M43:N43)</f>
        <v>1208</v>
      </c>
      <c r="Q43" s="108">
        <f>M43+2500</f>
        <v>3708</v>
      </c>
      <c r="R43" s="108">
        <f>N43*(1+R44)</f>
        <v>0</v>
      </c>
      <c r="S43" s="109">
        <f>SUM(Q43:R43)</f>
        <v>3708</v>
      </c>
      <c r="T43" s="25"/>
      <c r="U43" s="108">
        <f>Q43+2500</f>
        <v>6208</v>
      </c>
      <c r="V43" s="108">
        <f>R43*(1+V44)</f>
        <v>0</v>
      </c>
      <c r="W43" s="109">
        <f>SUM(U43:V43)</f>
        <v>6208</v>
      </c>
      <c r="Y43" s="108">
        <f>U43+2500</f>
        <v>8708</v>
      </c>
      <c r="Z43" s="108">
        <f>V43*(1+Z44)</f>
        <v>0</v>
      </c>
      <c r="AA43" s="109">
        <f>SUM(Y43:Z43)</f>
        <v>8708</v>
      </c>
      <c r="AC43" s="108">
        <f>Y43+2500</f>
        <v>11208</v>
      </c>
      <c r="AD43" s="108">
        <f>Z43*(1+AD44)</f>
        <v>0</v>
      </c>
      <c r="AE43" s="109">
        <f>SUM(AC43:AD43)</f>
        <v>11208</v>
      </c>
    </row>
    <row r="44" spans="2:31" s="26" customFormat="1" ht="14.5" x14ac:dyDescent="0.35">
      <c r="B44" s="106" t="s">
        <v>57</v>
      </c>
      <c r="C44" s="107"/>
      <c r="D44" s="107"/>
      <c r="E44" s="339"/>
      <c r="F44" s="339"/>
      <c r="G44" s="340"/>
      <c r="H44" s="108"/>
      <c r="I44" s="108"/>
      <c r="J44" s="108"/>
      <c r="K44" s="109"/>
      <c r="L44" s="108"/>
      <c r="M44" s="108"/>
      <c r="N44" s="110"/>
      <c r="O44" s="109"/>
      <c r="Q44" s="110">
        <v>0.2</v>
      </c>
      <c r="R44" s="110">
        <v>0.05</v>
      </c>
      <c r="S44" s="109"/>
      <c r="T44" s="25"/>
      <c r="U44" s="110">
        <v>0.2</v>
      </c>
      <c r="V44" s="110">
        <v>0.05</v>
      </c>
      <c r="W44" s="109"/>
      <c r="Y44" s="110">
        <v>0.2</v>
      </c>
      <c r="Z44" s="110">
        <v>0.05</v>
      </c>
      <c r="AA44" s="109"/>
      <c r="AC44" s="110">
        <v>0.2</v>
      </c>
      <c r="AD44" s="110">
        <v>0.05</v>
      </c>
      <c r="AE44" s="109"/>
    </row>
    <row r="45" spans="2:31" s="26" customFormat="1" x14ac:dyDescent="0.3">
      <c r="B45" s="38" t="s">
        <v>59</v>
      </c>
      <c r="C45" s="107"/>
      <c r="D45" s="107"/>
      <c r="E45" s="339">
        <v>100</v>
      </c>
      <c r="F45" s="341">
        <v>0</v>
      </c>
      <c r="G45" s="340">
        <f t="shared" ref="G45:G47" si="15">SUM(E45:F45)</f>
        <v>100</v>
      </c>
      <c r="H45" s="108"/>
      <c r="I45" s="108">
        <v>100</v>
      </c>
      <c r="J45" s="113">
        <v>0</v>
      </c>
      <c r="K45" s="109">
        <f t="shared" ref="K45:K47" si="16">SUM(I45:J45)</f>
        <v>100</v>
      </c>
      <c r="L45" s="108"/>
      <c r="M45" s="108">
        <v>300</v>
      </c>
      <c r="N45" s="108"/>
      <c r="O45" s="109">
        <f t="shared" ref="O45:O47" si="17">SUM(M45:N45)</f>
        <v>300</v>
      </c>
      <c r="Q45" s="108">
        <f>M45*(1+Q46)</f>
        <v>525</v>
      </c>
      <c r="R45" s="108">
        <f>N45*(1+R46)</f>
        <v>0</v>
      </c>
      <c r="S45" s="109">
        <f t="shared" ref="S45:S47" si="18">SUM(Q45:R45)</f>
        <v>525</v>
      </c>
      <c r="T45" s="25"/>
      <c r="U45" s="108">
        <f>Q45*(1+U46)</f>
        <v>918.75</v>
      </c>
      <c r="V45" s="108">
        <f>R45*(1+V46)</f>
        <v>0</v>
      </c>
      <c r="W45" s="109">
        <f t="shared" ref="W45" si="19">SUM(U45:V45)</f>
        <v>918.75</v>
      </c>
      <c r="Y45" s="108">
        <f>U45*(1+Y46)</f>
        <v>1607.8125</v>
      </c>
      <c r="Z45" s="108">
        <f>V45*(1+Z46)</f>
        <v>0</v>
      </c>
      <c r="AA45" s="109">
        <f t="shared" ref="AA45" si="20">SUM(Y45:Z45)</f>
        <v>1607.8125</v>
      </c>
      <c r="AC45" s="108">
        <f>Y45*(1+AC46)</f>
        <v>2813.671875</v>
      </c>
      <c r="AD45" s="108">
        <f>Z45*(1+AD46)</f>
        <v>0</v>
      </c>
      <c r="AE45" s="109">
        <f t="shared" ref="AE45" si="21">SUM(AC45:AD45)</f>
        <v>2813.671875</v>
      </c>
    </row>
    <row r="46" spans="2:31" s="26" customFormat="1" ht="14.5" x14ac:dyDescent="0.35">
      <c r="B46" s="106" t="s">
        <v>57</v>
      </c>
      <c r="C46" s="107"/>
      <c r="D46" s="107"/>
      <c r="E46" s="339"/>
      <c r="F46" s="341"/>
      <c r="G46" s="340"/>
      <c r="H46" s="108"/>
      <c r="I46" s="108"/>
      <c r="J46" s="113"/>
      <c r="K46" s="109"/>
      <c r="L46" s="108"/>
      <c r="M46" s="108"/>
      <c r="N46" s="108"/>
      <c r="O46" s="109"/>
      <c r="Q46" s="110">
        <v>0.75</v>
      </c>
      <c r="R46" s="110">
        <v>0.2</v>
      </c>
      <c r="S46" s="109"/>
      <c r="T46" s="25"/>
      <c r="U46" s="110">
        <v>0.75</v>
      </c>
      <c r="V46" s="110">
        <v>0.2</v>
      </c>
      <c r="W46" s="109"/>
      <c r="Y46" s="110">
        <v>0.75</v>
      </c>
      <c r="Z46" s="110">
        <v>0.2</v>
      </c>
      <c r="AA46" s="109"/>
      <c r="AC46" s="110">
        <v>0.75</v>
      </c>
      <c r="AD46" s="110">
        <v>0.2</v>
      </c>
      <c r="AE46" s="109"/>
    </row>
    <row r="47" spans="2:31" s="26" customFormat="1" x14ac:dyDescent="0.3">
      <c r="B47" s="38" t="s">
        <v>60</v>
      </c>
      <c r="C47" s="114"/>
      <c r="D47" s="114"/>
      <c r="E47" s="342">
        <v>200</v>
      </c>
      <c r="F47" s="343">
        <v>0</v>
      </c>
      <c r="G47" s="344">
        <f t="shared" si="15"/>
        <v>200</v>
      </c>
      <c r="H47" s="108"/>
      <c r="I47" s="108"/>
      <c r="J47" s="113">
        <v>0</v>
      </c>
      <c r="K47" s="109">
        <f t="shared" si="16"/>
        <v>0</v>
      </c>
      <c r="L47" s="108"/>
      <c r="M47" s="108">
        <f t="shared" ref="M47" si="22">+I47*2</f>
        <v>0</v>
      </c>
      <c r="N47" s="108"/>
      <c r="O47" s="109">
        <f t="shared" si="17"/>
        <v>0</v>
      </c>
      <c r="Q47" s="108">
        <f>M47*(1+Q48)</f>
        <v>0</v>
      </c>
      <c r="R47" s="108">
        <f>N47*(1+R48)</f>
        <v>0</v>
      </c>
      <c r="S47" s="109">
        <f t="shared" si="18"/>
        <v>0</v>
      </c>
      <c r="T47" s="25"/>
      <c r="U47" s="108">
        <f>Q47*(1+U48)</f>
        <v>0</v>
      </c>
      <c r="V47" s="108">
        <f>R47*(1+V48)</f>
        <v>0</v>
      </c>
      <c r="W47" s="109">
        <f t="shared" ref="W47" si="23">SUM(U47:V47)</f>
        <v>0</v>
      </c>
      <c r="Y47" s="108">
        <f>U47*(1+Y48)</f>
        <v>0</v>
      </c>
      <c r="Z47" s="108">
        <f>V47*(1+Z48)</f>
        <v>0</v>
      </c>
      <c r="AA47" s="109">
        <f t="shared" ref="AA47" si="24">SUM(Y47:Z47)</f>
        <v>0</v>
      </c>
      <c r="AC47" s="108">
        <f>Y47*(1+AC48)</f>
        <v>0</v>
      </c>
      <c r="AD47" s="108">
        <f>Z47*(1+AD48)</f>
        <v>0</v>
      </c>
      <c r="AE47" s="109">
        <f t="shared" ref="AE47" si="25">SUM(AC47:AD47)</f>
        <v>0</v>
      </c>
    </row>
    <row r="48" spans="2:31" s="26" customFormat="1" ht="14.5" x14ac:dyDescent="0.35">
      <c r="B48" s="106" t="s">
        <v>57</v>
      </c>
      <c r="C48" s="114"/>
      <c r="D48" s="114"/>
      <c r="E48" s="342"/>
      <c r="F48" s="343"/>
      <c r="G48" s="344"/>
      <c r="H48" s="108"/>
      <c r="I48" s="108"/>
      <c r="J48" s="113"/>
      <c r="K48" s="109"/>
      <c r="L48" s="108"/>
      <c r="M48" s="108"/>
      <c r="N48" s="108"/>
      <c r="O48" s="109"/>
      <c r="Q48" s="110">
        <v>0.2</v>
      </c>
      <c r="R48" s="110">
        <v>0.2</v>
      </c>
      <c r="S48" s="109"/>
      <c r="T48" s="25"/>
      <c r="U48" s="110">
        <v>0.2</v>
      </c>
      <c r="V48" s="110">
        <v>0.2</v>
      </c>
      <c r="W48" s="109"/>
      <c r="Y48" s="110">
        <v>0.2</v>
      </c>
      <c r="Z48" s="110">
        <v>0.2</v>
      </c>
      <c r="AA48" s="109"/>
      <c r="AC48" s="110">
        <v>0.2</v>
      </c>
      <c r="AD48" s="110">
        <v>0.2</v>
      </c>
      <c r="AE48" s="109"/>
    </row>
    <row r="49" spans="2:31" s="26" customFormat="1" x14ac:dyDescent="0.3">
      <c r="B49" s="101" t="s">
        <v>61</v>
      </c>
      <c r="C49" s="37"/>
      <c r="D49" s="37"/>
      <c r="E49" s="345">
        <f>SUM(E41,E43,E45,E47)</f>
        <v>500</v>
      </c>
      <c r="F49" s="345">
        <f>SUM(F41,F43,F45,F47)</f>
        <v>1000</v>
      </c>
      <c r="G49" s="338">
        <f>SUM(E49:F49)</f>
        <v>1500</v>
      </c>
      <c r="H49" s="115"/>
      <c r="I49" s="104">
        <f>SUM(I41,I43,I45,I47)</f>
        <v>445</v>
      </c>
      <c r="J49" s="104">
        <f>SUM(J41,J43,J45,J47)</f>
        <v>0</v>
      </c>
      <c r="K49" s="102">
        <f>SUM(I49:J49)</f>
        <v>445</v>
      </c>
      <c r="L49" s="116"/>
      <c r="M49" s="104">
        <f>SUM(M41,M43,M45,M47)</f>
        <v>1508</v>
      </c>
      <c r="N49" s="104">
        <f>SUM(N41,N43,N45,N47)</f>
        <v>0</v>
      </c>
      <c r="O49" s="102">
        <f>SUM(M49:N49)</f>
        <v>1508</v>
      </c>
      <c r="P49" s="23"/>
      <c r="Q49" s="104">
        <f>SUM(Q41,Q43,Q45,Q47)</f>
        <v>4233</v>
      </c>
      <c r="R49" s="104">
        <f>SUM(R41,R43,R45,R47)</f>
        <v>0</v>
      </c>
      <c r="S49" s="102">
        <f>SUM(Q49:R49)</f>
        <v>4233</v>
      </c>
      <c r="U49" s="104">
        <f>SUM(U41,U43,U45,U47)</f>
        <v>7126.75</v>
      </c>
      <c r="V49" s="104">
        <f>SUM(V41,V43,V45,V47)</f>
        <v>0</v>
      </c>
      <c r="W49" s="102">
        <f>SUM(U49:V49)</f>
        <v>7126.75</v>
      </c>
      <c r="Y49" s="104">
        <f>SUM(Y41,Y43,Y45,Y47)</f>
        <v>10315.8125</v>
      </c>
      <c r="Z49" s="104">
        <f>SUM(Z41,Z43,Z45,Z47)</f>
        <v>0</v>
      </c>
      <c r="AA49" s="102">
        <f>SUM(Y49:Z49)</f>
        <v>10315.8125</v>
      </c>
      <c r="AC49" s="104">
        <f>SUM(AC41,AC43,AC45,AC47)</f>
        <v>14021.671875</v>
      </c>
      <c r="AD49" s="104">
        <f>SUM(AD41,AD43,AD45,AD47)</f>
        <v>0</v>
      </c>
      <c r="AE49" s="102">
        <f>SUM(AC49:AD49)</f>
        <v>14021.671875</v>
      </c>
    </row>
    <row r="50" spans="2:31" s="26" customFormat="1" x14ac:dyDescent="0.3">
      <c r="B50" s="23"/>
      <c r="C50" s="23"/>
      <c r="D50" s="23"/>
      <c r="E50" s="336"/>
      <c r="F50" s="336"/>
      <c r="G50" s="337"/>
      <c r="H50" s="117"/>
      <c r="I50" s="53"/>
      <c r="J50" s="53"/>
      <c r="K50" s="100"/>
      <c r="L50" s="117"/>
      <c r="M50" s="53"/>
      <c r="N50" s="53"/>
      <c r="O50" s="100"/>
      <c r="Q50" s="53"/>
      <c r="R50" s="53"/>
      <c r="S50" s="100"/>
      <c r="U50" s="53"/>
      <c r="V50" s="53"/>
      <c r="W50" s="100"/>
      <c r="Y50" s="53"/>
      <c r="Z50" s="53"/>
      <c r="AA50" s="100"/>
      <c r="AC50" s="53"/>
      <c r="AD50" s="53"/>
      <c r="AE50" s="100"/>
    </row>
    <row r="51" spans="2:31" s="26" customFormat="1" ht="15" customHeight="1" x14ac:dyDescent="0.3">
      <c r="B51" s="38" t="s">
        <v>3</v>
      </c>
      <c r="C51" s="23"/>
      <c r="D51" s="23"/>
      <c r="E51" s="346">
        <v>1250</v>
      </c>
      <c r="F51" s="346">
        <v>0</v>
      </c>
      <c r="G51" s="347">
        <f>SUM(E51:F51)</f>
        <v>1250</v>
      </c>
      <c r="H51" s="117"/>
      <c r="I51" s="118">
        <v>798</v>
      </c>
      <c r="J51" s="118">
        <v>0</v>
      </c>
      <c r="K51" s="119">
        <f>SUM(I51:J51)</f>
        <v>798</v>
      </c>
      <c r="L51" s="117"/>
      <c r="M51" s="118">
        <f>3483</f>
        <v>3483</v>
      </c>
      <c r="N51" s="118"/>
      <c r="O51" s="119">
        <f>SUM(M51:N51)</f>
        <v>3483</v>
      </c>
      <c r="Q51" s="118">
        <f>M51+2500</f>
        <v>5983</v>
      </c>
      <c r="R51" s="118"/>
      <c r="S51" s="119">
        <f>SUM(Q51:R51)</f>
        <v>5983</v>
      </c>
      <c r="U51" s="118">
        <f>Q51+2500</f>
        <v>8483</v>
      </c>
      <c r="V51" s="118"/>
      <c r="W51" s="119">
        <f>SUM(U51:V51)</f>
        <v>8483</v>
      </c>
      <c r="Y51" s="118">
        <f>U51+2500</f>
        <v>10983</v>
      </c>
      <c r="Z51" s="118"/>
      <c r="AA51" s="119">
        <f>SUM(Y51:Z51)</f>
        <v>10983</v>
      </c>
      <c r="AC51" s="118">
        <f>Y51+2500</f>
        <v>13483</v>
      </c>
      <c r="AD51" s="118"/>
      <c r="AE51" s="119">
        <f>SUM(AC51:AD51)</f>
        <v>13483</v>
      </c>
    </row>
    <row r="52" spans="2:31" s="26" customFormat="1" ht="15" customHeight="1" x14ac:dyDescent="0.3">
      <c r="B52" s="38"/>
      <c r="C52" s="23"/>
      <c r="D52" s="23"/>
      <c r="E52" s="346"/>
      <c r="F52" s="346"/>
      <c r="G52" s="347"/>
      <c r="H52" s="117"/>
      <c r="I52" s="118"/>
      <c r="J52" s="118"/>
      <c r="K52" s="119"/>
      <c r="L52" s="117"/>
      <c r="M52" s="118"/>
      <c r="N52" s="118"/>
      <c r="O52" s="119"/>
      <c r="Q52" s="118"/>
      <c r="R52" s="118"/>
      <c r="S52" s="119"/>
      <c r="U52" s="118"/>
      <c r="V52" s="118"/>
      <c r="W52" s="119"/>
      <c r="Y52" s="118"/>
      <c r="Z52" s="118"/>
      <c r="AA52" s="119"/>
      <c r="AC52" s="118"/>
      <c r="AD52" s="118"/>
      <c r="AE52" s="119"/>
    </row>
    <row r="53" spans="2:31" s="26" customFormat="1" ht="15" customHeight="1" x14ac:dyDescent="0.3">
      <c r="B53" s="38" t="s">
        <v>214</v>
      </c>
      <c r="C53" s="23"/>
      <c r="D53" s="23"/>
      <c r="E53" s="346"/>
      <c r="F53" s="346">
        <v>0</v>
      </c>
      <c r="G53" s="347">
        <f>SUM(E53:F53)</f>
        <v>0</v>
      </c>
      <c r="H53" s="117"/>
      <c r="I53" s="118"/>
      <c r="J53" s="118">
        <v>0</v>
      </c>
      <c r="K53" s="119">
        <f>SUM(I53:J53)</f>
        <v>0</v>
      </c>
      <c r="L53" s="117"/>
      <c r="M53" s="118">
        <v>4333</v>
      </c>
      <c r="N53" s="118"/>
      <c r="O53" s="119">
        <f>SUM(M53:N53)</f>
        <v>4333</v>
      </c>
      <c r="Q53" s="118">
        <f>M53+1000</f>
        <v>5333</v>
      </c>
      <c r="R53" s="118"/>
      <c r="S53" s="119">
        <f>SUM(Q53:R53)</f>
        <v>5333</v>
      </c>
      <c r="U53" s="118">
        <f>Q53+1000</f>
        <v>6333</v>
      </c>
      <c r="V53" s="118"/>
      <c r="W53" s="119">
        <f>SUM(U53:V53)</f>
        <v>6333</v>
      </c>
      <c r="Y53" s="118">
        <f>U53+1000</f>
        <v>7333</v>
      </c>
      <c r="Z53" s="118"/>
      <c r="AA53" s="119">
        <f>SUM(Y53:Z53)</f>
        <v>7333</v>
      </c>
      <c r="AC53" s="118">
        <f>Y53+1000</f>
        <v>8333</v>
      </c>
      <c r="AD53" s="118"/>
      <c r="AE53" s="119">
        <f>SUM(AC53:AD53)</f>
        <v>8333</v>
      </c>
    </row>
    <row r="54" spans="2:31" s="26" customFormat="1" x14ac:dyDescent="0.3">
      <c r="B54" s="38"/>
      <c r="C54" s="23"/>
      <c r="D54" s="23"/>
      <c r="E54" s="336"/>
      <c r="F54" s="336"/>
      <c r="G54" s="337"/>
      <c r="H54" s="53"/>
      <c r="I54" s="53"/>
      <c r="J54" s="53"/>
      <c r="K54" s="100"/>
      <c r="L54" s="53"/>
      <c r="M54" s="53"/>
      <c r="N54" s="53"/>
      <c r="O54" s="100"/>
      <c r="Q54" s="53"/>
      <c r="R54" s="53"/>
      <c r="S54" s="100"/>
      <c r="U54" s="53"/>
      <c r="V54" s="53"/>
      <c r="W54" s="100"/>
      <c r="Y54" s="53"/>
      <c r="Z54" s="53"/>
      <c r="AA54" s="100"/>
      <c r="AC54" s="53"/>
      <c r="AD54" s="53"/>
      <c r="AE54" s="100"/>
    </row>
    <row r="55" spans="2:31" s="26" customFormat="1" x14ac:dyDescent="0.3">
      <c r="B55" s="38" t="s">
        <v>4</v>
      </c>
      <c r="C55" s="23"/>
      <c r="D55" s="23"/>
      <c r="E55" s="346">
        <v>10500</v>
      </c>
      <c r="F55" s="346">
        <v>0</v>
      </c>
      <c r="G55" s="347">
        <f>SUM(E55:F55)</f>
        <v>10500</v>
      </c>
      <c r="H55" s="117"/>
      <c r="I55" s="118">
        <f>9676+756</f>
        <v>10432</v>
      </c>
      <c r="J55" s="118">
        <v>0</v>
      </c>
      <c r="K55" s="119">
        <f>SUM(I55:J55)</f>
        <v>10432</v>
      </c>
      <c r="L55" s="117"/>
      <c r="M55" s="118">
        <f>1000+11373</f>
        <v>12373</v>
      </c>
      <c r="N55" s="118">
        <v>0</v>
      </c>
      <c r="O55" s="119">
        <f>SUM(M55:N55)</f>
        <v>12373</v>
      </c>
      <c r="Q55" s="118">
        <f>M55+1000</f>
        <v>13373</v>
      </c>
      <c r="R55" s="118">
        <v>0</v>
      </c>
      <c r="S55" s="119">
        <f>SUM(Q55:R55)</f>
        <v>13373</v>
      </c>
      <c r="U55" s="118">
        <f>Q55+1000</f>
        <v>14373</v>
      </c>
      <c r="V55" s="118">
        <v>0</v>
      </c>
      <c r="W55" s="119">
        <f>SUM(U55:V55)</f>
        <v>14373</v>
      </c>
      <c r="Y55" s="118">
        <f>U55+1000</f>
        <v>15373</v>
      </c>
      <c r="Z55" s="118">
        <v>0</v>
      </c>
      <c r="AA55" s="119">
        <f>SUM(Y55:Z55)</f>
        <v>15373</v>
      </c>
      <c r="AC55" s="118">
        <f>Y55+1000</f>
        <v>16373</v>
      </c>
      <c r="AD55" s="118">
        <v>0</v>
      </c>
      <c r="AE55" s="119">
        <f>SUM(AC55:AD55)</f>
        <v>16373</v>
      </c>
    </row>
    <row r="56" spans="2:31" s="26" customFormat="1" x14ac:dyDescent="0.3">
      <c r="B56" s="23"/>
      <c r="C56" s="23"/>
      <c r="D56" s="23"/>
      <c r="E56" s="336"/>
      <c r="F56" s="336"/>
      <c r="G56" s="337"/>
      <c r="H56" s="117"/>
      <c r="I56" s="53"/>
      <c r="J56" s="53"/>
      <c r="K56" s="100"/>
      <c r="L56" s="117"/>
      <c r="M56" s="53"/>
      <c r="N56" s="53"/>
      <c r="O56" s="100"/>
      <c r="Q56" s="53"/>
      <c r="R56" s="53"/>
      <c r="S56" s="100"/>
      <c r="U56" s="53"/>
      <c r="V56" s="53"/>
      <c r="W56" s="100"/>
      <c r="Y56" s="53"/>
      <c r="Z56" s="53"/>
      <c r="AA56" s="100"/>
      <c r="AC56" s="53"/>
      <c r="AD56" s="53"/>
      <c r="AE56" s="100"/>
    </row>
    <row r="57" spans="2:31" s="26" customFormat="1" x14ac:dyDescent="0.3">
      <c r="B57" s="101" t="s">
        <v>62</v>
      </c>
      <c r="C57" s="101"/>
      <c r="D57" s="101"/>
      <c r="E57" s="338">
        <f>SUM(E36,E39,E49,E51,E55)</f>
        <v>12250</v>
      </c>
      <c r="F57" s="338">
        <f>SUM(F36,F39,F49,F51,F55)</f>
        <v>1000</v>
      </c>
      <c r="G57" s="338">
        <f>SUM(E57:F57)</f>
        <v>13250</v>
      </c>
      <c r="H57" s="105"/>
      <c r="I57" s="102">
        <f>SUM(I36,I39,I49,I51,I55,I53)</f>
        <v>11996.46</v>
      </c>
      <c r="J57" s="102">
        <f>SUM(J36,J39,J49,J51,J55,J53)</f>
        <v>175.45599999999999</v>
      </c>
      <c r="K57" s="102">
        <f>SUM(I57:J57)</f>
        <v>12171.915999999999</v>
      </c>
      <c r="L57" s="105"/>
      <c r="M57" s="102">
        <f>SUM(M36,M39,M49,M51,M55,M53)</f>
        <v>51569.560799999992</v>
      </c>
      <c r="N57" s="102">
        <f>SUM(N36,N39,N49,N51,N55,N53)</f>
        <v>7996.8000000000011</v>
      </c>
      <c r="O57" s="102">
        <f>SUM(M57:N57)</f>
        <v>59566.360799999995</v>
      </c>
      <c r="Q57" s="102">
        <f>SUM(Q36,Q39,Q49,Q51,Q55,Q53)</f>
        <v>90504.468800000002</v>
      </c>
      <c r="R57" s="102">
        <f>SUM(R36,R39,R49,R51,R55,R53)</f>
        <v>13460.672</v>
      </c>
      <c r="S57" s="102">
        <f>SUM(Q57:R57)</f>
        <v>103965.14080000001</v>
      </c>
      <c r="T57" s="53"/>
      <c r="U57" s="102">
        <f>SUM(U36,U39,U49,U51,U55,U53)</f>
        <v>130358.2188</v>
      </c>
      <c r="V57" s="102">
        <f>SUM(V36,V39,V49,V51,V55,V53)</f>
        <v>18729.184000000001</v>
      </c>
      <c r="W57" s="102">
        <f>SUM(U57:V57)</f>
        <v>149087.40280000001</v>
      </c>
      <c r="Y57" s="102">
        <f>SUM(Y36,Y39,Y49,Y51,Y55,Y53)</f>
        <v>172786.08130000002</v>
      </c>
      <c r="Z57" s="102">
        <f>SUM(Z36,Z39,Z49,Z51,Z55,Z53)</f>
        <v>24855.936000000002</v>
      </c>
      <c r="AA57" s="102">
        <f>SUM(Y57:Z57)</f>
        <v>197642.01730000001</v>
      </c>
      <c r="AC57" s="102">
        <f>SUM(AC36,AC39,AC49,AC51,AC55,AC53)</f>
        <v>218009.540675</v>
      </c>
      <c r="AD57" s="102">
        <f>SUM(AD36,AD39,AD49,AD51,AD55,AD53)</f>
        <v>31840.928</v>
      </c>
      <c r="AE57" s="102">
        <f>SUM(AC57:AD57)</f>
        <v>249850.46867500001</v>
      </c>
    </row>
    <row r="58" spans="2:31" s="26" customFormat="1" ht="14.5" x14ac:dyDescent="0.35">
      <c r="B58" s="22"/>
      <c r="C58" s="23"/>
      <c r="D58" s="23"/>
      <c r="E58" s="348"/>
      <c r="F58" s="348"/>
      <c r="G58" s="349"/>
      <c r="H58" s="73"/>
      <c r="I58" s="121"/>
      <c r="J58" s="121"/>
      <c r="K58" s="120"/>
      <c r="L58" s="73"/>
      <c r="M58" s="121"/>
      <c r="N58" s="121"/>
      <c r="O58" s="120"/>
      <c r="Q58" s="121"/>
      <c r="R58" s="121"/>
      <c r="S58" s="120"/>
      <c r="U58" s="121"/>
      <c r="V58" s="121"/>
      <c r="W58" s="120"/>
      <c r="Y58" s="121"/>
      <c r="Z58" s="121"/>
      <c r="AA58" s="120"/>
      <c r="AC58" s="121"/>
      <c r="AD58" s="121"/>
      <c r="AE58" s="120"/>
    </row>
    <row r="59" spans="2:31" x14ac:dyDescent="0.3">
      <c r="B59" s="55" t="s">
        <v>63</v>
      </c>
      <c r="C59" s="56"/>
      <c r="D59" s="56"/>
      <c r="E59" s="350"/>
      <c r="F59" s="350"/>
      <c r="G59" s="351">
        <f>SUM(G31,G39,G51)</f>
        <v>1250</v>
      </c>
      <c r="H59" s="56"/>
      <c r="I59" s="57"/>
      <c r="J59" s="56"/>
      <c r="K59" s="122">
        <f>SUM(K31,K39,K51,K23)</f>
        <v>974.91599999999994</v>
      </c>
      <c r="L59" s="56"/>
      <c r="M59" s="56"/>
      <c r="N59" s="56"/>
      <c r="O59" s="122">
        <f>SUM(O31,O39,O51,O23)</f>
        <v>15130.360799999999</v>
      </c>
      <c r="P59" s="37"/>
      <c r="Q59" s="37"/>
      <c r="R59" s="56"/>
      <c r="S59" s="122">
        <f>SUM(S31,S39,S51,S23)</f>
        <v>47016.140800000001</v>
      </c>
      <c r="T59" s="53"/>
      <c r="U59" s="37"/>
      <c r="V59" s="56"/>
      <c r="W59" s="122">
        <f>SUM(W31,W39,W51,W23)</f>
        <v>80249.652799999996</v>
      </c>
      <c r="Y59" s="37"/>
      <c r="Z59" s="56"/>
      <c r="AA59" s="122">
        <f>SUM(AA31,AA39,AA51,AA23)</f>
        <v>116620.20480000001</v>
      </c>
      <c r="AC59" s="37"/>
      <c r="AD59" s="56"/>
      <c r="AE59" s="122">
        <f>SUM(AE31,AE39,AE51,AE23)</f>
        <v>156127.79680000001</v>
      </c>
    </row>
    <row r="60" spans="2:31" ht="14.5" x14ac:dyDescent="0.35">
      <c r="B60" s="58" t="s">
        <v>64</v>
      </c>
      <c r="C60" s="59"/>
      <c r="D60" s="59"/>
      <c r="E60" s="352"/>
      <c r="F60" s="352"/>
      <c r="G60" s="353">
        <f>G59/G57</f>
        <v>9.4339622641509441E-2</v>
      </c>
      <c r="H60" s="59"/>
      <c r="I60" s="59"/>
      <c r="J60" s="59"/>
      <c r="K60" s="60">
        <f>K59/K57</f>
        <v>8.0095524813020402E-2</v>
      </c>
      <c r="L60" s="59"/>
      <c r="M60" s="59"/>
      <c r="N60" s="61"/>
      <c r="O60" s="62">
        <f>O59/O57</f>
        <v>0.25400848057180625</v>
      </c>
      <c r="P60" s="63"/>
      <c r="Q60" s="61"/>
      <c r="R60" s="59"/>
      <c r="S60" s="64">
        <f>S59/S57</f>
        <v>0.45222985741389959</v>
      </c>
      <c r="U60" s="61"/>
      <c r="V60" s="59"/>
      <c r="W60" s="64">
        <f>W59/W57</f>
        <v>0.53827252532968528</v>
      </c>
      <c r="Y60" s="61"/>
      <c r="Z60" s="59"/>
      <c r="AA60" s="64">
        <f>AA59/AA57</f>
        <v>0.59005775387822856</v>
      </c>
      <c r="AC60" s="61"/>
      <c r="AD60" s="59"/>
      <c r="AE60" s="64">
        <f>AE59/AE57</f>
        <v>0.6248849466962082</v>
      </c>
    </row>
    <row r="61" spans="2:31" x14ac:dyDescent="0.3">
      <c r="G61" s="354"/>
    </row>
    <row r="68" spans="7:9" x14ac:dyDescent="0.3">
      <c r="G68" s="315"/>
    </row>
    <row r="69" spans="7:9" x14ac:dyDescent="0.3">
      <c r="G69" s="315"/>
    </row>
    <row r="70" spans="7:9" x14ac:dyDescent="0.3">
      <c r="G70" s="315"/>
    </row>
    <row r="71" spans="7:9" x14ac:dyDescent="0.3">
      <c r="G71" s="315"/>
    </row>
    <row r="72" spans="7:9" x14ac:dyDescent="0.3">
      <c r="G72" s="315"/>
    </row>
    <row r="73" spans="7:9" x14ac:dyDescent="0.3">
      <c r="G73" s="315"/>
    </row>
    <row r="74" spans="7:9" x14ac:dyDescent="0.3">
      <c r="G74" s="315"/>
    </row>
    <row r="75" spans="7:9" x14ac:dyDescent="0.3">
      <c r="G75" s="315"/>
    </row>
    <row r="76" spans="7:9" x14ac:dyDescent="0.3">
      <c r="G76" s="315"/>
    </row>
    <row r="77" spans="7:9" x14ac:dyDescent="0.3">
      <c r="G77" s="315"/>
    </row>
    <row r="79" spans="7:9" x14ac:dyDescent="0.3">
      <c r="I79" s="65"/>
    </row>
    <row r="80" spans="7:9" x14ac:dyDescent="0.3">
      <c r="I80" s="65"/>
    </row>
    <row r="84" spans="27:35" x14ac:dyDescent="0.3">
      <c r="AA84" s="31" t="s">
        <v>65</v>
      </c>
      <c r="AB84" s="43">
        <v>3500</v>
      </c>
      <c r="AE84" s="66"/>
    </row>
    <row r="85" spans="27:35" x14ac:dyDescent="0.3">
      <c r="AA85" s="31" t="s">
        <v>66</v>
      </c>
      <c r="AB85" s="43">
        <v>80</v>
      </c>
      <c r="AE85" s="66"/>
    </row>
    <row r="86" spans="27:35" x14ac:dyDescent="0.3">
      <c r="AA86" s="31" t="s">
        <v>67</v>
      </c>
      <c r="AB86" s="40">
        <f>AB84/AB85</f>
        <v>43.75</v>
      </c>
      <c r="AE86" s="66"/>
    </row>
    <row r="87" spans="27:35" x14ac:dyDescent="0.3">
      <c r="AA87" s="31" t="s">
        <v>68</v>
      </c>
      <c r="AB87" s="40">
        <f>G9-AB86</f>
        <v>-43.75</v>
      </c>
    </row>
    <row r="89" spans="27:35" x14ac:dyDescent="0.3">
      <c r="AA89" s="67" t="s">
        <v>69</v>
      </c>
      <c r="AB89" s="68"/>
      <c r="AC89" s="68"/>
      <c r="AD89" s="68"/>
      <c r="AE89" s="68"/>
      <c r="AF89" s="68"/>
      <c r="AG89" s="68"/>
      <c r="AH89" s="68"/>
      <c r="AI89" s="68"/>
    </row>
    <row r="91" spans="27:35" ht="14.5" x14ac:dyDescent="0.35">
      <c r="AA91" s="22" t="s">
        <v>28</v>
      </c>
    </row>
    <row r="92" spans="27:35" x14ac:dyDescent="0.3">
      <c r="AI92" s="23" t="s">
        <v>70</v>
      </c>
    </row>
    <row r="93" spans="27:35" x14ac:dyDescent="0.3">
      <c r="AA93" s="29" t="s">
        <v>71</v>
      </c>
      <c r="AB93" s="23">
        <v>1</v>
      </c>
      <c r="AC93" s="23">
        <f>+AB93+1</f>
        <v>2</v>
      </c>
      <c r="AD93" s="23">
        <f>+AC93+1</f>
        <v>3</v>
      </c>
      <c r="AE93" s="23">
        <f>+AD93+1</f>
        <v>4</v>
      </c>
      <c r="AF93" s="23">
        <f>+AE93+1</f>
        <v>5</v>
      </c>
      <c r="AI93" s="123">
        <v>0.2</v>
      </c>
    </row>
    <row r="94" spans="27:35" x14ac:dyDescent="0.3">
      <c r="AA94" s="69" t="s">
        <v>72</v>
      </c>
      <c r="AB94" s="70">
        <v>58</v>
      </c>
      <c r="AC94" s="70">
        <v>58</v>
      </c>
      <c r="AD94" s="70">
        <v>58</v>
      </c>
      <c r="AE94" s="70">
        <v>58</v>
      </c>
      <c r="AF94" s="70">
        <v>58</v>
      </c>
    </row>
    <row r="95" spans="27:35" x14ac:dyDescent="0.3">
      <c r="AB95" s="23">
        <v>0.5</v>
      </c>
      <c r="AC95" s="23">
        <f>+AB95+1</f>
        <v>1.5</v>
      </c>
      <c r="AD95" s="23">
        <f t="shared" ref="AD95:AF95" si="26">+AC95+1</f>
        <v>2.5</v>
      </c>
      <c r="AE95" s="23">
        <f t="shared" si="26"/>
        <v>3.5</v>
      </c>
      <c r="AF95" s="23">
        <f t="shared" si="26"/>
        <v>4.5</v>
      </c>
    </row>
    <row r="96" spans="27:35" ht="14.5" x14ac:dyDescent="0.35">
      <c r="AB96" s="71">
        <f>(1-$AI$93)^AB95</f>
        <v>0.89442719099991586</v>
      </c>
      <c r="AC96" s="71">
        <f>(1-$AI$93)^AC95</f>
        <v>0.71554175279993271</v>
      </c>
      <c r="AD96" s="71">
        <f>(1-$AI$93)^AD95</f>
        <v>0.57243340223994621</v>
      </c>
      <c r="AE96" s="71">
        <f>(1-$AI$93)^AE95</f>
        <v>0.457946721791957</v>
      </c>
      <c r="AF96" s="71">
        <f>(1-$AI$93)^AF95</f>
        <v>0.36635737743356561</v>
      </c>
      <c r="AI96" s="23" t="s">
        <v>73</v>
      </c>
    </row>
    <row r="97" spans="28:35" x14ac:dyDescent="0.3">
      <c r="AB97" s="47">
        <f>AB94*AB96</f>
        <v>51.876777077995122</v>
      </c>
      <c r="AC97" s="47">
        <f t="shared" ref="AC97:AF97" si="27">AC94*AC96</f>
        <v>41.501421662396098</v>
      </c>
      <c r="AD97" s="47">
        <f t="shared" si="27"/>
        <v>33.201137329916882</v>
      </c>
      <c r="AE97" s="47">
        <f t="shared" si="27"/>
        <v>26.560909863933507</v>
      </c>
      <c r="AF97" s="47">
        <f t="shared" si="27"/>
        <v>21.248727891146807</v>
      </c>
      <c r="AG97" s="47"/>
      <c r="AI97" s="72">
        <f>SUM(AB97:AF97)</f>
        <v>174.38897382538843</v>
      </c>
    </row>
  </sheetData>
  <mergeCells count="7">
    <mergeCell ref="Y3:AA3"/>
    <mergeCell ref="AC3:AE3"/>
    <mergeCell ref="E3:G3"/>
    <mergeCell ref="I3:K3"/>
    <mergeCell ref="M3:O3"/>
    <mergeCell ref="Q3:S3"/>
    <mergeCell ref="U3:W3"/>
  </mergeCells>
  <pageMargins left="0.7" right="0.7" top="0.75" bottom="0.75" header="0.3" footer="0.3"/>
  <pageSetup scale="22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537E-EF18-48DE-BB88-78A15255B384}">
  <sheetPr>
    <pageSetUpPr fitToPage="1"/>
  </sheetPr>
  <dimension ref="A1:AB216"/>
  <sheetViews>
    <sheetView tabSelected="1" topLeftCell="B1" zoomScale="60" zoomScaleNormal="60" workbookViewId="0">
      <pane ySplit="3" topLeftCell="A4" activePane="bottomLeft" state="frozen"/>
      <selection activeCell="B1" sqref="B1"/>
      <selection pane="bottomLeft" activeCell="B1" sqref="B1"/>
    </sheetView>
  </sheetViews>
  <sheetFormatPr defaultColWidth="8" defaultRowHeight="14" outlineLevelCol="1" x14ac:dyDescent="0.3"/>
  <cols>
    <col min="1" max="1" width="14.83203125" style="23" customWidth="1" outlineLevel="1"/>
    <col min="2" max="2" width="25.58203125" style="23" bestFit="1" customWidth="1" outlineLevel="1"/>
    <col min="3" max="3" width="26.75" style="23" bestFit="1" customWidth="1" outlineLevel="1"/>
    <col min="4" max="4" width="18.33203125" style="23" bestFit="1" customWidth="1" outlineLevel="1"/>
    <col min="5" max="5" width="18.08203125" style="23" customWidth="1" outlineLevel="1"/>
    <col min="6" max="7" width="11.08203125" style="23" customWidth="1" outlineLevel="1"/>
    <col min="8" max="8" width="3.33203125" style="23" customWidth="1"/>
    <col min="9" max="9" width="3.5" style="23" customWidth="1"/>
    <col min="10" max="10" width="40.08203125" style="49" customWidth="1"/>
    <col min="11" max="11" width="3" style="49" customWidth="1"/>
    <col min="12" max="12" width="11.58203125" style="290" customWidth="1"/>
    <col min="13" max="13" width="11.58203125" style="49" customWidth="1"/>
    <col min="14" max="14" width="14.75" style="49" customWidth="1"/>
    <col min="15" max="18" width="11.58203125" style="49" customWidth="1"/>
    <col min="19" max="19" width="8.58203125" style="23" customWidth="1"/>
    <col min="20" max="21" width="8" style="23"/>
    <col min="22" max="22" width="8.83203125" style="23" bestFit="1" customWidth="1"/>
    <col min="23" max="16384" width="8" style="23"/>
  </cols>
  <sheetData>
    <row r="1" spans="1:22" ht="15" customHeight="1" x14ac:dyDescent="0.3">
      <c r="A1" s="23" t="s">
        <v>74</v>
      </c>
      <c r="B1" s="124">
        <v>0.02</v>
      </c>
      <c r="D1" s="23" t="s">
        <v>75</v>
      </c>
      <c r="T1" s="23" t="s">
        <v>76</v>
      </c>
    </row>
    <row r="2" spans="1:22" ht="14.5" x14ac:dyDescent="0.35">
      <c r="D2" s="126">
        <v>0.25</v>
      </c>
      <c r="J2" s="54" t="s">
        <v>74</v>
      </c>
      <c r="L2" s="291">
        <v>1</v>
      </c>
      <c r="M2" s="127">
        <f t="shared" ref="M2:R2" si="0">+L$2*(1+$B$1)</f>
        <v>1.02</v>
      </c>
      <c r="N2" s="127">
        <f t="shared" si="0"/>
        <v>1.0404</v>
      </c>
      <c r="O2" s="127">
        <f t="shared" si="0"/>
        <v>1.0612079999999999</v>
      </c>
      <c r="P2" s="127">
        <f t="shared" si="0"/>
        <v>1.08243216</v>
      </c>
      <c r="Q2" s="127">
        <f t="shared" si="0"/>
        <v>1.1040808032</v>
      </c>
      <c r="R2" s="127">
        <f t="shared" si="0"/>
        <v>1.1261624192640001</v>
      </c>
      <c r="S2" s="128"/>
      <c r="T2" s="129">
        <v>0.75</v>
      </c>
    </row>
    <row r="3" spans="1:22" ht="14.5" x14ac:dyDescent="0.35">
      <c r="C3" s="29" t="s">
        <v>77</v>
      </c>
      <c r="D3" s="29" t="s">
        <v>75</v>
      </c>
      <c r="E3" s="29"/>
      <c r="F3" s="29"/>
      <c r="G3" s="29"/>
      <c r="J3" s="167"/>
      <c r="K3" s="167"/>
      <c r="L3" s="292">
        <v>2024</v>
      </c>
      <c r="M3" s="168">
        <v>2025</v>
      </c>
      <c r="N3" s="168">
        <v>2026</v>
      </c>
      <c r="O3" s="168">
        <v>2027</v>
      </c>
      <c r="P3" s="168">
        <v>2028</v>
      </c>
      <c r="Q3" s="168">
        <v>2029</v>
      </c>
      <c r="R3" s="168">
        <v>2030</v>
      </c>
    </row>
    <row r="4" spans="1:22" x14ac:dyDescent="0.3">
      <c r="H4" s="23" t="s">
        <v>78</v>
      </c>
      <c r="J4" s="169" t="s">
        <v>16</v>
      </c>
      <c r="K4" s="170"/>
      <c r="L4" s="293"/>
      <c r="M4" s="170"/>
      <c r="N4" s="170"/>
      <c r="O4" s="170"/>
      <c r="P4" s="170"/>
      <c r="Q4" s="170"/>
      <c r="R4" s="170"/>
    </row>
    <row r="5" spans="1:22" x14ac:dyDescent="0.3">
      <c r="J5" s="171" t="s">
        <v>165</v>
      </c>
      <c r="K5" s="172"/>
      <c r="L5" s="294"/>
      <c r="M5" s="172"/>
      <c r="N5" s="362"/>
      <c r="O5" s="51"/>
      <c r="P5" s="51"/>
      <c r="Q5" s="51"/>
      <c r="R5" s="51"/>
      <c r="S5" s="210"/>
      <c r="T5" s="23" t="s">
        <v>79</v>
      </c>
      <c r="U5" s="211"/>
    </row>
    <row r="6" spans="1:22" x14ac:dyDescent="0.3">
      <c r="C6" s="42">
        <f>D6/(1+$D$2)</f>
        <v>164000</v>
      </c>
      <c r="D6" s="130">
        <v>205000</v>
      </c>
      <c r="E6" s="41"/>
      <c r="F6" s="41"/>
      <c r="G6" s="41"/>
      <c r="I6" s="131" t="s">
        <v>80</v>
      </c>
      <c r="J6" s="144" t="s">
        <v>81</v>
      </c>
      <c r="K6" s="51"/>
      <c r="L6" s="295">
        <v>4</v>
      </c>
      <c r="M6" s="51">
        <v>7</v>
      </c>
      <c r="N6" s="51">
        <v>9</v>
      </c>
      <c r="O6" s="51">
        <f>N6+2</f>
        <v>11</v>
      </c>
      <c r="P6" s="51">
        <f t="shared" ref="P6:R6" si="1">O6+2</f>
        <v>13</v>
      </c>
      <c r="Q6" s="51">
        <f t="shared" si="1"/>
        <v>15</v>
      </c>
      <c r="R6" s="51">
        <f t="shared" si="1"/>
        <v>17</v>
      </c>
      <c r="T6" s="133">
        <v>0.75</v>
      </c>
    </row>
    <row r="7" spans="1:22" ht="14.5" x14ac:dyDescent="0.35">
      <c r="C7" s="42">
        <f t="shared" ref="C7:C10" si="2">D7/(1+$D$2)</f>
        <v>118898.4</v>
      </c>
      <c r="D7" s="130">
        <v>148623</v>
      </c>
      <c r="E7" s="134"/>
      <c r="F7" s="41"/>
      <c r="G7" s="41"/>
      <c r="I7" s="131" t="s">
        <v>80</v>
      </c>
      <c r="J7" s="52" t="s">
        <v>82</v>
      </c>
      <c r="L7" s="290">
        <v>2</v>
      </c>
      <c r="M7" s="49">
        <f>3+1</f>
        <v>4</v>
      </c>
      <c r="N7" s="49">
        <v>5</v>
      </c>
      <c r="O7" s="49">
        <f>N7+1</f>
        <v>6</v>
      </c>
      <c r="P7" s="49">
        <f t="shared" ref="P7:R9" si="3">O7+1</f>
        <v>7</v>
      </c>
      <c r="Q7" s="49">
        <f t="shared" si="3"/>
        <v>8</v>
      </c>
      <c r="R7" s="49">
        <f t="shared" si="3"/>
        <v>9</v>
      </c>
    </row>
    <row r="8" spans="1:22" ht="14.5" x14ac:dyDescent="0.35">
      <c r="C8" s="42">
        <v>127032</v>
      </c>
      <c r="D8" s="130">
        <f>C8*(1+D2)</f>
        <v>158790</v>
      </c>
      <c r="E8" s="134"/>
      <c r="F8" s="41"/>
      <c r="G8" s="41"/>
      <c r="I8" s="131"/>
      <c r="J8" s="52" t="s">
        <v>194</v>
      </c>
      <c r="N8" s="49">
        <v>5</v>
      </c>
      <c r="O8" s="49">
        <f>N8+1</f>
        <v>6</v>
      </c>
      <c r="P8" s="49">
        <f t="shared" si="3"/>
        <v>7</v>
      </c>
      <c r="Q8" s="49">
        <f t="shared" si="3"/>
        <v>8</v>
      </c>
      <c r="R8" s="49">
        <f t="shared" si="3"/>
        <v>9</v>
      </c>
    </row>
    <row r="9" spans="1:22" ht="14.5" x14ac:dyDescent="0.35">
      <c r="C9" s="42">
        <f t="shared" si="2"/>
        <v>140800</v>
      </c>
      <c r="D9" s="130">
        <v>176000</v>
      </c>
      <c r="E9" s="134"/>
      <c r="F9" s="41"/>
      <c r="G9" s="41"/>
      <c r="I9" s="131"/>
      <c r="J9" s="52" t="s">
        <v>195</v>
      </c>
      <c r="M9" s="49">
        <v>1</v>
      </c>
      <c r="N9" s="49">
        <v>2</v>
      </c>
      <c r="O9" s="49">
        <f>N9+1</f>
        <v>3</v>
      </c>
      <c r="P9" s="49">
        <f t="shared" si="3"/>
        <v>4</v>
      </c>
      <c r="Q9" s="49">
        <f t="shared" si="3"/>
        <v>5</v>
      </c>
      <c r="R9" s="49">
        <f t="shared" si="3"/>
        <v>6</v>
      </c>
    </row>
    <row r="10" spans="1:22" x14ac:dyDescent="0.3">
      <c r="C10" s="42">
        <f t="shared" si="2"/>
        <v>100609.60000000001</v>
      </c>
      <c r="D10" s="130">
        <v>125762</v>
      </c>
      <c r="E10" s="39"/>
      <c r="F10" s="39"/>
      <c r="G10" s="39"/>
      <c r="I10" s="131" t="s">
        <v>80</v>
      </c>
      <c r="J10" s="52" t="s">
        <v>187</v>
      </c>
      <c r="L10" s="290">
        <v>0</v>
      </c>
      <c r="M10" s="49">
        <v>2</v>
      </c>
      <c r="N10" s="49">
        <v>26</v>
      </c>
      <c r="O10" s="49">
        <f>N10+3</f>
        <v>29</v>
      </c>
      <c r="P10" s="49">
        <f t="shared" ref="P10:R10" si="4">O10+3</f>
        <v>32</v>
      </c>
      <c r="Q10" s="49">
        <f t="shared" si="4"/>
        <v>35</v>
      </c>
      <c r="R10" s="49">
        <f t="shared" si="4"/>
        <v>38</v>
      </c>
    </row>
    <row r="11" spans="1:22" x14ac:dyDescent="0.3">
      <c r="J11" s="50" t="str">
        <f>"Total "&amp;J5&amp;" Headcount"</f>
        <v>Total Sales &amp; Customer Success Headcount</v>
      </c>
      <c r="K11" s="51"/>
      <c r="L11" s="296">
        <f t="shared" ref="L11:R11" si="5">SUM(L6:L10)</f>
        <v>6</v>
      </c>
      <c r="M11" s="50">
        <f t="shared" si="5"/>
        <v>14</v>
      </c>
      <c r="N11" s="50">
        <f t="shared" si="5"/>
        <v>47</v>
      </c>
      <c r="O11" s="50">
        <f t="shared" si="5"/>
        <v>55</v>
      </c>
      <c r="P11" s="50">
        <f t="shared" si="5"/>
        <v>63</v>
      </c>
      <c r="Q11" s="50">
        <f t="shared" si="5"/>
        <v>71</v>
      </c>
      <c r="R11" s="50">
        <f t="shared" si="5"/>
        <v>79</v>
      </c>
    </row>
    <row r="12" spans="1:22" x14ac:dyDescent="0.3">
      <c r="J12" s="48"/>
    </row>
    <row r="13" spans="1:22" x14ac:dyDescent="0.3">
      <c r="J13" s="48" t="s">
        <v>83</v>
      </c>
    </row>
    <row r="14" spans="1:22" x14ac:dyDescent="0.3">
      <c r="C14" s="41">
        <f t="shared" ref="C14" si="6">D14/(1+$D$2)</f>
        <v>113860</v>
      </c>
      <c r="D14" s="130">
        <v>142325</v>
      </c>
      <c r="E14" s="41"/>
      <c r="F14" s="41"/>
      <c r="G14" s="41"/>
      <c r="I14" s="24" t="s">
        <v>80</v>
      </c>
      <c r="J14" s="51" t="s">
        <v>84</v>
      </c>
      <c r="K14" s="51"/>
      <c r="L14" s="295">
        <v>3</v>
      </c>
      <c r="M14" s="51">
        <v>3</v>
      </c>
      <c r="N14" s="51">
        <v>5</v>
      </c>
      <c r="O14" s="51">
        <f>+N14+1</f>
        <v>6</v>
      </c>
      <c r="P14" s="51">
        <f>+O14+1</f>
        <v>7</v>
      </c>
      <c r="Q14" s="51">
        <f>+P14+1</f>
        <v>8</v>
      </c>
      <c r="R14" s="51">
        <f>+Q14+1</f>
        <v>9</v>
      </c>
    </row>
    <row r="15" spans="1:22" x14ac:dyDescent="0.3">
      <c r="J15" s="50" t="str">
        <f>"Total "&amp;J13&amp;" Headcount"</f>
        <v>Total Marketing Headcount</v>
      </c>
      <c r="K15" s="50"/>
      <c r="L15" s="296">
        <f t="shared" ref="L15:R15" si="7">SUM(L14:L14)</f>
        <v>3</v>
      </c>
      <c r="M15" s="50">
        <f t="shared" si="7"/>
        <v>3</v>
      </c>
      <c r="N15" s="50">
        <f t="shared" si="7"/>
        <v>5</v>
      </c>
      <c r="O15" s="50">
        <f t="shared" si="7"/>
        <v>6</v>
      </c>
      <c r="P15" s="50">
        <f t="shared" si="7"/>
        <v>7</v>
      </c>
      <c r="Q15" s="50">
        <f t="shared" si="7"/>
        <v>8</v>
      </c>
      <c r="R15" s="50">
        <f t="shared" si="7"/>
        <v>9</v>
      </c>
    </row>
    <row r="16" spans="1:22" x14ac:dyDescent="0.3">
      <c r="V16" s="212"/>
    </row>
    <row r="17" spans="2:22" ht="14.5" x14ac:dyDescent="0.35">
      <c r="I17" s="24" t="s">
        <v>80</v>
      </c>
      <c r="J17" s="49" t="str">
        <f>J5</f>
        <v>Sales &amp; Customer Success</v>
      </c>
      <c r="L17" s="297">
        <f t="shared" ref="L17:R17" si="8">SUMPRODUCT($D6:$D10,L6:L10)/10^6*L$2</f>
        <v>1.117246</v>
      </c>
      <c r="M17" s="173">
        <f t="shared" si="8"/>
        <v>2.5061563200000001</v>
      </c>
      <c r="N17" s="173">
        <f t="shared" si="8"/>
        <v>7.2868336308000003</v>
      </c>
      <c r="O17" s="173">
        <f t="shared" si="8"/>
        <v>8.7810462478079998</v>
      </c>
      <c r="P17" s="173">
        <f t="shared" si="8"/>
        <v>10.332112636044</v>
      </c>
      <c r="Q17" s="173">
        <f t="shared" si="8"/>
        <v>11.941709261310317</v>
      </c>
      <c r="R17" s="173">
        <f t="shared" si="8"/>
        <v>13.611556906532869</v>
      </c>
      <c r="V17" s="213"/>
    </row>
    <row r="18" spans="2:22" x14ac:dyDescent="0.3">
      <c r="I18" s="24" t="s">
        <v>80</v>
      </c>
      <c r="J18" s="49" t="str">
        <f>J13</f>
        <v>Marketing</v>
      </c>
      <c r="L18" s="297">
        <f>SUMPRODUCT($D14:$D14,L14:L14)/10^6*L$2/2</f>
        <v>0.2134875</v>
      </c>
      <c r="M18" s="173">
        <f t="shared" ref="M18:R18" si="9">SUMPRODUCT($D14:$D14,M14:M14)/10^6*M$2</f>
        <v>0.43551450000000003</v>
      </c>
      <c r="N18" s="173">
        <f t="shared" si="9"/>
        <v>0.74037464999999991</v>
      </c>
      <c r="O18" s="173">
        <f t="shared" si="9"/>
        <v>0.90621857159999997</v>
      </c>
      <c r="P18" s="173">
        <f t="shared" si="9"/>
        <v>1.078400100204</v>
      </c>
      <c r="Q18" s="173">
        <f t="shared" si="9"/>
        <v>1.2571064025235201</v>
      </c>
      <c r="R18" s="173">
        <f t="shared" si="9"/>
        <v>1.4425295968957395</v>
      </c>
      <c r="V18" s="212"/>
    </row>
    <row r="19" spans="2:22" x14ac:dyDescent="0.3">
      <c r="J19" s="50" t="s">
        <v>85</v>
      </c>
      <c r="K19" s="51"/>
      <c r="L19" s="298">
        <f>SUM(L17:L18)</f>
        <v>1.3307335</v>
      </c>
      <c r="M19" s="174">
        <f t="shared" ref="M19:O19" si="10">SUM(M17:M18)</f>
        <v>2.9416708200000001</v>
      </c>
      <c r="N19" s="174">
        <f t="shared" si="10"/>
        <v>8.0272082808</v>
      </c>
      <c r="O19" s="174">
        <f t="shared" si="10"/>
        <v>9.687264819408</v>
      </c>
      <c r="P19" s="174">
        <f t="shared" ref="P19:Q19" si="11">SUM(P17:P18)</f>
        <v>11.410512736248</v>
      </c>
      <c r="Q19" s="174">
        <f t="shared" si="11"/>
        <v>13.198815663833837</v>
      </c>
      <c r="R19" s="174">
        <f t="shared" ref="R19" si="12">SUM(R17:R18)</f>
        <v>15.054086503428607</v>
      </c>
    </row>
    <row r="20" spans="2:22" x14ac:dyDescent="0.3">
      <c r="J20" s="52" t="s">
        <v>86</v>
      </c>
      <c r="L20" s="297">
        <f>L19*$T$2</f>
        <v>0.99805012500000001</v>
      </c>
      <c r="M20" s="173"/>
      <c r="N20" s="173"/>
      <c r="O20" s="173"/>
      <c r="P20" s="173"/>
      <c r="Q20" s="173"/>
      <c r="R20" s="173"/>
    </row>
    <row r="21" spans="2:22" x14ac:dyDescent="0.3">
      <c r="D21" s="135">
        <f>+L$3</f>
        <v>2024</v>
      </c>
      <c r="E21" s="135">
        <f t="shared" ref="E21:G21" si="13">+M$3</f>
        <v>2025</v>
      </c>
      <c r="F21" s="135">
        <f t="shared" si="13"/>
        <v>2026</v>
      </c>
      <c r="G21" s="135">
        <f t="shared" si="13"/>
        <v>2027</v>
      </c>
      <c r="J21" s="136" t="s">
        <v>87</v>
      </c>
      <c r="L21" s="299"/>
      <c r="M21" s="175"/>
      <c r="N21" s="175"/>
      <c r="O21" s="175"/>
      <c r="P21" s="175"/>
      <c r="Q21" s="175"/>
      <c r="R21" s="175"/>
    </row>
    <row r="22" spans="2:22" ht="14.5" x14ac:dyDescent="0.35">
      <c r="B22" s="132"/>
      <c r="D22" s="137">
        <v>3.5</v>
      </c>
      <c r="E22" s="137">
        <v>1</v>
      </c>
      <c r="F22" s="137">
        <v>1</v>
      </c>
      <c r="G22" s="137">
        <v>1</v>
      </c>
      <c r="I22" s="24" t="s">
        <v>80</v>
      </c>
      <c r="J22" s="138" t="s">
        <v>88</v>
      </c>
      <c r="K22" s="51"/>
      <c r="L22" s="300">
        <f>L6*$C$6/12*D22/10^6*L$2</f>
        <v>0.19133333333333333</v>
      </c>
      <c r="M22" s="176">
        <f>M6*$C$6/12*E22/10^6*M$2</f>
        <v>9.7580000000000014E-2</v>
      </c>
      <c r="N22" s="176">
        <f>N6*$C$6/12*F22/10^6*N$2</f>
        <v>0.12796920000000001</v>
      </c>
      <c r="O22" s="176">
        <f>O6*$C$6/12*$G$22/10^6*O$2</f>
        <v>0.15953493600000002</v>
      </c>
      <c r="P22" s="176">
        <f>P6*$C$6/12*$G$22/10^6*P$2</f>
        <v>0.19231211375999999</v>
      </c>
      <c r="Q22" s="176">
        <f>Q6*$C$6/12*$G$22/10^6*Q$2</f>
        <v>0.22633656465599999</v>
      </c>
      <c r="R22" s="176">
        <f>R6*$C$6/12*$G$22/10^6*R$2</f>
        <v>0.26164506874233601</v>
      </c>
    </row>
    <row r="23" spans="2:22" ht="14.5" x14ac:dyDescent="0.35">
      <c r="B23" s="132"/>
      <c r="E23" s="139">
        <v>0.1</v>
      </c>
      <c r="F23" s="139">
        <v>0.1</v>
      </c>
      <c r="G23" s="139">
        <v>0.1</v>
      </c>
      <c r="I23" s="24" t="s">
        <v>80</v>
      </c>
      <c r="J23" s="140" t="s">
        <v>89</v>
      </c>
      <c r="L23" s="297">
        <v>0</v>
      </c>
      <c r="M23" s="173">
        <v>0</v>
      </c>
      <c r="N23" s="173">
        <v>0</v>
      </c>
      <c r="O23" s="173">
        <v>0</v>
      </c>
      <c r="P23" s="173">
        <v>0</v>
      </c>
      <c r="Q23" s="173">
        <v>0</v>
      </c>
      <c r="R23" s="173">
        <v>0</v>
      </c>
      <c r="T23" s="141">
        <v>0.16</v>
      </c>
      <c r="U23" s="23" t="s">
        <v>90</v>
      </c>
    </row>
    <row r="24" spans="2:22" x14ac:dyDescent="0.3">
      <c r="D24" s="137">
        <v>3</v>
      </c>
      <c r="E24" s="137">
        <v>1</v>
      </c>
      <c r="F24" s="137">
        <v>1</v>
      </c>
      <c r="G24" s="137">
        <v>1</v>
      </c>
      <c r="I24" s="24" t="s">
        <v>80</v>
      </c>
      <c r="J24" s="140" t="s">
        <v>91</v>
      </c>
      <c r="L24" s="297">
        <f>L7*$C$7/12*D24/10^6*L$2</f>
        <v>5.9449199999999994E-2</v>
      </c>
      <c r="M24" s="173">
        <f>M7*$C$7/12*E24/10^6*M$2</f>
        <v>4.0425455999999999E-2</v>
      </c>
      <c r="N24" s="173">
        <f>N7*$C$7/12*F24/10^6*N$2</f>
        <v>5.1542456399999999E-2</v>
      </c>
      <c r="O24" s="173">
        <f>O7*$C$7/12*$G$24/10^6*O$2</f>
        <v>6.3087966633599987E-2</v>
      </c>
      <c r="P24" s="173">
        <f>P7*$C$7/12*$G$24/10^6*P$2</f>
        <v>7.5074680293983995E-2</v>
      </c>
      <c r="Q24" s="173">
        <f>Q7*$C$7/12*$G$24/10^6*Q$2</f>
        <v>8.7515627314129915E-2</v>
      </c>
      <c r="R24" s="173">
        <f>R7*$C$7/12*$G$24/10^6*R$2</f>
        <v>0.10042418234296407</v>
      </c>
    </row>
    <row r="25" spans="2:22" x14ac:dyDescent="0.3">
      <c r="D25" s="137">
        <v>2.5</v>
      </c>
      <c r="E25" s="137">
        <v>1</v>
      </c>
      <c r="F25" s="137">
        <v>1</v>
      </c>
      <c r="G25" s="137">
        <v>1</v>
      </c>
      <c r="I25" s="24"/>
      <c r="J25" s="140" t="s">
        <v>92</v>
      </c>
      <c r="L25" s="297">
        <f>(SUMPRODUCT($C10:$C10,L10:L10)+$C14*L14)/12*D25/10^6*L$2</f>
        <v>7.1162500000000004E-2</v>
      </c>
      <c r="M25" s="173">
        <f>(SUMPRODUCT($C10:$C10,M10:M10)+$C14*M14)/12*E25/10^6*M$2</f>
        <v>4.6137931999999993E-2</v>
      </c>
      <c r="N25" s="173">
        <f>(SUMPRODUCT($C8:$C10,N8:N10)+$C14*N14)/12*F25/10^6*N$2</f>
        <v>0.35563556231999999</v>
      </c>
      <c r="O25" s="173">
        <f>(SUMPRODUCT($C10:$C10,O10:O10)+$C14*O14)/12*$G$25/10^6*O$2</f>
        <v>0.31843654306559999</v>
      </c>
      <c r="P25" s="173">
        <f>(SUMPRODUCT($C10:$C10,P10:P10)+$C14*P14)/12*$G$25/10^6*P$2</f>
        <v>0.36230151773289604</v>
      </c>
      <c r="Q25" s="173">
        <f>(SUMPRODUCT($C10:$C10,Q10:Q10)+$C14*Q14)/12*$G$25/10^6*Q$2</f>
        <v>0.40779371676965759</v>
      </c>
      <c r="R25" s="173">
        <f>(SUMPRODUCT($C10:$C10,R10:R10)+$C14*R14)/12*$G$25/10^6*R$2</f>
        <v>0.45496068316079658</v>
      </c>
    </row>
    <row r="26" spans="2:22" x14ac:dyDescent="0.3">
      <c r="E26" s="142"/>
      <c r="F26" s="139">
        <v>0.04</v>
      </c>
      <c r="G26" s="142"/>
      <c r="J26" s="140" t="s">
        <v>93</v>
      </c>
      <c r="L26" s="297">
        <f>$F$26*SUM(L19,L22,L24:L25)</f>
        <v>6.6107141333333341E-2</v>
      </c>
      <c r="M26" s="173">
        <v>0.33700000000000002</v>
      </c>
      <c r="N26" s="173">
        <v>0.45700000000000002</v>
      </c>
      <c r="O26" s="173">
        <f t="shared" ref="O26:P26" si="14">$F$26*SUM(O19,O22,O24:O25)</f>
        <v>0.40913297060428799</v>
      </c>
      <c r="P26" s="173">
        <f t="shared" si="14"/>
        <v>0.48160804192139517</v>
      </c>
      <c r="Q26" s="173">
        <f t="shared" ref="Q26:R26" si="15">$F$26*SUM(Q19,Q22,Q24:Q25)</f>
        <v>0.55681846290294501</v>
      </c>
      <c r="R26" s="173">
        <f t="shared" si="15"/>
        <v>0.63484465750698815</v>
      </c>
    </row>
    <row r="27" spans="2:22" x14ac:dyDescent="0.3">
      <c r="D27" s="143">
        <v>250000</v>
      </c>
      <c r="E27" s="39"/>
      <c r="F27" s="23" t="s">
        <v>151</v>
      </c>
      <c r="G27" s="149">
        <v>0.05</v>
      </c>
      <c r="J27" s="140" t="s">
        <v>94</v>
      </c>
      <c r="L27" s="297">
        <f>+$D$27*L$2/10^6</f>
        <v>0.25</v>
      </c>
      <c r="M27" s="173">
        <v>1.2370000000000001</v>
      </c>
      <c r="N27" s="173">
        <v>2.1669999999999998</v>
      </c>
      <c r="O27" s="173">
        <f>N27*(1+$G$27)</f>
        <v>2.27535</v>
      </c>
      <c r="P27" s="173">
        <f t="shared" ref="P27:R30" si="16">O27*(1+$G$27)</f>
        <v>2.3891175000000002</v>
      </c>
      <c r="Q27" s="173">
        <f t="shared" si="16"/>
        <v>2.5085733750000005</v>
      </c>
      <c r="R27" s="173">
        <f t="shared" si="16"/>
        <v>2.6340020437500007</v>
      </c>
    </row>
    <row r="28" spans="2:22" x14ac:dyDescent="0.3">
      <c r="E28" s="142"/>
      <c r="F28" s="139">
        <v>0.03</v>
      </c>
      <c r="G28" s="142"/>
      <c r="J28" s="140" t="s">
        <v>95</v>
      </c>
      <c r="L28" s="297">
        <v>1.5119999999999999E-5</v>
      </c>
      <c r="M28" s="173">
        <v>0</v>
      </c>
      <c r="N28" s="173">
        <v>0</v>
      </c>
      <c r="O28" s="173">
        <v>0</v>
      </c>
      <c r="P28" s="173">
        <v>0</v>
      </c>
      <c r="Q28" s="173">
        <v>0</v>
      </c>
      <c r="R28" s="173">
        <v>0</v>
      </c>
    </row>
    <row r="29" spans="2:22" x14ac:dyDescent="0.3">
      <c r="D29" s="143">
        <v>750000</v>
      </c>
      <c r="E29" s="39"/>
      <c r="F29" s="23" t="s">
        <v>151</v>
      </c>
      <c r="G29" s="149">
        <v>0.05</v>
      </c>
      <c r="J29" s="140" t="s">
        <v>96</v>
      </c>
      <c r="L29" s="297">
        <v>1</v>
      </c>
      <c r="M29" s="173">
        <v>0.94899999999999995</v>
      </c>
      <c r="N29" s="173">
        <v>1.151</v>
      </c>
      <c r="O29" s="173">
        <f>N29*(1+$G$27)</f>
        <v>1.20855</v>
      </c>
      <c r="P29" s="173">
        <f t="shared" si="16"/>
        <v>1.2689775000000001</v>
      </c>
      <c r="Q29" s="173">
        <f t="shared" si="16"/>
        <v>1.3324263750000001</v>
      </c>
      <c r="R29" s="173">
        <f t="shared" si="16"/>
        <v>1.39904769375</v>
      </c>
    </row>
    <row r="30" spans="2:22" x14ac:dyDescent="0.3">
      <c r="D30" s="245"/>
      <c r="E30" s="39"/>
      <c r="F30" s="39"/>
      <c r="G30" s="39"/>
      <c r="J30" s="140" t="s">
        <v>26</v>
      </c>
      <c r="L30" s="297">
        <v>0</v>
      </c>
      <c r="M30" s="173">
        <v>0.156</v>
      </c>
      <c r="N30" s="173">
        <v>0.30299999999999999</v>
      </c>
      <c r="O30" s="173">
        <f>N30*(1+$G$27)</f>
        <v>0.31814999999999999</v>
      </c>
      <c r="P30" s="173">
        <f t="shared" si="16"/>
        <v>0.33405750000000001</v>
      </c>
      <c r="Q30" s="173">
        <f t="shared" si="16"/>
        <v>0.35076037500000001</v>
      </c>
      <c r="R30" s="173">
        <f t="shared" si="16"/>
        <v>0.36829839375000001</v>
      </c>
    </row>
    <row r="31" spans="2:22" x14ac:dyDescent="0.3">
      <c r="D31" s="245"/>
      <c r="E31" s="39"/>
      <c r="F31" s="39"/>
      <c r="G31" s="39"/>
      <c r="J31" s="140" t="s">
        <v>190</v>
      </c>
      <c r="L31" s="297">
        <v>0</v>
      </c>
      <c r="M31" s="173">
        <v>0.187</v>
      </c>
      <c r="N31" s="173">
        <v>0.16500000000000001</v>
      </c>
      <c r="O31" s="173">
        <f t="shared" ref="O31" si="17">+N31*(1+10%)*O$2</f>
        <v>0.19260925200000001</v>
      </c>
      <c r="P31" s="173">
        <f t="shared" ref="P31" si="18">+O31*(1+10%)*P$2</f>
        <v>0.22933509354617879</v>
      </c>
      <c r="Q31" s="173">
        <f t="shared" ref="Q31" si="19">+P31*(1+10%)*Q$2</f>
        <v>0.27852492171285342</v>
      </c>
      <c r="R31" s="173">
        <f t="shared" ref="R31" si="20">+Q31*(1+10%)*R$2</f>
        <v>0.34503072962760961</v>
      </c>
    </row>
    <row r="32" spans="2:22" x14ac:dyDescent="0.3">
      <c r="D32" s="39"/>
      <c r="E32" s="39"/>
      <c r="F32" s="39"/>
      <c r="G32" s="39"/>
      <c r="J32" s="140" t="s">
        <v>97</v>
      </c>
      <c r="L32" s="297">
        <v>0.38800000000000001</v>
      </c>
      <c r="M32" s="173">
        <f t="shared" ref="M32:R33" si="21">+L32</f>
        <v>0.38800000000000001</v>
      </c>
      <c r="N32" s="173">
        <f t="shared" si="21"/>
        <v>0.38800000000000001</v>
      </c>
      <c r="O32" s="173">
        <f t="shared" si="21"/>
        <v>0.38800000000000001</v>
      </c>
      <c r="P32" s="173">
        <f t="shared" si="21"/>
        <v>0.38800000000000001</v>
      </c>
      <c r="Q32" s="173">
        <f t="shared" si="21"/>
        <v>0.38800000000000001</v>
      </c>
      <c r="R32" s="173">
        <f t="shared" si="21"/>
        <v>0.38800000000000001</v>
      </c>
    </row>
    <row r="33" spans="3:28" x14ac:dyDescent="0.3">
      <c r="D33" s="39"/>
      <c r="E33" s="39"/>
      <c r="F33" s="39"/>
      <c r="G33" s="39"/>
      <c r="J33" s="140" t="s">
        <v>98</v>
      </c>
      <c r="L33" s="297">
        <v>3.0179999999999998E-2</v>
      </c>
      <c r="M33" s="173">
        <f t="shared" si="21"/>
        <v>3.0179999999999998E-2</v>
      </c>
      <c r="N33" s="173">
        <f t="shared" si="21"/>
        <v>3.0179999999999998E-2</v>
      </c>
      <c r="O33" s="173">
        <f t="shared" si="21"/>
        <v>3.0179999999999998E-2</v>
      </c>
      <c r="P33" s="173">
        <f t="shared" si="21"/>
        <v>3.0179999999999998E-2</v>
      </c>
      <c r="Q33" s="173">
        <f t="shared" si="21"/>
        <v>3.0179999999999998E-2</v>
      </c>
      <c r="R33" s="173">
        <f t="shared" si="21"/>
        <v>3.0179999999999998E-2</v>
      </c>
    </row>
    <row r="34" spans="3:28" ht="14.5" x14ac:dyDescent="0.35">
      <c r="D34" s="39"/>
      <c r="E34" s="39"/>
      <c r="F34" s="39"/>
      <c r="G34" s="39"/>
      <c r="J34" s="140" t="s">
        <v>99</v>
      </c>
      <c r="L34" s="297">
        <v>0.58399999999999996</v>
      </c>
      <c r="M34" s="173">
        <f t="shared" ref="M34:R34" si="22">M211*M11</f>
        <v>1.2926666666666664</v>
      </c>
      <c r="N34" s="173">
        <f t="shared" si="22"/>
        <v>4.1046666666666658</v>
      </c>
      <c r="O34" s="173">
        <f t="shared" si="22"/>
        <v>4.5283333333333324</v>
      </c>
      <c r="P34" s="173">
        <f t="shared" si="22"/>
        <v>4.8719999999999981</v>
      </c>
      <c r="Q34" s="173">
        <f t="shared" si="22"/>
        <v>5.1356666666666646</v>
      </c>
      <c r="R34" s="173">
        <f t="shared" si="22"/>
        <v>5.319333333333331</v>
      </c>
      <c r="S34" s="132"/>
    </row>
    <row r="35" spans="3:28" x14ac:dyDescent="0.3">
      <c r="J35" s="50" t="s">
        <v>100</v>
      </c>
      <c r="K35" s="51"/>
      <c r="L35" s="298">
        <f>SUM(L22:L34)</f>
        <v>2.6402472946666671</v>
      </c>
      <c r="M35" s="174">
        <f t="shared" ref="M35:O35" si="23">SUM(M22:M34)</f>
        <v>4.7609900546666664</v>
      </c>
      <c r="N35" s="174">
        <f t="shared" si="23"/>
        <v>9.3009938853866654</v>
      </c>
      <c r="O35" s="174">
        <f t="shared" si="23"/>
        <v>9.8913650016368209</v>
      </c>
      <c r="P35" s="174">
        <f t="shared" ref="P35:Q35" si="24">SUM(P22:P34)</f>
        <v>10.622963947254451</v>
      </c>
      <c r="Q35" s="174">
        <f t="shared" si="24"/>
        <v>11.302596085022252</v>
      </c>
      <c r="R35" s="174">
        <f t="shared" ref="R35" si="25">SUM(R22:R34)</f>
        <v>11.935766785964026</v>
      </c>
    </row>
    <row r="36" spans="3:28" ht="14.5" x14ac:dyDescent="0.35">
      <c r="J36" s="177" t="s">
        <v>101</v>
      </c>
      <c r="L36" s="301">
        <f>SUM(L26:L33)</f>
        <v>1.7343022613333332</v>
      </c>
      <c r="M36" s="178">
        <f t="shared" ref="M36:O36" si="26">SUM(M26:M33)</f>
        <v>3.2841800000000001</v>
      </c>
      <c r="N36" s="178">
        <f t="shared" si="26"/>
        <v>4.661179999999999</v>
      </c>
      <c r="O36" s="178">
        <f t="shared" si="26"/>
        <v>4.8219722226042876</v>
      </c>
      <c r="P36" s="178">
        <f t="shared" ref="P36:Q36" si="27">SUM(P26:P33)</f>
        <v>5.1212756354675735</v>
      </c>
      <c r="Q36" s="178">
        <f t="shared" si="27"/>
        <v>5.4452835096157992</v>
      </c>
      <c r="R36" s="178">
        <f t="shared" ref="R36" si="28">SUM(R26:R33)</f>
        <v>5.7994035183845982</v>
      </c>
    </row>
    <row r="37" spans="3:28" ht="14.5" x14ac:dyDescent="0.35">
      <c r="J37" s="144" t="s">
        <v>86</v>
      </c>
      <c r="K37" s="51"/>
      <c r="L37" s="300">
        <f>L35*stub1h24</f>
        <v>1.9801854710000004</v>
      </c>
      <c r="M37" s="179"/>
      <c r="N37" s="179"/>
      <c r="O37" s="179"/>
      <c r="P37" s="179"/>
      <c r="Q37" s="179"/>
      <c r="R37" s="179"/>
    </row>
    <row r="38" spans="3:28" x14ac:dyDescent="0.3">
      <c r="J38" s="180" t="s">
        <v>33</v>
      </c>
      <c r="L38" s="297">
        <v>0.8</v>
      </c>
      <c r="M38" s="181"/>
      <c r="N38" s="181"/>
      <c r="O38" s="181"/>
      <c r="P38" s="181"/>
      <c r="Q38" s="181"/>
      <c r="R38" s="181"/>
      <c r="S38" s="65"/>
    </row>
    <row r="39" spans="3:28" x14ac:dyDescent="0.3">
      <c r="J39" s="180" t="s">
        <v>191</v>
      </c>
      <c r="L39" s="297"/>
      <c r="M39" s="181">
        <v>-0.3</v>
      </c>
      <c r="N39" s="181">
        <v>-0.8</v>
      </c>
      <c r="O39" s="181"/>
      <c r="P39" s="181"/>
      <c r="Q39" s="181"/>
      <c r="R39" s="181"/>
      <c r="S39" s="65"/>
    </row>
    <row r="40" spans="3:28" ht="14.5" thickBot="1" x14ac:dyDescent="0.35">
      <c r="H40" s="23" t="s">
        <v>78</v>
      </c>
      <c r="J40" s="165" t="s">
        <v>102</v>
      </c>
      <c r="K40" s="182"/>
      <c r="L40" s="302">
        <f>SUM(L37,L20)+L38</f>
        <v>3.778235596</v>
      </c>
      <c r="M40" s="183">
        <f t="shared" ref="M40:R40" si="29">SUM(M35,M19,M39)</f>
        <v>7.4026608746666662</v>
      </c>
      <c r="N40" s="183">
        <f t="shared" si="29"/>
        <v>16.528202166186663</v>
      </c>
      <c r="O40" s="183">
        <f t="shared" si="29"/>
        <v>19.578629821044821</v>
      </c>
      <c r="P40" s="183">
        <f t="shared" si="29"/>
        <v>22.03347668350245</v>
      </c>
      <c r="Q40" s="183">
        <f t="shared" si="29"/>
        <v>24.501411748856089</v>
      </c>
      <c r="R40" s="183">
        <f t="shared" si="29"/>
        <v>26.989853289392634</v>
      </c>
      <c r="S40" s="65"/>
    </row>
    <row r="41" spans="3:28" ht="14.5" thickTop="1" x14ac:dyDescent="0.3">
      <c r="J41" s="140"/>
      <c r="L41" s="303"/>
      <c r="M41" s="184"/>
      <c r="N41" s="184"/>
      <c r="O41" s="184"/>
      <c r="P41" s="184"/>
      <c r="Q41" s="184"/>
      <c r="R41" s="184"/>
    </row>
    <row r="42" spans="3:28" x14ac:dyDescent="0.3">
      <c r="H42" s="23" t="s">
        <v>78</v>
      </c>
      <c r="J42" s="205" t="s">
        <v>18</v>
      </c>
      <c r="K42" s="206"/>
      <c r="M42" s="206"/>
      <c r="N42" s="206"/>
      <c r="O42" s="206"/>
      <c r="P42" s="206"/>
      <c r="Q42" s="206"/>
      <c r="R42" s="206"/>
    </row>
    <row r="43" spans="3:28" x14ac:dyDescent="0.3">
      <c r="C43" s="42">
        <f t="shared" ref="C43:C52" si="30">D43/(1+$D$2)</f>
        <v>126930.4</v>
      </c>
      <c r="D43" s="130">
        <v>158663</v>
      </c>
      <c r="E43" s="41"/>
      <c r="F43" s="41"/>
      <c r="G43" s="41"/>
      <c r="J43" s="144" t="s">
        <v>188</v>
      </c>
      <c r="K43" s="51"/>
      <c r="L43" s="295">
        <v>28</v>
      </c>
      <c r="M43" s="51">
        <f>L43</f>
        <v>28</v>
      </c>
      <c r="N43" s="51">
        <v>30</v>
      </c>
      <c r="O43" s="51">
        <f>N43+1</f>
        <v>31</v>
      </c>
      <c r="P43" s="51">
        <f t="shared" ref="P43:R43" si="31">O43</f>
        <v>31</v>
      </c>
      <c r="Q43" s="51">
        <f t="shared" si="31"/>
        <v>31</v>
      </c>
      <c r="R43" s="51">
        <f t="shared" si="31"/>
        <v>31</v>
      </c>
    </row>
    <row r="44" spans="3:28" x14ac:dyDescent="0.3">
      <c r="C44" s="42">
        <f t="shared" si="30"/>
        <v>142740</v>
      </c>
      <c r="D44" s="130">
        <v>178425</v>
      </c>
      <c r="E44" s="41"/>
      <c r="F44" s="41"/>
      <c r="G44" s="41"/>
      <c r="J44" s="52" t="s">
        <v>103</v>
      </c>
      <c r="L44" s="290">
        <v>2</v>
      </c>
      <c r="M44" s="49">
        <v>1</v>
      </c>
      <c r="N44" s="49">
        <v>1</v>
      </c>
      <c r="O44" s="49">
        <f>N44+1</f>
        <v>2</v>
      </c>
      <c r="P44" s="49">
        <f t="shared" ref="O44:R52" si="32">O44</f>
        <v>2</v>
      </c>
      <c r="Q44" s="49">
        <f>P44+1</f>
        <v>3</v>
      </c>
      <c r="R44" s="49">
        <f t="shared" si="32"/>
        <v>3</v>
      </c>
      <c r="Z44" s="29"/>
    </row>
    <row r="45" spans="3:28" x14ac:dyDescent="0.3">
      <c r="C45" s="42">
        <f t="shared" si="30"/>
        <v>96920.8</v>
      </c>
      <c r="D45" s="130">
        <v>121151</v>
      </c>
      <c r="E45" s="41"/>
      <c r="F45" s="41"/>
      <c r="G45" s="41"/>
      <c r="J45" s="52" t="s">
        <v>104</v>
      </c>
      <c r="L45" s="290">
        <v>3</v>
      </c>
      <c r="M45" s="49">
        <v>5</v>
      </c>
      <c r="N45" s="49">
        <v>6</v>
      </c>
      <c r="O45" s="49">
        <f t="shared" si="32"/>
        <v>6</v>
      </c>
      <c r="P45" s="49">
        <f t="shared" si="32"/>
        <v>6</v>
      </c>
      <c r="Q45" s="49">
        <f t="shared" si="32"/>
        <v>6</v>
      </c>
      <c r="R45" s="49">
        <f t="shared" si="32"/>
        <v>6</v>
      </c>
      <c r="V45" s="39"/>
      <c r="X45" s="145"/>
      <c r="Z45" s="146"/>
    </row>
    <row r="46" spans="3:28" ht="14.5" x14ac:dyDescent="0.35">
      <c r="C46" s="42">
        <f t="shared" si="30"/>
        <v>181621.6</v>
      </c>
      <c r="D46" s="130">
        <v>227027</v>
      </c>
      <c r="E46" s="41"/>
      <c r="F46" s="41"/>
      <c r="G46" s="41"/>
      <c r="J46" s="52" t="s">
        <v>105</v>
      </c>
      <c r="L46" s="290">
        <v>1</v>
      </c>
      <c r="M46" s="49">
        <v>0</v>
      </c>
      <c r="N46" s="49">
        <v>0</v>
      </c>
      <c r="O46" s="49">
        <f t="shared" si="32"/>
        <v>0</v>
      </c>
      <c r="P46" s="49">
        <f t="shared" si="32"/>
        <v>0</v>
      </c>
      <c r="Q46" s="49">
        <f t="shared" si="32"/>
        <v>0</v>
      </c>
      <c r="R46" s="49">
        <f t="shared" si="32"/>
        <v>0</v>
      </c>
      <c r="X46" s="145"/>
      <c r="AB46" s="22"/>
    </row>
    <row r="47" spans="3:28" ht="14.5" x14ac:dyDescent="0.35">
      <c r="C47" s="42">
        <f t="shared" si="30"/>
        <v>145822.39999999999</v>
      </c>
      <c r="D47" s="130">
        <v>182278</v>
      </c>
      <c r="E47" s="41"/>
      <c r="F47" s="41"/>
      <c r="G47" s="41"/>
      <c r="J47" s="52" t="s">
        <v>106</v>
      </c>
      <c r="L47" s="290">
        <v>4</v>
      </c>
      <c r="M47" s="49">
        <v>3</v>
      </c>
      <c r="N47" s="49">
        <v>4</v>
      </c>
      <c r="O47" s="49">
        <f t="shared" si="32"/>
        <v>4</v>
      </c>
      <c r="P47" s="49">
        <f t="shared" si="32"/>
        <v>4</v>
      </c>
      <c r="Q47" s="49">
        <f t="shared" si="32"/>
        <v>4</v>
      </c>
      <c r="R47" s="49">
        <f t="shared" si="32"/>
        <v>4</v>
      </c>
      <c r="X47" s="145"/>
      <c r="AB47" s="22"/>
    </row>
    <row r="48" spans="3:28" x14ac:dyDescent="0.3">
      <c r="C48" s="42">
        <f>D48/(1+$D$2)</f>
        <v>96800</v>
      </c>
      <c r="D48" s="153">
        <v>121000</v>
      </c>
      <c r="E48" s="41"/>
      <c r="F48" s="41"/>
      <c r="G48" s="41"/>
      <c r="J48" s="52" t="s">
        <v>143</v>
      </c>
      <c r="L48" s="290">
        <v>3</v>
      </c>
      <c r="M48" s="49">
        <v>3</v>
      </c>
      <c r="N48" s="49">
        <v>4</v>
      </c>
      <c r="O48" s="49">
        <f>N48</f>
        <v>4</v>
      </c>
      <c r="P48" s="49">
        <f>+O48+1</f>
        <v>5</v>
      </c>
      <c r="Q48" s="49">
        <f>P48</f>
        <v>5</v>
      </c>
      <c r="R48" s="49">
        <f>Q48</f>
        <v>5</v>
      </c>
    </row>
    <row r="49" spans="3:28" ht="14.5" x14ac:dyDescent="0.35">
      <c r="C49" s="42">
        <f t="shared" si="30"/>
        <v>238004.8</v>
      </c>
      <c r="D49" s="130">
        <v>297506</v>
      </c>
      <c r="E49" s="39"/>
      <c r="F49" s="39"/>
      <c r="G49" s="39"/>
      <c r="I49" s="131"/>
      <c r="J49" s="52" t="s">
        <v>189</v>
      </c>
      <c r="L49" s="290">
        <v>1</v>
      </c>
      <c r="M49" s="49">
        <v>1</v>
      </c>
      <c r="N49" s="49">
        <v>1</v>
      </c>
      <c r="O49" s="49">
        <f t="shared" si="32"/>
        <v>1</v>
      </c>
      <c r="P49" s="49">
        <f t="shared" si="32"/>
        <v>1</v>
      </c>
      <c r="Q49" s="49">
        <f t="shared" si="32"/>
        <v>1</v>
      </c>
      <c r="R49" s="49">
        <f t="shared" si="32"/>
        <v>1</v>
      </c>
      <c r="X49" s="145"/>
      <c r="AB49" s="22"/>
    </row>
    <row r="50" spans="3:28" ht="28.5" x14ac:dyDescent="0.35">
      <c r="C50" s="42">
        <f t="shared" si="30"/>
        <v>122374.39999999999</v>
      </c>
      <c r="D50" s="130">
        <v>152968</v>
      </c>
      <c r="E50" s="41"/>
      <c r="F50" s="41"/>
      <c r="G50" s="41"/>
      <c r="J50" s="246" t="s">
        <v>192</v>
      </c>
      <c r="K50" s="247"/>
      <c r="L50" s="304">
        <v>20</v>
      </c>
      <c r="M50" s="247">
        <v>18</v>
      </c>
      <c r="N50" s="247">
        <v>18</v>
      </c>
      <c r="O50" s="247">
        <f>N50+2</f>
        <v>20</v>
      </c>
      <c r="P50" s="247">
        <f t="shared" si="32"/>
        <v>20</v>
      </c>
      <c r="Q50" s="247">
        <f t="shared" si="32"/>
        <v>20</v>
      </c>
      <c r="R50" s="247">
        <f t="shared" si="32"/>
        <v>20</v>
      </c>
      <c r="X50" s="145"/>
      <c r="AB50" s="22"/>
    </row>
    <row r="51" spans="3:28" ht="14.5" x14ac:dyDescent="0.35">
      <c r="C51" s="42">
        <f t="shared" si="30"/>
        <v>108934</v>
      </c>
      <c r="D51" s="130">
        <v>136167.5</v>
      </c>
      <c r="E51" s="41"/>
      <c r="F51" s="41"/>
      <c r="G51" s="41"/>
      <c r="J51" s="52" t="s">
        <v>107</v>
      </c>
      <c r="L51" s="290">
        <v>4</v>
      </c>
      <c r="M51" s="49">
        <f t="shared" ref="M51:M52" si="33">+L51</f>
        <v>4</v>
      </c>
      <c r="N51" s="49">
        <v>4</v>
      </c>
      <c r="O51" s="49">
        <f t="shared" si="32"/>
        <v>4</v>
      </c>
      <c r="P51" s="49">
        <f t="shared" si="32"/>
        <v>4</v>
      </c>
      <c r="Q51" s="49">
        <f t="shared" si="32"/>
        <v>4</v>
      </c>
      <c r="R51" s="49">
        <f t="shared" si="32"/>
        <v>4</v>
      </c>
      <c r="X51" s="145"/>
      <c r="AB51" s="22"/>
    </row>
    <row r="52" spans="3:28" ht="14.5" x14ac:dyDescent="0.35">
      <c r="C52" s="42">
        <f t="shared" si="30"/>
        <v>77695.199999999997</v>
      </c>
      <c r="D52" s="130">
        <v>97119</v>
      </c>
      <c r="E52" s="41"/>
      <c r="F52" s="41"/>
      <c r="G52" s="41"/>
      <c r="J52" s="52" t="s">
        <v>108</v>
      </c>
      <c r="L52" s="290">
        <v>2</v>
      </c>
      <c r="M52" s="49">
        <f t="shared" si="33"/>
        <v>2</v>
      </c>
      <c r="N52" s="49">
        <v>2</v>
      </c>
      <c r="O52" s="49">
        <f t="shared" si="32"/>
        <v>2</v>
      </c>
      <c r="P52" s="49">
        <f t="shared" si="32"/>
        <v>2</v>
      </c>
      <c r="Q52" s="49">
        <f t="shared" si="32"/>
        <v>2</v>
      </c>
      <c r="R52" s="49">
        <f t="shared" si="32"/>
        <v>2</v>
      </c>
      <c r="X52" s="145"/>
      <c r="AB52" s="22"/>
    </row>
    <row r="53" spans="3:28" ht="14.5" thickBot="1" x14ac:dyDescent="0.35">
      <c r="C53" s="147"/>
      <c r="D53" s="41"/>
      <c r="E53" s="41"/>
      <c r="F53" s="41"/>
      <c r="G53" s="41"/>
      <c r="J53" s="148" t="s">
        <v>109</v>
      </c>
      <c r="K53" s="185"/>
      <c r="L53" s="305">
        <f t="shared" ref="L53:R53" si="34">SUM(L43:L52)</f>
        <v>68</v>
      </c>
      <c r="M53" s="186">
        <f t="shared" si="34"/>
        <v>65</v>
      </c>
      <c r="N53" s="186">
        <f t="shared" si="34"/>
        <v>70</v>
      </c>
      <c r="O53" s="186">
        <f t="shared" si="34"/>
        <v>74</v>
      </c>
      <c r="P53" s="186">
        <f t="shared" si="34"/>
        <v>75</v>
      </c>
      <c r="Q53" s="186">
        <f t="shared" si="34"/>
        <v>76</v>
      </c>
      <c r="R53" s="186">
        <f t="shared" si="34"/>
        <v>76</v>
      </c>
      <c r="X53" s="145"/>
      <c r="Z53" s="29"/>
    </row>
    <row r="54" spans="3:28" ht="14.5" thickTop="1" x14ac:dyDescent="0.3">
      <c r="C54" s="147"/>
      <c r="D54" s="41"/>
      <c r="E54" s="41"/>
      <c r="F54" s="41"/>
      <c r="G54" s="41"/>
      <c r="J54" s="136" t="s">
        <v>110</v>
      </c>
      <c r="L54" s="306">
        <f t="shared" ref="L54:R54" si="35">SUMPRODUCT($D43:$D52,L43:L52)/10^6*L$2</f>
        <v>10.577780000000001</v>
      </c>
      <c r="M54" s="187">
        <f t="shared" si="35"/>
        <v>10.124944319999999</v>
      </c>
      <c r="N54" s="187">
        <f t="shared" si="35"/>
        <v>11.099165108399999</v>
      </c>
      <c r="O54" s="187">
        <f t="shared" si="35"/>
        <v>12.00353062356</v>
      </c>
      <c r="P54" s="187">
        <f t="shared" si="35"/>
        <v>12.374575527391199</v>
      </c>
      <c r="Q54" s="187">
        <f t="shared" si="35"/>
        <v>12.819062655249985</v>
      </c>
      <c r="R54" s="187">
        <f t="shared" si="35"/>
        <v>13.075443908354986</v>
      </c>
      <c r="X54" s="145"/>
      <c r="Z54" s="29"/>
    </row>
    <row r="55" spans="3:28" x14ac:dyDescent="0.3">
      <c r="C55" s="147"/>
      <c r="D55" s="137">
        <v>1</v>
      </c>
      <c r="E55" s="137">
        <v>1</v>
      </c>
      <c r="F55" s="137">
        <v>1</v>
      </c>
      <c r="G55" s="137">
        <v>1</v>
      </c>
      <c r="J55" s="140" t="s">
        <v>111</v>
      </c>
      <c r="L55" s="297">
        <f>SUMPRODUCT($C43:$C52,L43:L52)/12*D55/10^6*L$2</f>
        <v>0.70518533333333311</v>
      </c>
      <c r="M55" s="173">
        <f>SUMPRODUCT($C43:$C52,M43:M52)/12*E55/10^6*M$2</f>
        <v>0.67499628799999989</v>
      </c>
      <c r="N55" s="173">
        <f>SUMPRODUCT($C43:$C52,N43:N52)/12*F55/10^6*N$2</f>
        <v>0.73994434055999991</v>
      </c>
      <c r="O55" s="173">
        <f>SUMPRODUCT($C43:$C52,O43:O52)/12*$G$55/10^6*O$2</f>
        <v>0.80023537490399987</v>
      </c>
      <c r="P55" s="173">
        <f>SUMPRODUCT($C43:$C52,P43:P52)/12*$G$55/10^6*P$2</f>
        <v>0.82497170182608004</v>
      </c>
      <c r="Q55" s="173">
        <f>SUMPRODUCT($C43:$C52,Q43:Q52)/12*$G$55/10^6*Q$2</f>
        <v>0.85460417701666569</v>
      </c>
      <c r="R55" s="173">
        <f>SUMPRODUCT($C43:$C52,R43:R52)/12*$G$55/10^6*R$2</f>
        <v>0.871696260556999</v>
      </c>
      <c r="X55" s="145"/>
      <c r="Z55" s="29"/>
    </row>
    <row r="56" spans="3:28" x14ac:dyDescent="0.3">
      <c r="C56" s="147"/>
      <c r="D56" s="248"/>
      <c r="E56" s="248"/>
      <c r="F56" s="248"/>
      <c r="G56" s="248"/>
      <c r="J56" s="140" t="s">
        <v>191</v>
      </c>
      <c r="L56" s="297"/>
      <c r="M56" s="173"/>
      <c r="N56" s="173">
        <v>0.6</v>
      </c>
      <c r="O56" s="173"/>
      <c r="P56" s="173"/>
      <c r="Q56" s="173"/>
      <c r="R56" s="173"/>
      <c r="X56" s="145"/>
      <c r="Z56" s="29"/>
    </row>
    <row r="57" spans="3:28" x14ac:dyDescent="0.3">
      <c r="C57" s="147"/>
      <c r="D57" s="41"/>
      <c r="E57" s="41"/>
      <c r="F57" s="41"/>
      <c r="G57" s="41"/>
      <c r="J57" s="136" t="s">
        <v>112</v>
      </c>
      <c r="L57" s="306">
        <f>SUM(L54:L55)</f>
        <v>11.282965333333333</v>
      </c>
      <c r="M57" s="187">
        <f t="shared" ref="M57:O57" si="36">SUM(M54:M55)</f>
        <v>10.799940607999998</v>
      </c>
      <c r="N57" s="187">
        <f>SUM(N54:N56)</f>
        <v>12.439109448959998</v>
      </c>
      <c r="O57" s="187">
        <f t="shared" si="36"/>
        <v>12.803765998464</v>
      </c>
      <c r="P57" s="187">
        <f t="shared" ref="P57:Q57" si="37">SUM(P54:P55)</f>
        <v>13.199547229217279</v>
      </c>
      <c r="Q57" s="187">
        <f t="shared" si="37"/>
        <v>13.673666832266651</v>
      </c>
      <c r="R57" s="187">
        <f t="shared" ref="R57" si="38">SUM(R54:R55)</f>
        <v>13.947140168911984</v>
      </c>
      <c r="Z57" s="146"/>
    </row>
    <row r="58" spans="3:28" ht="14.5" x14ac:dyDescent="0.35">
      <c r="C58" s="147"/>
      <c r="D58" s="41"/>
      <c r="E58" s="41"/>
      <c r="F58" s="41"/>
      <c r="G58" s="41"/>
      <c r="J58" s="52" t="s">
        <v>86</v>
      </c>
      <c r="L58" s="297">
        <f>L57*stub1h24</f>
        <v>8.4622239999999991</v>
      </c>
      <c r="M58" s="187"/>
      <c r="N58" s="187"/>
      <c r="O58" s="187"/>
      <c r="P58" s="187"/>
      <c r="Q58" s="187"/>
      <c r="R58" s="187"/>
      <c r="AB58" s="22"/>
    </row>
    <row r="59" spans="3:28" x14ac:dyDescent="0.3">
      <c r="C59" s="147"/>
      <c r="D59" s="41"/>
      <c r="E59" s="41"/>
      <c r="F59" s="41"/>
      <c r="G59" s="41"/>
      <c r="J59" s="136" t="s">
        <v>87</v>
      </c>
      <c r="L59" s="306"/>
      <c r="M59" s="187"/>
      <c r="N59" s="187"/>
      <c r="O59" s="187"/>
      <c r="P59" s="187"/>
      <c r="Q59" s="187"/>
      <c r="R59" s="187"/>
    </row>
    <row r="60" spans="3:28" x14ac:dyDescent="0.3">
      <c r="C60" s="149">
        <v>0.28000000000000003</v>
      </c>
      <c r="F60" s="41"/>
      <c r="G60" s="41"/>
      <c r="J60" s="138" t="s">
        <v>113</v>
      </c>
      <c r="K60" s="51"/>
      <c r="L60" s="300">
        <f>$C60*L$57</f>
        <v>3.1592302933333336</v>
      </c>
      <c r="M60" s="176">
        <v>3.37</v>
      </c>
      <c r="N60" s="176">
        <v>3.3380000000000001</v>
      </c>
      <c r="O60" s="176">
        <f t="shared" ref="O60:R62" si="39">$C60*O$57</f>
        <v>3.5850544795699202</v>
      </c>
      <c r="P60" s="176">
        <f t="shared" si="39"/>
        <v>3.6958732241808385</v>
      </c>
      <c r="Q60" s="176">
        <f t="shared" si="39"/>
        <v>3.8286267130346627</v>
      </c>
      <c r="R60" s="176">
        <f t="shared" si="39"/>
        <v>3.9051992472953558</v>
      </c>
    </row>
    <row r="61" spans="3:28" ht="15" customHeight="1" x14ac:dyDescent="0.3">
      <c r="C61" s="149">
        <v>0.03</v>
      </c>
      <c r="F61" s="41"/>
      <c r="G61" s="41"/>
      <c r="J61" s="140" t="s">
        <v>114</v>
      </c>
      <c r="L61" s="297">
        <f t="shared" ref="L61:L65" si="40">$C61*L$57</f>
        <v>0.33848896000000001</v>
      </c>
      <c r="M61" s="173">
        <v>0.159</v>
      </c>
      <c r="N61" s="173">
        <v>0.34599999999999997</v>
      </c>
      <c r="O61" s="173">
        <f t="shared" si="39"/>
        <v>0.38411297995391996</v>
      </c>
      <c r="P61" s="173">
        <f t="shared" si="39"/>
        <v>0.39598641687651837</v>
      </c>
      <c r="Q61" s="173">
        <f t="shared" si="39"/>
        <v>0.41021000496799953</v>
      </c>
      <c r="R61" s="173">
        <f t="shared" si="39"/>
        <v>0.41841420506735949</v>
      </c>
    </row>
    <row r="62" spans="3:28" x14ac:dyDescent="0.3">
      <c r="C62" s="149">
        <v>0</v>
      </c>
      <c r="D62" s="41"/>
      <c r="E62" s="41"/>
      <c r="F62" s="41"/>
      <c r="G62" s="41"/>
      <c r="J62" s="140" t="s">
        <v>115</v>
      </c>
      <c r="L62" s="297">
        <f t="shared" si="40"/>
        <v>0</v>
      </c>
      <c r="M62" s="173">
        <f>$C62*M$57</f>
        <v>0</v>
      </c>
      <c r="N62" s="173">
        <f>$C62*N$57</f>
        <v>0</v>
      </c>
      <c r="O62" s="173">
        <f t="shared" si="39"/>
        <v>0</v>
      </c>
      <c r="P62" s="173">
        <f t="shared" si="39"/>
        <v>0</v>
      </c>
      <c r="Q62" s="173">
        <f t="shared" si="39"/>
        <v>0</v>
      </c>
      <c r="R62" s="173">
        <f t="shared" si="39"/>
        <v>0</v>
      </c>
    </row>
    <row r="63" spans="3:28" x14ac:dyDescent="0.3">
      <c r="C63" s="149">
        <v>0.09</v>
      </c>
      <c r="D63" s="41"/>
      <c r="E63" s="41"/>
      <c r="F63" s="41"/>
      <c r="G63" s="41"/>
      <c r="J63" s="140" t="s">
        <v>190</v>
      </c>
      <c r="L63" s="297">
        <f t="shared" si="40"/>
        <v>1.01546688</v>
      </c>
      <c r="M63" s="173">
        <v>0.75800000000000001</v>
      </c>
      <c r="N63" s="173">
        <v>0.82399999999999995</v>
      </c>
      <c r="O63" s="173">
        <f t="shared" ref="O63" si="41">+N63*(1+10%)*O$2</f>
        <v>0.9618789311999999</v>
      </c>
      <c r="P63" s="173">
        <f t="shared" ref="P63" si="42">+O63*(1+10%)*P$2</f>
        <v>1.1452855580730381</v>
      </c>
      <c r="Q63" s="173">
        <f t="shared" ref="Q63" si="43">+P63*(1+10%)*Q$2</f>
        <v>1.3909365787357044</v>
      </c>
      <c r="R63" s="173">
        <f t="shared" ref="R63" si="44">+Q63*(1+10%)*R$2</f>
        <v>1.7230625528069716</v>
      </c>
    </row>
    <row r="64" spans="3:28" x14ac:dyDescent="0.3">
      <c r="C64" s="149">
        <v>5.5E-2</v>
      </c>
      <c r="D64" s="41"/>
      <c r="E64" s="41"/>
      <c r="F64" s="41"/>
      <c r="G64" s="41"/>
      <c r="J64" s="140" t="s">
        <v>116</v>
      </c>
      <c r="L64" s="297">
        <f t="shared" si="40"/>
        <v>0.62056309333333337</v>
      </c>
      <c r="M64" s="173">
        <v>0.39200000000000002</v>
      </c>
      <c r="N64" s="173">
        <v>0.41</v>
      </c>
      <c r="O64" s="173">
        <f t="shared" ref="O64:R65" si="45">$C64*O$57</f>
        <v>0.70420712991552004</v>
      </c>
      <c r="P64" s="173">
        <f t="shared" si="45"/>
        <v>0.72597509760695034</v>
      </c>
      <c r="Q64" s="173">
        <f t="shared" si="45"/>
        <v>0.75205167577466581</v>
      </c>
      <c r="R64" s="173">
        <f t="shared" si="45"/>
        <v>0.76709270929015916</v>
      </c>
    </row>
    <row r="65" spans="3:20" x14ac:dyDescent="0.3">
      <c r="C65" s="149">
        <v>0.03</v>
      </c>
      <c r="D65" s="41"/>
      <c r="E65" s="41"/>
      <c r="F65" s="41"/>
      <c r="G65" s="41"/>
      <c r="J65" s="140" t="s">
        <v>117</v>
      </c>
      <c r="L65" s="297">
        <f t="shared" si="40"/>
        <v>0.33848896000000001</v>
      </c>
      <c r="M65" s="173">
        <v>0.17</v>
      </c>
      <c r="N65" s="173">
        <v>0.35599999999999998</v>
      </c>
      <c r="O65" s="173">
        <f t="shared" si="45"/>
        <v>0.38411297995391996</v>
      </c>
      <c r="P65" s="173">
        <f t="shared" si="45"/>
        <v>0.39598641687651837</v>
      </c>
      <c r="Q65" s="173">
        <f t="shared" si="45"/>
        <v>0.41021000496799953</v>
      </c>
      <c r="R65" s="173">
        <f t="shared" si="45"/>
        <v>0.41841420506735949</v>
      </c>
    </row>
    <row r="66" spans="3:20" x14ac:dyDescent="0.3">
      <c r="C66" s="41"/>
      <c r="D66" s="41"/>
      <c r="E66" s="41"/>
      <c r="F66" s="41"/>
      <c r="G66" s="41"/>
      <c r="J66" s="140" t="s">
        <v>193</v>
      </c>
      <c r="L66" s="297">
        <v>0.1</v>
      </c>
      <c r="M66" s="173">
        <v>1.3160000000000001</v>
      </c>
      <c r="N66" s="173">
        <v>2.7349999999999999</v>
      </c>
      <c r="O66" s="173">
        <f>N66</f>
        <v>2.7349999999999999</v>
      </c>
      <c r="P66" s="173">
        <f>O66-0.5</f>
        <v>2.2349999999999999</v>
      </c>
      <c r="Q66" s="173">
        <f>P66-0.5</f>
        <v>1.7349999999999999</v>
      </c>
      <c r="R66" s="173">
        <f>Q66</f>
        <v>1.7349999999999999</v>
      </c>
    </row>
    <row r="67" spans="3:20" x14ac:dyDescent="0.3">
      <c r="J67" s="150" t="s">
        <v>98</v>
      </c>
      <c r="L67" s="297">
        <v>1.0617622799999999</v>
      </c>
      <c r="M67" s="173">
        <f t="shared" ref="M67:R68" si="46">+L67</f>
        <v>1.0617622799999999</v>
      </c>
      <c r="N67" s="173">
        <f t="shared" si="46"/>
        <v>1.0617622799999999</v>
      </c>
      <c r="O67" s="173">
        <f t="shared" si="46"/>
        <v>1.0617622799999999</v>
      </c>
      <c r="P67" s="173">
        <f t="shared" si="46"/>
        <v>1.0617622799999999</v>
      </c>
      <c r="Q67" s="173">
        <f t="shared" si="46"/>
        <v>1.0617622799999999</v>
      </c>
      <c r="R67" s="173">
        <f t="shared" si="46"/>
        <v>1.0617622799999999</v>
      </c>
    </row>
    <row r="68" spans="3:20" x14ac:dyDescent="0.3">
      <c r="J68" s="140" t="s">
        <v>99</v>
      </c>
      <c r="L68" s="297">
        <v>2.3559999999999999</v>
      </c>
      <c r="M68" s="173">
        <f t="shared" si="46"/>
        <v>2.3559999999999999</v>
      </c>
      <c r="N68" s="173">
        <f t="shared" si="46"/>
        <v>2.3559999999999999</v>
      </c>
      <c r="O68" s="173">
        <f t="shared" si="46"/>
        <v>2.3559999999999999</v>
      </c>
      <c r="P68" s="173">
        <f t="shared" si="46"/>
        <v>2.3559999999999999</v>
      </c>
      <c r="Q68" s="173">
        <f t="shared" si="46"/>
        <v>2.3559999999999999</v>
      </c>
      <c r="R68" s="173">
        <f t="shared" si="46"/>
        <v>2.3559999999999999</v>
      </c>
    </row>
    <row r="69" spans="3:20" x14ac:dyDescent="0.3">
      <c r="J69" s="140" t="s">
        <v>118</v>
      </c>
      <c r="L69" s="297">
        <v>-1.571</v>
      </c>
      <c r="M69" s="173">
        <v>0.09</v>
      </c>
      <c r="N69" s="173">
        <v>0</v>
      </c>
      <c r="O69" s="173">
        <v>0</v>
      </c>
      <c r="P69" s="173">
        <v>0</v>
      </c>
      <c r="Q69" s="173">
        <v>0</v>
      </c>
      <c r="R69" s="173">
        <v>0</v>
      </c>
    </row>
    <row r="70" spans="3:20" x14ac:dyDescent="0.3">
      <c r="J70" s="50" t="s">
        <v>100</v>
      </c>
      <c r="K70" s="50"/>
      <c r="L70" s="298">
        <f t="shared" ref="L70:R70" si="47">SUM(L60:L69)</f>
        <v>7.4190004666666667</v>
      </c>
      <c r="M70" s="174">
        <f t="shared" si="47"/>
        <v>9.6727622800000006</v>
      </c>
      <c r="N70" s="174">
        <f t="shared" si="47"/>
        <v>11.42676228</v>
      </c>
      <c r="O70" s="174">
        <f t="shared" si="47"/>
        <v>12.17212878059328</v>
      </c>
      <c r="P70" s="174">
        <f t="shared" si="47"/>
        <v>12.011868993613863</v>
      </c>
      <c r="Q70" s="174">
        <f t="shared" si="47"/>
        <v>11.944797257481033</v>
      </c>
      <c r="R70" s="174">
        <f t="shared" si="47"/>
        <v>12.384945199527206</v>
      </c>
      <c r="T70" s="65"/>
    </row>
    <row r="71" spans="3:20" x14ac:dyDescent="0.3">
      <c r="J71" s="144" t="s">
        <v>86</v>
      </c>
      <c r="K71" s="50"/>
      <c r="L71" s="300">
        <f>L70*stub1h24</f>
        <v>5.56425035</v>
      </c>
      <c r="M71" s="174"/>
      <c r="N71" s="174"/>
      <c r="O71" s="174"/>
      <c r="P71" s="174"/>
      <c r="Q71" s="174"/>
      <c r="R71" s="174"/>
    </row>
    <row r="72" spans="3:20" x14ac:dyDescent="0.3">
      <c r="J72" s="180" t="s">
        <v>33</v>
      </c>
      <c r="K72" s="48"/>
      <c r="L72" s="297">
        <v>5.22</v>
      </c>
      <c r="M72" s="187"/>
      <c r="N72" s="187"/>
      <c r="O72" s="187"/>
      <c r="P72" s="187"/>
      <c r="Q72" s="187"/>
      <c r="R72" s="187"/>
    </row>
    <row r="73" spans="3:20" x14ac:dyDescent="0.3">
      <c r="J73" s="180" t="s">
        <v>191</v>
      </c>
      <c r="K73" s="48"/>
      <c r="L73" s="297"/>
      <c r="M73" s="187"/>
      <c r="N73" s="187">
        <v>-0.5</v>
      </c>
      <c r="O73" s="187"/>
      <c r="P73" s="187"/>
      <c r="Q73" s="187"/>
      <c r="R73" s="187"/>
    </row>
    <row r="74" spans="3:20" ht="14.5" thickBot="1" x14ac:dyDescent="0.35">
      <c r="C74" s="23" t="s">
        <v>119</v>
      </c>
      <c r="H74" s="23" t="s">
        <v>78</v>
      </c>
      <c r="J74" s="207" t="s">
        <v>120</v>
      </c>
      <c r="K74" s="208"/>
      <c r="L74" s="302">
        <f>SUM(L71,L58,L72)</f>
        <v>19.24647435</v>
      </c>
      <c r="M74" s="209">
        <f>SUM(M57,M70,M73)</f>
        <v>20.472702888000001</v>
      </c>
      <c r="N74" s="209">
        <f t="shared" ref="N74:R74" si="48">SUM(N57,N70,N73)</f>
        <v>23.365871728959998</v>
      </c>
      <c r="O74" s="209">
        <f t="shared" si="48"/>
        <v>24.975894779057278</v>
      </c>
      <c r="P74" s="209">
        <f t="shared" si="48"/>
        <v>25.21141622283114</v>
      </c>
      <c r="Q74" s="209">
        <f t="shared" si="48"/>
        <v>25.618464089747683</v>
      </c>
      <c r="R74" s="209">
        <f t="shared" si="48"/>
        <v>26.332085368439188</v>
      </c>
      <c r="S74" s="65"/>
      <c r="T74" s="65"/>
    </row>
    <row r="75" spans="3:20" ht="15" thickTop="1" x14ac:dyDescent="0.35">
      <c r="C75" s="151">
        <v>0</v>
      </c>
      <c r="D75" s="132" t="s">
        <v>121</v>
      </c>
      <c r="J75" s="49" t="s">
        <v>122</v>
      </c>
      <c r="M75" s="173">
        <f>IF($C$75=1,-3,0)</f>
        <v>0</v>
      </c>
      <c r="N75" s="173">
        <f>IF($C$75=1,-5,0)</f>
        <v>0</v>
      </c>
      <c r="O75" s="173">
        <f>IF($C$75=1,-5,0)</f>
        <v>0</v>
      </c>
      <c r="P75" s="173">
        <f>IF($C$75=1,-5,0)</f>
        <v>0</v>
      </c>
      <c r="Q75" s="173">
        <f>IF($C$75=1,-5,0)</f>
        <v>0</v>
      </c>
      <c r="R75" s="173">
        <f>IF($C$75=1,-5,0)</f>
        <v>0</v>
      </c>
    </row>
    <row r="76" spans="3:20" x14ac:dyDescent="0.3">
      <c r="J76" s="50" t="s">
        <v>123</v>
      </c>
      <c r="K76" s="50"/>
      <c r="L76" s="298">
        <f t="shared" ref="L76:R76" si="49">L74+L75</f>
        <v>19.24647435</v>
      </c>
      <c r="M76" s="174">
        <f t="shared" si="49"/>
        <v>20.472702888000001</v>
      </c>
      <c r="N76" s="174">
        <f t="shared" si="49"/>
        <v>23.365871728959998</v>
      </c>
      <c r="O76" s="174">
        <f t="shared" si="49"/>
        <v>24.975894779057278</v>
      </c>
      <c r="P76" s="174">
        <f t="shared" si="49"/>
        <v>25.21141622283114</v>
      </c>
      <c r="Q76" s="174">
        <f t="shared" si="49"/>
        <v>25.618464089747683</v>
      </c>
      <c r="R76" s="174">
        <f t="shared" si="49"/>
        <v>26.332085368439188</v>
      </c>
    </row>
    <row r="77" spans="3:20" x14ac:dyDescent="0.3">
      <c r="L77" s="307"/>
      <c r="M77" s="189"/>
      <c r="N77" s="189"/>
      <c r="O77" s="189"/>
      <c r="P77" s="189"/>
      <c r="Q77" s="189"/>
      <c r="R77" s="189"/>
    </row>
    <row r="78" spans="3:20" x14ac:dyDescent="0.3">
      <c r="H78" s="23" t="s">
        <v>78</v>
      </c>
      <c r="J78" s="190" t="s">
        <v>17</v>
      </c>
      <c r="K78" s="191"/>
      <c r="M78" s="191"/>
      <c r="N78" s="191"/>
      <c r="O78" s="191"/>
      <c r="P78" s="191"/>
      <c r="Q78" s="191"/>
      <c r="R78" s="191"/>
    </row>
    <row r="79" spans="3:20" x14ac:dyDescent="0.3">
      <c r="J79" s="152"/>
      <c r="K79" s="51"/>
      <c r="L79" s="295"/>
      <c r="M79" s="51"/>
      <c r="N79" s="51"/>
      <c r="O79" s="51"/>
      <c r="P79" s="51"/>
      <c r="Q79" s="51"/>
      <c r="R79" s="51"/>
    </row>
    <row r="80" spans="3:20" x14ac:dyDescent="0.3">
      <c r="C80" s="42">
        <f t="shared" ref="C80:C84" si="50">D80/(1+$D$2)</f>
        <v>345612</v>
      </c>
      <c r="D80" s="153">
        <v>432015</v>
      </c>
      <c r="E80" s="41"/>
      <c r="F80" s="41"/>
      <c r="G80" s="41"/>
      <c r="J80" s="140" t="s">
        <v>124</v>
      </c>
      <c r="L80" s="290">
        <v>8</v>
      </c>
      <c r="M80" s="49">
        <v>5</v>
      </c>
      <c r="N80" s="49">
        <f>M80</f>
        <v>5</v>
      </c>
      <c r="O80" s="49">
        <f t="shared" ref="O80:R81" si="51">+N80</f>
        <v>5</v>
      </c>
      <c r="P80" s="49">
        <f t="shared" si="51"/>
        <v>5</v>
      </c>
      <c r="Q80" s="49">
        <f t="shared" si="51"/>
        <v>5</v>
      </c>
      <c r="R80" s="49">
        <f t="shared" si="51"/>
        <v>5</v>
      </c>
    </row>
    <row r="81" spans="3:18" x14ac:dyDescent="0.3">
      <c r="C81" s="42">
        <f t="shared" si="50"/>
        <v>215300</v>
      </c>
      <c r="D81" s="153">
        <v>269125</v>
      </c>
      <c r="E81" s="41"/>
      <c r="F81" s="41"/>
      <c r="G81" s="41"/>
      <c r="J81" s="140" t="s">
        <v>125</v>
      </c>
      <c r="L81" s="290">
        <v>2</v>
      </c>
      <c r="M81" s="49">
        <f>+L81</f>
        <v>2</v>
      </c>
      <c r="N81" s="49">
        <f>+M81</f>
        <v>2</v>
      </c>
      <c r="O81" s="49">
        <f t="shared" si="51"/>
        <v>2</v>
      </c>
      <c r="P81" s="49">
        <f t="shared" si="51"/>
        <v>2</v>
      </c>
      <c r="Q81" s="49">
        <f t="shared" si="51"/>
        <v>2</v>
      </c>
      <c r="R81" s="49">
        <f t="shared" si="51"/>
        <v>2</v>
      </c>
    </row>
    <row r="82" spans="3:18" x14ac:dyDescent="0.3">
      <c r="C82" s="42">
        <f t="shared" si="50"/>
        <v>237619.20000000001</v>
      </c>
      <c r="D82" s="153">
        <v>297024</v>
      </c>
      <c r="E82" s="41"/>
      <c r="F82" s="41"/>
      <c r="G82" s="41"/>
      <c r="J82" s="140" t="s">
        <v>126</v>
      </c>
      <c r="L82" s="290">
        <v>1</v>
      </c>
      <c r="M82" s="49">
        <v>0</v>
      </c>
      <c r="N82" s="49">
        <v>0</v>
      </c>
      <c r="O82" s="49">
        <v>0</v>
      </c>
      <c r="P82" s="49">
        <f>IF($C$75=1,0,M82)</f>
        <v>0</v>
      </c>
      <c r="Q82" s="49">
        <f>IF($C$75=1,0,N82)</f>
        <v>0</v>
      </c>
      <c r="R82" s="49">
        <f>IF($C$75=1,0,O82)</f>
        <v>0</v>
      </c>
    </row>
    <row r="83" spans="3:18" x14ac:dyDescent="0.3">
      <c r="C83" s="42">
        <f t="shared" si="50"/>
        <v>60464.800000000003</v>
      </c>
      <c r="D83" s="153">
        <v>75581</v>
      </c>
      <c r="E83" s="41"/>
      <c r="F83" s="41"/>
      <c r="G83" s="41"/>
      <c r="J83" s="140" t="s">
        <v>127</v>
      </c>
      <c r="L83" s="290">
        <v>3</v>
      </c>
      <c r="M83" s="49">
        <v>3</v>
      </c>
      <c r="N83" s="49">
        <f>+M83</f>
        <v>3</v>
      </c>
      <c r="O83" s="49">
        <f>N83+1</f>
        <v>4</v>
      </c>
      <c r="P83" s="49">
        <f>+O83</f>
        <v>4</v>
      </c>
      <c r="Q83" s="49">
        <f>+P83</f>
        <v>4</v>
      </c>
      <c r="R83" s="49">
        <f>+Q83</f>
        <v>4</v>
      </c>
    </row>
    <row r="84" spans="3:18" x14ac:dyDescent="0.3">
      <c r="C84" s="42">
        <f t="shared" si="50"/>
        <v>29513.599999999999</v>
      </c>
      <c r="D84" s="153">
        <v>36892</v>
      </c>
      <c r="E84" s="41"/>
      <c r="F84" s="41"/>
      <c r="G84" s="41"/>
      <c r="J84" s="140" t="s">
        <v>128</v>
      </c>
      <c r="L84" s="290">
        <v>1</v>
      </c>
      <c r="M84" s="49">
        <v>0</v>
      </c>
      <c r="N84" s="49">
        <v>0</v>
      </c>
      <c r="O84" s="49">
        <v>0</v>
      </c>
      <c r="P84" s="49">
        <f>IF($C$75=1,0,M84)</f>
        <v>0</v>
      </c>
      <c r="Q84" s="49">
        <f>IF($C$75=1,0,N84)</f>
        <v>0</v>
      </c>
      <c r="R84" s="49">
        <f>IF($C$75=1,0,O84)</f>
        <v>0</v>
      </c>
    </row>
    <row r="85" spans="3:18" x14ac:dyDescent="0.3">
      <c r="C85" s="42"/>
      <c r="D85" s="44"/>
      <c r="J85" s="154" t="s">
        <v>129</v>
      </c>
    </row>
    <row r="86" spans="3:18" x14ac:dyDescent="0.3">
      <c r="C86" s="42">
        <f t="shared" ref="C86:C90" si="52">D86/(1+$D$2)</f>
        <v>71513.46666666666</v>
      </c>
      <c r="D86" s="155">
        <f>+D87</f>
        <v>89391.833333333328</v>
      </c>
      <c r="E86" s="41"/>
      <c r="F86" s="41"/>
      <c r="G86" s="41"/>
      <c r="J86" s="140" t="s">
        <v>130</v>
      </c>
      <c r="L86" s="290">
        <v>1</v>
      </c>
      <c r="M86" s="49">
        <f>+L86</f>
        <v>1</v>
      </c>
      <c r="N86" s="49">
        <v>1</v>
      </c>
      <c r="O86" s="49">
        <f>+N86+1</f>
        <v>2</v>
      </c>
      <c r="P86" s="49">
        <f t="shared" ref="P86" si="53">+O86+1</f>
        <v>3</v>
      </c>
      <c r="Q86" s="49">
        <f>P86</f>
        <v>3</v>
      </c>
      <c r="R86" s="49">
        <f>Q86</f>
        <v>3</v>
      </c>
    </row>
    <row r="87" spans="3:18" x14ac:dyDescent="0.3">
      <c r="C87" s="42">
        <f t="shared" si="52"/>
        <v>71513.46666666666</v>
      </c>
      <c r="D87" s="153">
        <v>89391.833333333328</v>
      </c>
      <c r="E87" s="41"/>
      <c r="F87" s="41"/>
      <c r="G87" s="41"/>
      <c r="J87" s="140" t="s">
        <v>196</v>
      </c>
      <c r="L87" s="290">
        <v>3</v>
      </c>
      <c r="M87" s="49">
        <v>4</v>
      </c>
      <c r="N87" s="49">
        <v>4</v>
      </c>
      <c r="O87" s="49">
        <f>+N87+1</f>
        <v>5</v>
      </c>
      <c r="P87" s="49">
        <f>+O87+1</f>
        <v>6</v>
      </c>
      <c r="Q87" s="49">
        <f>P87</f>
        <v>6</v>
      </c>
      <c r="R87" s="49">
        <f>Q87</f>
        <v>6</v>
      </c>
    </row>
    <row r="88" spans="3:18" x14ac:dyDescent="0.3">
      <c r="C88" s="42">
        <f t="shared" si="52"/>
        <v>71513.46666666666</v>
      </c>
      <c r="D88" s="153">
        <v>89391.833333333328</v>
      </c>
      <c r="E88" s="41"/>
      <c r="F88" s="41"/>
      <c r="G88" s="41"/>
      <c r="J88" s="140" t="s">
        <v>131</v>
      </c>
      <c r="L88" s="290">
        <v>3</v>
      </c>
      <c r="M88" s="49">
        <v>2</v>
      </c>
      <c r="N88" s="49">
        <f t="shared" ref="N88:R90" si="54">+M88</f>
        <v>2</v>
      </c>
      <c r="O88" s="49">
        <f t="shared" si="54"/>
        <v>2</v>
      </c>
      <c r="P88" s="49">
        <f t="shared" si="54"/>
        <v>2</v>
      </c>
      <c r="Q88" s="49">
        <f t="shared" si="54"/>
        <v>2</v>
      </c>
      <c r="R88" s="49">
        <f t="shared" si="54"/>
        <v>2</v>
      </c>
    </row>
    <row r="89" spans="3:18" x14ac:dyDescent="0.3">
      <c r="C89" s="42">
        <f t="shared" si="52"/>
        <v>88800</v>
      </c>
      <c r="D89" s="153">
        <v>111000</v>
      </c>
      <c r="E89" s="41"/>
      <c r="F89" s="41"/>
      <c r="G89" s="41"/>
      <c r="J89" s="140" t="s">
        <v>132</v>
      </c>
      <c r="L89" s="290">
        <v>2</v>
      </c>
      <c r="M89" s="49">
        <v>3</v>
      </c>
      <c r="N89" s="49">
        <v>5</v>
      </c>
      <c r="O89" s="49">
        <f t="shared" si="54"/>
        <v>5</v>
      </c>
      <c r="P89" s="49">
        <f t="shared" si="54"/>
        <v>5</v>
      </c>
      <c r="Q89" s="49">
        <f t="shared" si="54"/>
        <v>5</v>
      </c>
      <c r="R89" s="49">
        <f t="shared" si="54"/>
        <v>5</v>
      </c>
    </row>
    <row r="90" spans="3:18" x14ac:dyDescent="0.3">
      <c r="C90" s="42">
        <f t="shared" si="52"/>
        <v>77441.600000000006</v>
      </c>
      <c r="D90" s="153">
        <v>96802</v>
      </c>
      <c r="E90" s="41"/>
      <c r="F90" s="41"/>
      <c r="G90" s="41"/>
      <c r="J90" s="140" t="s">
        <v>133</v>
      </c>
      <c r="L90" s="290">
        <v>3</v>
      </c>
      <c r="M90" s="49">
        <v>0</v>
      </c>
      <c r="N90" s="49">
        <f t="shared" si="54"/>
        <v>0</v>
      </c>
      <c r="O90" s="49">
        <f t="shared" si="54"/>
        <v>0</v>
      </c>
      <c r="P90" s="49">
        <f t="shared" si="54"/>
        <v>0</v>
      </c>
      <c r="Q90" s="49">
        <f t="shared" si="54"/>
        <v>0</v>
      </c>
      <c r="R90" s="49">
        <f t="shared" si="54"/>
        <v>0</v>
      </c>
    </row>
    <row r="91" spans="3:18" x14ac:dyDescent="0.3">
      <c r="C91" s="42"/>
      <c r="D91" s="156"/>
      <c r="E91" s="41"/>
      <c r="F91" s="41"/>
      <c r="G91" s="41"/>
      <c r="J91" s="154" t="s">
        <v>134</v>
      </c>
    </row>
    <row r="92" spans="3:18" x14ac:dyDescent="0.3">
      <c r="C92" s="42">
        <f t="shared" ref="C92:C106" si="55">D92/(1+$D$2)</f>
        <v>114415.2</v>
      </c>
      <c r="D92" s="153">
        <v>143019</v>
      </c>
      <c r="E92" s="41"/>
      <c r="F92" s="41"/>
      <c r="G92" s="41"/>
      <c r="J92" s="140" t="s">
        <v>135</v>
      </c>
      <c r="L92" s="290">
        <v>1</v>
      </c>
      <c r="M92" s="49">
        <f>+L92</f>
        <v>1</v>
      </c>
      <c r="N92" s="49">
        <v>1</v>
      </c>
      <c r="O92" s="49">
        <f>+N92+1</f>
        <v>2</v>
      </c>
      <c r="P92" s="49">
        <f>O92</f>
        <v>2</v>
      </c>
      <c r="Q92" s="49">
        <f>P92</f>
        <v>2</v>
      </c>
      <c r="R92" s="49">
        <f>+Q92+1</f>
        <v>3</v>
      </c>
    </row>
    <row r="93" spans="3:18" x14ac:dyDescent="0.3">
      <c r="C93" s="42"/>
      <c r="J93" s="154" t="s">
        <v>136</v>
      </c>
    </row>
    <row r="94" spans="3:18" x14ac:dyDescent="0.3">
      <c r="C94" s="42">
        <f t="shared" si="55"/>
        <v>130096.8</v>
      </c>
      <c r="D94" s="153">
        <v>162621</v>
      </c>
      <c r="E94" s="41"/>
      <c r="F94" s="41"/>
      <c r="G94" s="41"/>
      <c r="J94" s="140" t="s">
        <v>137</v>
      </c>
      <c r="L94" s="290">
        <v>1</v>
      </c>
      <c r="M94" s="49">
        <v>1</v>
      </c>
      <c r="N94" s="49">
        <v>1</v>
      </c>
      <c r="O94" s="49">
        <v>1</v>
      </c>
      <c r="P94" s="49">
        <v>1</v>
      </c>
      <c r="Q94" s="49">
        <v>1</v>
      </c>
      <c r="R94" s="49">
        <v>1</v>
      </c>
    </row>
    <row r="95" spans="3:18" x14ac:dyDescent="0.3">
      <c r="C95" s="42">
        <f t="shared" si="55"/>
        <v>65932.800000000003</v>
      </c>
      <c r="D95" s="153">
        <v>82416</v>
      </c>
      <c r="E95" s="41"/>
      <c r="F95" s="41"/>
      <c r="G95" s="41"/>
      <c r="J95" s="140" t="s">
        <v>138</v>
      </c>
      <c r="L95" s="290">
        <v>1</v>
      </c>
      <c r="M95" s="49">
        <v>1</v>
      </c>
      <c r="N95" s="49">
        <v>1</v>
      </c>
      <c r="O95" s="49">
        <f>+N95+1</f>
        <v>2</v>
      </c>
      <c r="P95" s="49">
        <f t="shared" ref="P95:R96" si="56">O95</f>
        <v>2</v>
      </c>
      <c r="Q95" s="49">
        <f t="shared" si="56"/>
        <v>2</v>
      </c>
      <c r="R95" s="49">
        <f t="shared" si="56"/>
        <v>2</v>
      </c>
    </row>
    <row r="96" spans="3:18" x14ac:dyDescent="0.3">
      <c r="C96" s="42">
        <f t="shared" si="55"/>
        <v>75148</v>
      </c>
      <c r="D96" s="153">
        <v>93935</v>
      </c>
      <c r="E96" s="41"/>
      <c r="F96" s="41"/>
      <c r="G96" s="41"/>
      <c r="J96" s="140" t="s">
        <v>197</v>
      </c>
      <c r="M96" s="49">
        <v>2</v>
      </c>
      <c r="N96" s="49">
        <f>M96</f>
        <v>2</v>
      </c>
      <c r="O96" s="49">
        <f>N96</f>
        <v>2</v>
      </c>
      <c r="P96" s="49">
        <f t="shared" si="56"/>
        <v>2</v>
      </c>
      <c r="Q96" s="49">
        <f t="shared" si="56"/>
        <v>2</v>
      </c>
      <c r="R96" s="49">
        <f t="shared" si="56"/>
        <v>2</v>
      </c>
    </row>
    <row r="97" spans="3:21" x14ac:dyDescent="0.3">
      <c r="C97" s="42">
        <f t="shared" si="55"/>
        <v>49769.599999999999</v>
      </c>
      <c r="D97" s="153">
        <v>62212</v>
      </c>
      <c r="E97" s="41"/>
      <c r="F97" s="41"/>
      <c r="G97" s="41"/>
      <c r="J97" s="140" t="s">
        <v>133</v>
      </c>
      <c r="L97" s="290">
        <v>1</v>
      </c>
      <c r="M97" s="49">
        <v>0</v>
      </c>
      <c r="N97" s="49">
        <f>+M97</f>
        <v>0</v>
      </c>
      <c r="O97" s="49">
        <f>+N97</f>
        <v>0</v>
      </c>
      <c r="P97" s="49">
        <f>+O97</f>
        <v>0</v>
      </c>
      <c r="Q97" s="49">
        <f>+P97</f>
        <v>0</v>
      </c>
      <c r="R97" s="49">
        <f>+Q97</f>
        <v>0</v>
      </c>
    </row>
    <row r="98" spans="3:21" x14ac:dyDescent="0.3">
      <c r="C98" s="42"/>
      <c r="J98" s="154" t="s">
        <v>139</v>
      </c>
    </row>
    <row r="99" spans="3:21" x14ac:dyDescent="0.3">
      <c r="C99" s="42">
        <f t="shared" si="55"/>
        <v>108311.28</v>
      </c>
      <c r="D99" s="153">
        <v>135389.1</v>
      </c>
      <c r="E99" s="41"/>
      <c r="F99" s="41"/>
      <c r="G99" s="41"/>
      <c r="J99" s="140" t="s">
        <v>140</v>
      </c>
      <c r="L99" s="290">
        <v>1</v>
      </c>
      <c r="M99" s="49">
        <v>0</v>
      </c>
      <c r="N99" s="49">
        <f>+M99</f>
        <v>0</v>
      </c>
      <c r="O99" s="49">
        <f>+N99</f>
        <v>0</v>
      </c>
      <c r="P99" s="49">
        <f>+O99</f>
        <v>0</v>
      </c>
      <c r="Q99" s="49">
        <f>+P99</f>
        <v>0</v>
      </c>
      <c r="R99" s="49">
        <f>+Q99</f>
        <v>0</v>
      </c>
    </row>
    <row r="100" spans="3:21" x14ac:dyDescent="0.3">
      <c r="C100" s="42">
        <f t="shared" si="55"/>
        <v>84242.106666666659</v>
      </c>
      <c r="D100" s="153">
        <v>105302.63333333332</v>
      </c>
      <c r="E100" s="41"/>
      <c r="F100" s="41"/>
      <c r="G100" s="41"/>
      <c r="J100" s="140" t="s">
        <v>232</v>
      </c>
      <c r="L100" s="290">
        <v>3</v>
      </c>
      <c r="M100" s="49">
        <v>0</v>
      </c>
      <c r="N100" s="49">
        <v>0</v>
      </c>
      <c r="O100" s="49">
        <f>+N100+1</f>
        <v>1</v>
      </c>
      <c r="P100" s="49">
        <f>+O100+1</f>
        <v>2</v>
      </c>
      <c r="Q100" s="49">
        <f>P100</f>
        <v>2</v>
      </c>
      <c r="R100" s="49">
        <f>Q100</f>
        <v>2</v>
      </c>
    </row>
    <row r="101" spans="3:21" x14ac:dyDescent="0.3">
      <c r="C101" s="42">
        <f t="shared" si="55"/>
        <v>96000</v>
      </c>
      <c r="D101" s="157">
        <v>120000</v>
      </c>
      <c r="E101" s="41"/>
      <c r="F101" s="41"/>
      <c r="G101" s="41"/>
      <c r="J101" s="140" t="s">
        <v>141</v>
      </c>
      <c r="L101" s="290">
        <v>0</v>
      </c>
      <c r="M101" s="49">
        <v>4</v>
      </c>
      <c r="N101" s="49">
        <f>+M101+1</f>
        <v>5</v>
      </c>
      <c r="O101" s="49">
        <f>+N101+1</f>
        <v>6</v>
      </c>
      <c r="P101" s="49">
        <f>O101</f>
        <v>6</v>
      </c>
      <c r="Q101" s="49">
        <f>P101</f>
        <v>6</v>
      </c>
      <c r="R101" s="49">
        <f>Q101</f>
        <v>6</v>
      </c>
    </row>
    <row r="102" spans="3:21" x14ac:dyDescent="0.3">
      <c r="C102" s="42">
        <f t="shared" si="55"/>
        <v>52800</v>
      </c>
      <c r="D102" s="153">
        <v>66000</v>
      </c>
      <c r="E102" s="41"/>
      <c r="F102" s="41"/>
      <c r="G102" s="41"/>
      <c r="J102" s="140" t="s">
        <v>142</v>
      </c>
      <c r="L102" s="290">
        <v>2</v>
      </c>
      <c r="M102" s="49">
        <f t="shared" ref="M102" si="57">+L102</f>
        <v>2</v>
      </c>
      <c r="N102" s="49">
        <v>2</v>
      </c>
      <c r="O102" s="49">
        <f>+N102</f>
        <v>2</v>
      </c>
      <c r="P102" s="49">
        <f>+O102</f>
        <v>2</v>
      </c>
      <c r="Q102" s="49">
        <f>+P102</f>
        <v>2</v>
      </c>
      <c r="R102" s="49">
        <f>+Q102</f>
        <v>2</v>
      </c>
    </row>
    <row r="103" spans="3:21" x14ac:dyDescent="0.3">
      <c r="C103" s="42"/>
      <c r="D103" s="41"/>
      <c r="E103" s="41"/>
      <c r="F103" s="41"/>
      <c r="G103" s="41"/>
      <c r="J103" s="154" t="s">
        <v>144</v>
      </c>
    </row>
    <row r="104" spans="3:21" x14ac:dyDescent="0.3">
      <c r="C104" s="42">
        <f t="shared" si="55"/>
        <v>100877.75999999999</v>
      </c>
      <c r="D104" s="153">
        <v>126097.2</v>
      </c>
      <c r="E104" s="41"/>
      <c r="F104" s="41"/>
      <c r="G104" s="41"/>
      <c r="J104" s="140" t="s">
        <v>145</v>
      </c>
      <c r="L104" s="290">
        <v>5</v>
      </c>
    </row>
    <row r="105" spans="3:21" x14ac:dyDescent="0.3">
      <c r="C105" s="42">
        <f t="shared" si="55"/>
        <v>40488</v>
      </c>
      <c r="D105" s="153">
        <v>50610</v>
      </c>
      <c r="E105" s="41"/>
      <c r="F105" s="41"/>
      <c r="G105" s="41"/>
      <c r="J105" s="140" t="s">
        <v>146</v>
      </c>
      <c r="L105" s="290">
        <v>12</v>
      </c>
    </row>
    <row r="106" spans="3:21" x14ac:dyDescent="0.3">
      <c r="C106" s="42">
        <f t="shared" si="55"/>
        <v>40954.400000000001</v>
      </c>
      <c r="D106" s="153">
        <v>51193</v>
      </c>
      <c r="E106" s="41"/>
      <c r="F106" s="41"/>
      <c r="G106" s="41"/>
      <c r="J106" s="140" t="s">
        <v>147</v>
      </c>
      <c r="L106" s="290">
        <v>3</v>
      </c>
      <c r="M106" s="49">
        <v>4</v>
      </c>
      <c r="N106" s="49">
        <v>4</v>
      </c>
      <c r="O106" s="49">
        <f>+N106+1</f>
        <v>5</v>
      </c>
      <c r="P106" s="49">
        <f>O106</f>
        <v>5</v>
      </c>
      <c r="Q106" s="49">
        <f>+P106+1</f>
        <v>6</v>
      </c>
      <c r="R106" s="49">
        <f>+Q106+1</f>
        <v>7</v>
      </c>
    </row>
    <row r="107" spans="3:21" x14ac:dyDescent="0.3">
      <c r="J107" s="158" t="s">
        <v>148</v>
      </c>
      <c r="K107" s="51"/>
      <c r="L107" s="296">
        <f t="shared" ref="L107:R107" si="58">SUM(L80:L106)</f>
        <v>57</v>
      </c>
      <c r="M107" s="50">
        <f t="shared" si="58"/>
        <v>35</v>
      </c>
      <c r="N107" s="50">
        <f t="shared" si="58"/>
        <v>38</v>
      </c>
      <c r="O107" s="50">
        <f t="shared" si="58"/>
        <v>46</v>
      </c>
      <c r="P107" s="50">
        <f t="shared" si="58"/>
        <v>49</v>
      </c>
      <c r="Q107" s="50">
        <f t="shared" si="58"/>
        <v>50</v>
      </c>
      <c r="R107" s="50">
        <f t="shared" si="58"/>
        <v>52</v>
      </c>
    </row>
    <row r="108" spans="3:21" x14ac:dyDescent="0.3">
      <c r="J108" s="159" t="s">
        <v>149</v>
      </c>
      <c r="L108" s="306">
        <f t="shared" ref="L108:R108" si="59">SUMPRODUCT($D80:$D106,L80:L106)*L$2/10^6</f>
        <v>8.1181278333333324</v>
      </c>
      <c r="M108" s="187">
        <f t="shared" si="59"/>
        <v>5.3820390100000006</v>
      </c>
      <c r="N108" s="187">
        <f t="shared" si="59"/>
        <v>5.8454965902000007</v>
      </c>
      <c r="O108" s="187">
        <f t="shared" si="59"/>
        <v>6.7649931447264002</v>
      </c>
      <c r="P108" s="187">
        <f t="shared" si="59"/>
        <v>7.2077971549563351</v>
      </c>
      <c r="Q108" s="187">
        <f t="shared" si="59"/>
        <v>7.4084743066136802</v>
      </c>
      <c r="R108" s="187">
        <f t="shared" si="59"/>
        <v>7.7753580485160541</v>
      </c>
    </row>
    <row r="109" spans="3:21" x14ac:dyDescent="0.3">
      <c r="D109" s="137">
        <v>1</v>
      </c>
      <c r="E109" s="137">
        <v>1</v>
      </c>
      <c r="F109" s="137">
        <v>1</v>
      </c>
      <c r="G109" s="137">
        <v>1</v>
      </c>
      <c r="J109" s="160" t="s">
        <v>111</v>
      </c>
      <c r="L109" s="297">
        <f>SUMPRODUCT($C80:$C106,L80:L106)/12*D109*L$2/10^6</f>
        <v>0.54120852222222215</v>
      </c>
      <c r="M109" s="173">
        <f>SUMPRODUCT($C80:$C106,M80:M106)/12*E109*M$2/10^6</f>
        <v>0.35880260066666664</v>
      </c>
      <c r="N109" s="173">
        <f>SUMPRODUCT($C80:$C106,N80:N106)/12*F109*N$2/10^6</f>
        <v>0.38969977267999995</v>
      </c>
      <c r="O109" s="173">
        <f>SUMPRODUCT($C80:$C106,O80:O106)/12*$G$109*O$2/10^6</f>
        <v>0.45099954298175998</v>
      </c>
      <c r="P109" s="173">
        <f>SUMPRODUCT($C80:$C106,P80:P106)/12*$G$109*P$2/10^6</f>
        <v>0.48051981033042229</v>
      </c>
      <c r="Q109" s="173">
        <f>SUMPRODUCT($C80:$C106,Q80:Q106)/12*$G$109*Q$2/10^6</f>
        <v>0.49389828710757866</v>
      </c>
      <c r="R109" s="173">
        <f>SUMPRODUCT($C80:$C106,R80:R106)/12*$G$109*R$2/10^6</f>
        <v>0.51835720323440349</v>
      </c>
      <c r="S109" s="125"/>
      <c r="U109" s="65"/>
    </row>
    <row r="110" spans="3:21" x14ac:dyDescent="0.3">
      <c r="J110" s="159" t="s">
        <v>150</v>
      </c>
      <c r="L110" s="306">
        <f>SUM(L108:L109)</f>
        <v>8.6593363555555545</v>
      </c>
      <c r="M110" s="187">
        <f t="shared" ref="M110:O110" si="60">SUM(M108:M109)</f>
        <v>5.7408416106666671</v>
      </c>
      <c r="N110" s="187">
        <f t="shared" si="60"/>
        <v>6.2351963628800009</v>
      </c>
      <c r="O110" s="187">
        <f t="shared" si="60"/>
        <v>7.2159926877081606</v>
      </c>
      <c r="P110" s="187">
        <f t="shared" ref="P110:Q110" si="61">SUM(P108:P109)</f>
        <v>7.6883169652867576</v>
      </c>
      <c r="Q110" s="187">
        <f t="shared" si="61"/>
        <v>7.9023725937212586</v>
      </c>
      <c r="R110" s="187">
        <f t="shared" ref="R110" si="62">SUM(R108:R109)</f>
        <v>8.2937152517504575</v>
      </c>
    </row>
    <row r="111" spans="3:21" x14ac:dyDescent="0.3">
      <c r="J111" s="161" t="s">
        <v>86</v>
      </c>
      <c r="K111" s="51"/>
      <c r="L111" s="300">
        <f>L110*stub1h24</f>
        <v>6.4945022666666663</v>
      </c>
      <c r="M111" s="176"/>
      <c r="N111" s="176"/>
      <c r="O111" s="176"/>
      <c r="P111" s="176"/>
      <c r="Q111" s="176"/>
      <c r="R111" s="176"/>
    </row>
    <row r="112" spans="3:21" x14ac:dyDescent="0.3">
      <c r="D112" s="149">
        <v>0.05</v>
      </c>
      <c r="E112" s="23" t="s">
        <v>151</v>
      </c>
      <c r="J112" s="138" t="s">
        <v>152</v>
      </c>
      <c r="K112" s="51"/>
      <c r="L112" s="300">
        <v>2.5</v>
      </c>
      <c r="M112" s="176">
        <v>0.81899999999999995</v>
      </c>
      <c r="N112" s="176">
        <v>0.64400000000000002</v>
      </c>
      <c r="O112" s="176">
        <f t="shared" ref="O112:R115" si="63">N112*(1+$D112)</f>
        <v>0.67620000000000002</v>
      </c>
      <c r="P112" s="176">
        <f t="shared" si="63"/>
        <v>0.71001000000000003</v>
      </c>
      <c r="Q112" s="176">
        <f t="shared" si="63"/>
        <v>0.74551050000000008</v>
      </c>
      <c r="R112" s="176">
        <f t="shared" si="63"/>
        <v>0.78278602500000016</v>
      </c>
    </row>
    <row r="113" spans="1:20" x14ac:dyDescent="0.3">
      <c r="C113" s="162">
        <v>0.30000000000000004</v>
      </c>
      <c r="D113" s="149">
        <v>0.05</v>
      </c>
      <c r="E113" s="23" t="s">
        <v>151</v>
      </c>
      <c r="J113" s="140" t="s">
        <v>153</v>
      </c>
      <c r="L113" s="297">
        <f>$C113*L$110</f>
        <v>2.5978009066666665</v>
      </c>
      <c r="M113" s="173">
        <v>2.9340000000000002</v>
      </c>
      <c r="N113" s="173">
        <v>4.2119999999999997</v>
      </c>
      <c r="O113" s="173">
        <f t="shared" si="63"/>
        <v>4.4226000000000001</v>
      </c>
      <c r="P113" s="173">
        <f t="shared" si="63"/>
        <v>4.6437300000000006</v>
      </c>
      <c r="Q113" s="173">
        <f t="shared" si="63"/>
        <v>4.8759165000000007</v>
      </c>
      <c r="R113" s="173">
        <f t="shared" si="63"/>
        <v>5.119712325000001</v>
      </c>
    </row>
    <row r="114" spans="1:20" x14ac:dyDescent="0.3">
      <c r="C114" s="149">
        <v>0.02</v>
      </c>
      <c r="D114" s="149">
        <v>0.05</v>
      </c>
      <c r="E114" s="23" t="s">
        <v>151</v>
      </c>
      <c r="F114" s="142"/>
      <c r="G114" s="142"/>
      <c r="J114" s="140" t="s">
        <v>154</v>
      </c>
      <c r="L114" s="297">
        <f>$C114*L$110</f>
        <v>0.17318672711111111</v>
      </c>
      <c r="M114" s="173">
        <v>0.182</v>
      </c>
      <c r="N114" s="173">
        <v>0.30599999999999999</v>
      </c>
      <c r="O114" s="173">
        <f t="shared" si="63"/>
        <v>0.32130000000000003</v>
      </c>
      <c r="P114" s="173">
        <f t="shared" si="63"/>
        <v>0.33736500000000003</v>
      </c>
      <c r="Q114" s="173">
        <f t="shared" si="63"/>
        <v>0.35423325000000006</v>
      </c>
      <c r="R114" s="173">
        <f t="shared" si="63"/>
        <v>0.37194491250000006</v>
      </c>
    </row>
    <row r="115" spans="1:20" x14ac:dyDescent="0.3">
      <c r="C115" s="163">
        <v>3.5000000000000003E-2</v>
      </c>
      <c r="D115" s="149">
        <v>0.05</v>
      </c>
      <c r="E115" s="23" t="s">
        <v>151</v>
      </c>
      <c r="F115" s="142"/>
      <c r="G115" s="142"/>
      <c r="J115" s="140" t="s">
        <v>93</v>
      </c>
      <c r="L115" s="297">
        <f>$C115*L$110</f>
        <v>0.30307677244444442</v>
      </c>
      <c r="M115" s="173">
        <v>0.318</v>
      </c>
      <c r="N115" s="173">
        <v>7.4999999999999997E-2</v>
      </c>
      <c r="O115" s="173">
        <f t="shared" si="63"/>
        <v>7.8750000000000001E-2</v>
      </c>
      <c r="P115" s="173">
        <f t="shared" si="63"/>
        <v>8.2687500000000011E-2</v>
      </c>
      <c r="Q115" s="173">
        <f t="shared" si="63"/>
        <v>8.6821875000000021E-2</v>
      </c>
      <c r="R115" s="173">
        <f t="shared" si="63"/>
        <v>9.1162968750000031E-2</v>
      </c>
    </row>
    <row r="116" spans="1:20" x14ac:dyDescent="0.3">
      <c r="D116" s="149">
        <v>0.05</v>
      </c>
      <c r="E116" s="23" t="s">
        <v>151</v>
      </c>
      <c r="J116" s="140" t="s">
        <v>155</v>
      </c>
      <c r="L116" s="297">
        <v>1.58786056</v>
      </c>
      <c r="M116" s="173">
        <v>0.44500000000000001</v>
      </c>
      <c r="N116" s="173">
        <v>0.34399999999999997</v>
      </c>
      <c r="O116" s="173">
        <f t="shared" ref="O116:R116" si="64">+N116*(1+10%)*O$2</f>
        <v>0.40156110719999999</v>
      </c>
      <c r="P116" s="173">
        <f t="shared" si="64"/>
        <v>0.47812892230233633</v>
      </c>
      <c r="Q116" s="173">
        <f t="shared" si="64"/>
        <v>0.5806822610255854</v>
      </c>
      <c r="R116" s="173">
        <f t="shared" si="64"/>
        <v>0.71933679389028915</v>
      </c>
    </row>
    <row r="117" spans="1:20" x14ac:dyDescent="0.3">
      <c r="A117" s="253">
        <v>1000000</v>
      </c>
      <c r="B117" s="23" t="s">
        <v>242</v>
      </c>
      <c r="C117" s="23" t="s">
        <v>151</v>
      </c>
      <c r="D117" s="149">
        <v>0.2</v>
      </c>
      <c r="E117" s="149">
        <f>D117+5%</f>
        <v>0.25</v>
      </c>
      <c r="F117" s="149">
        <f t="shared" ref="F117:G117" si="65">E117+5%</f>
        <v>0.3</v>
      </c>
      <c r="G117" s="149">
        <f t="shared" si="65"/>
        <v>0.35</v>
      </c>
      <c r="J117" s="140" t="s">
        <v>241</v>
      </c>
      <c r="L117" s="297">
        <v>0</v>
      </c>
      <c r="M117" s="173">
        <v>0.96199999999999997</v>
      </c>
      <c r="N117" s="173">
        <v>1.986</v>
      </c>
      <c r="O117" s="173">
        <f>$A$117*(1+D117)/1000000+(20%*(O6-N6)*D6+20%*(O10-N10)*D10)/1000000</f>
        <v>1.3574572</v>
      </c>
      <c r="P117" s="173">
        <f>$A$117*(1+E117)/1000000+(20%*(P6-O6)*E6+20%*(P10-O10)*E10)/1000000</f>
        <v>1.25</v>
      </c>
      <c r="Q117" s="173">
        <f>$A$117*(1+F117)/1000000+(20%*(Q6-P6)*F6+20%*(Q10-P10)*F10)/1000000</f>
        <v>1.3</v>
      </c>
      <c r="R117" s="173">
        <f>$A$117*(1+G117)/1000000+(20%*(R6-Q6)*G6+20%*(R10-Q10)*G10)/1000000</f>
        <v>1.35</v>
      </c>
    </row>
    <row r="118" spans="1:20" x14ac:dyDescent="0.3">
      <c r="C118" s="149">
        <v>5.5E-2</v>
      </c>
      <c r="J118" s="140" t="s">
        <v>240</v>
      </c>
      <c r="L118" s="297">
        <f>$C118*L$110</f>
        <v>0.47626349955555553</v>
      </c>
      <c r="M118" s="173">
        <v>0.28299999999999997</v>
      </c>
      <c r="N118" s="173">
        <v>0.35199999999999998</v>
      </c>
      <c r="O118" s="173">
        <f t="shared" ref="O118:R118" si="66">$C118*O$110</f>
        <v>0.39687959782394883</v>
      </c>
      <c r="P118" s="173">
        <f t="shared" si="66"/>
        <v>0.42285743309077167</v>
      </c>
      <c r="Q118" s="173">
        <f t="shared" si="66"/>
        <v>0.43463049265466924</v>
      </c>
      <c r="R118" s="173">
        <f t="shared" si="66"/>
        <v>0.45615433884627515</v>
      </c>
    </row>
    <row r="119" spans="1:20" x14ac:dyDescent="0.3">
      <c r="C119" s="149">
        <v>0.05</v>
      </c>
      <c r="J119" s="140" t="s">
        <v>116</v>
      </c>
      <c r="L119" s="297">
        <f>$C119*L$110</f>
        <v>0.43296681777777773</v>
      </c>
      <c r="M119" s="173">
        <v>1.0629999999999999</v>
      </c>
      <c r="N119" s="173">
        <v>1.349</v>
      </c>
      <c r="O119" s="173">
        <f>N119*(1+$C$119)</f>
        <v>1.41645</v>
      </c>
      <c r="P119" s="173">
        <f t="shared" ref="P119:R121" si="67">O119*(1+$C$119)</f>
        <v>1.4872725</v>
      </c>
      <c r="Q119" s="173">
        <f t="shared" si="67"/>
        <v>1.5616361250000002</v>
      </c>
      <c r="R119" s="173">
        <f t="shared" si="67"/>
        <v>1.6397179312500003</v>
      </c>
    </row>
    <row r="120" spans="1:20" x14ac:dyDescent="0.3">
      <c r="C120" s="149">
        <v>0.1</v>
      </c>
      <c r="J120" s="140" t="s">
        <v>156</v>
      </c>
      <c r="L120" s="297">
        <f>$C120*L$110</f>
        <v>0.86593363555555547</v>
      </c>
      <c r="M120" s="173">
        <v>0.65</v>
      </c>
      <c r="N120" s="173">
        <v>0.95299999999999996</v>
      </c>
      <c r="O120" s="173">
        <f>N120*(1+$C$119)</f>
        <v>1.00065</v>
      </c>
      <c r="P120" s="173">
        <f t="shared" si="67"/>
        <v>1.0506825000000002</v>
      </c>
      <c r="Q120" s="173">
        <f t="shared" si="67"/>
        <v>1.1032166250000002</v>
      </c>
      <c r="R120" s="173">
        <f t="shared" si="67"/>
        <v>1.1583774562500002</v>
      </c>
    </row>
    <row r="121" spans="1:20" x14ac:dyDescent="0.3">
      <c r="C121" s="149">
        <v>6.5000000000000002E-2</v>
      </c>
      <c r="J121" s="140" t="s">
        <v>157</v>
      </c>
      <c r="L121" s="297">
        <f>$C121*L$110</f>
        <v>0.56285686311111105</v>
      </c>
      <c r="M121" s="173">
        <v>0.59599999999999997</v>
      </c>
      <c r="N121" s="173">
        <v>0.81399999999999995</v>
      </c>
      <c r="O121" s="173">
        <f>N121*(1+$C$119)</f>
        <v>0.85470000000000002</v>
      </c>
      <c r="P121" s="173">
        <f t="shared" si="67"/>
        <v>0.89743500000000009</v>
      </c>
      <c r="Q121" s="173">
        <f t="shared" si="67"/>
        <v>0.94230675000000019</v>
      </c>
      <c r="R121" s="173">
        <f t="shared" si="67"/>
        <v>0.98942208750000027</v>
      </c>
    </row>
    <row r="122" spans="1:20" ht="15" customHeight="1" x14ac:dyDescent="0.3">
      <c r="C122" s="23" t="s">
        <v>151</v>
      </c>
      <c r="D122" s="149">
        <v>0.05</v>
      </c>
      <c r="E122" s="149">
        <v>0.05</v>
      </c>
      <c r="F122" s="149">
        <v>0.1</v>
      </c>
      <c r="G122" s="149">
        <v>0.1</v>
      </c>
      <c r="J122" s="140" t="s">
        <v>158</v>
      </c>
      <c r="L122" s="297">
        <v>1</v>
      </c>
      <c r="M122" s="173">
        <v>9.8000000000000004E-2</v>
      </c>
      <c r="N122" s="173">
        <v>0.34399999999999997</v>
      </c>
      <c r="O122" s="173">
        <f>N122*(1+$G$122)</f>
        <v>0.37840000000000001</v>
      </c>
      <c r="P122" s="173">
        <f t="shared" ref="P122:R122" si="68">O122*(1+$G$122)</f>
        <v>0.41624000000000005</v>
      </c>
      <c r="Q122" s="173">
        <f t="shared" si="68"/>
        <v>0.4578640000000001</v>
      </c>
      <c r="R122" s="173">
        <f t="shared" si="68"/>
        <v>0.50365040000000016</v>
      </c>
    </row>
    <row r="123" spans="1:20" ht="15" customHeight="1" x14ac:dyDescent="0.3">
      <c r="C123" s="23" t="s">
        <v>151</v>
      </c>
      <c r="D123" s="149">
        <v>0</v>
      </c>
      <c r="E123" s="149">
        <v>2.5000000000000001E-2</v>
      </c>
      <c r="F123" s="149">
        <v>0.05</v>
      </c>
      <c r="G123" s="149">
        <v>0.05</v>
      </c>
      <c r="J123" s="140" t="s">
        <v>159</v>
      </c>
      <c r="L123" s="297">
        <v>0.23799999999999999</v>
      </c>
      <c r="M123" s="173">
        <v>0.307</v>
      </c>
      <c r="N123" s="173">
        <v>0.30499999999999999</v>
      </c>
      <c r="O123" s="173">
        <f>N123*(1+$G$123)</f>
        <v>0.32024999999999998</v>
      </c>
      <c r="P123" s="173">
        <f t="shared" ref="P123:R123" si="69">O123*(1+$G$123)</f>
        <v>0.33626250000000002</v>
      </c>
      <c r="Q123" s="173">
        <f t="shared" si="69"/>
        <v>0.35307562500000006</v>
      </c>
      <c r="R123" s="173">
        <f t="shared" si="69"/>
        <v>0.37072940625000006</v>
      </c>
    </row>
    <row r="124" spans="1:20" ht="15" customHeight="1" x14ac:dyDescent="0.3">
      <c r="C124" s="164"/>
      <c r="D124" s="164"/>
      <c r="J124" s="140" t="s">
        <v>98</v>
      </c>
      <c r="L124" s="297">
        <v>1.6E-2</v>
      </c>
      <c r="M124" s="173">
        <f t="shared" ref="M124:R125" si="70">+L124</f>
        <v>1.6E-2</v>
      </c>
      <c r="N124" s="173">
        <f t="shared" si="70"/>
        <v>1.6E-2</v>
      </c>
      <c r="O124" s="173">
        <f t="shared" si="70"/>
        <v>1.6E-2</v>
      </c>
      <c r="P124" s="173">
        <f t="shared" si="70"/>
        <v>1.6E-2</v>
      </c>
      <c r="Q124" s="173">
        <f t="shared" si="70"/>
        <v>1.6E-2</v>
      </c>
      <c r="R124" s="173">
        <f t="shared" si="70"/>
        <v>1.6E-2</v>
      </c>
    </row>
    <row r="125" spans="1:20" ht="15" customHeight="1" x14ac:dyDescent="0.3">
      <c r="C125" s="164"/>
      <c r="D125" s="142"/>
      <c r="J125" s="140" t="s">
        <v>99</v>
      </c>
      <c r="L125" s="297">
        <v>2.7559999999999998</v>
      </c>
      <c r="M125" s="173">
        <f t="shared" si="70"/>
        <v>2.7559999999999998</v>
      </c>
      <c r="N125" s="173">
        <f t="shared" si="70"/>
        <v>2.7559999999999998</v>
      </c>
      <c r="O125" s="173">
        <f t="shared" si="70"/>
        <v>2.7559999999999998</v>
      </c>
      <c r="P125" s="173">
        <f t="shared" si="70"/>
        <v>2.7559999999999998</v>
      </c>
      <c r="Q125" s="173">
        <f t="shared" si="70"/>
        <v>2.7559999999999998</v>
      </c>
      <c r="R125" s="173">
        <f t="shared" si="70"/>
        <v>2.7559999999999998</v>
      </c>
    </row>
    <row r="126" spans="1:20" x14ac:dyDescent="0.3">
      <c r="J126" s="50" t="s">
        <v>160</v>
      </c>
      <c r="K126" s="50"/>
      <c r="L126" s="298">
        <f t="shared" ref="L126:R126" si="71">SUM(L112:L125)</f>
        <v>13.509945782222221</v>
      </c>
      <c r="M126" s="174">
        <f t="shared" si="71"/>
        <v>11.429000000000002</v>
      </c>
      <c r="N126" s="174">
        <f t="shared" si="71"/>
        <v>14.456</v>
      </c>
      <c r="O126" s="174">
        <f t="shared" si="71"/>
        <v>14.397197905023948</v>
      </c>
      <c r="P126" s="174">
        <f t="shared" si="71"/>
        <v>14.88467135539311</v>
      </c>
      <c r="Q126" s="174">
        <f t="shared" si="71"/>
        <v>15.567894003680257</v>
      </c>
      <c r="R126" s="174">
        <f t="shared" si="71"/>
        <v>16.324994645236565</v>
      </c>
    </row>
    <row r="127" spans="1:20" x14ac:dyDescent="0.3">
      <c r="J127" s="144" t="s">
        <v>86</v>
      </c>
      <c r="K127" s="50"/>
      <c r="L127" s="300">
        <f>L126*stub1h24</f>
        <v>10.132459336666667</v>
      </c>
      <c r="M127" s="174"/>
      <c r="N127" s="174"/>
      <c r="O127" s="174"/>
      <c r="P127" s="174"/>
      <c r="Q127" s="174"/>
      <c r="R127" s="174"/>
    </row>
    <row r="128" spans="1:20" x14ac:dyDescent="0.3">
      <c r="J128" s="180" t="s">
        <v>33</v>
      </c>
      <c r="K128" s="48"/>
      <c r="L128" s="297">
        <v>5.0419999999999998</v>
      </c>
      <c r="M128" s="187"/>
      <c r="N128" s="187"/>
      <c r="O128" s="187"/>
      <c r="P128" s="187"/>
      <c r="Q128" s="187"/>
      <c r="R128" s="187"/>
      <c r="T128" s="65"/>
    </row>
    <row r="129" spans="3:19" ht="14.5" thickBot="1" x14ac:dyDescent="0.35">
      <c r="H129" s="23" t="s">
        <v>78</v>
      </c>
      <c r="J129" s="192" t="s">
        <v>161</v>
      </c>
      <c r="K129" s="193"/>
      <c r="L129" s="302">
        <f>SUM(L111,L127,L128)</f>
        <v>21.668961603333337</v>
      </c>
      <c r="M129" s="196">
        <f t="shared" ref="M129:R129" si="72">SUM(M110,M126)</f>
        <v>17.169841610666669</v>
      </c>
      <c r="N129" s="196">
        <f t="shared" si="72"/>
        <v>20.69119636288</v>
      </c>
      <c r="O129" s="196">
        <f t="shared" si="72"/>
        <v>21.61319059273211</v>
      </c>
      <c r="P129" s="196">
        <f t="shared" si="72"/>
        <v>22.572988320679869</v>
      </c>
      <c r="Q129" s="196">
        <f t="shared" si="72"/>
        <v>23.470266597401515</v>
      </c>
      <c r="R129" s="196">
        <f t="shared" si="72"/>
        <v>24.618709896987021</v>
      </c>
      <c r="S129" s="65"/>
    </row>
    <row r="130" spans="3:19" ht="14.5" thickTop="1" x14ac:dyDescent="0.3"/>
    <row r="131" spans="3:19" ht="14.5" x14ac:dyDescent="0.35">
      <c r="J131" s="197" t="s">
        <v>162</v>
      </c>
      <c r="K131" s="198"/>
      <c r="L131" s="308">
        <f t="shared" ref="L131:R131" si="73">SUM(L11,L15,L53,L107)</f>
        <v>134</v>
      </c>
      <c r="M131" s="198">
        <f t="shared" si="73"/>
        <v>117</v>
      </c>
      <c r="N131" s="198">
        <f t="shared" si="73"/>
        <v>160</v>
      </c>
      <c r="O131" s="199">
        <f t="shared" si="73"/>
        <v>181</v>
      </c>
      <c r="P131" s="199">
        <f t="shared" si="73"/>
        <v>194</v>
      </c>
      <c r="Q131" s="199">
        <f t="shared" si="73"/>
        <v>205</v>
      </c>
      <c r="R131" s="199">
        <f t="shared" si="73"/>
        <v>216</v>
      </c>
    </row>
    <row r="133" spans="3:19" x14ac:dyDescent="0.3">
      <c r="J133" s="48"/>
      <c r="L133" s="297"/>
      <c r="M133" s="173"/>
      <c r="N133" s="173"/>
      <c r="O133" s="173"/>
      <c r="P133" s="173"/>
      <c r="Q133" s="173"/>
      <c r="R133" s="173"/>
    </row>
    <row r="134" spans="3:19" x14ac:dyDescent="0.3">
      <c r="J134" s="48" t="s">
        <v>163</v>
      </c>
      <c r="L134" s="297">
        <f t="shared" ref="L134:R134" si="74">SUM(L129,L76,L40)</f>
        <v>44.693671549333338</v>
      </c>
      <c r="M134" s="173">
        <f t="shared" si="74"/>
        <v>45.045205373333332</v>
      </c>
      <c r="N134" s="173">
        <f t="shared" si="74"/>
        <v>60.585270258026654</v>
      </c>
      <c r="O134" s="173">
        <f t="shared" si="74"/>
        <v>66.167715192834208</v>
      </c>
      <c r="P134" s="173">
        <f t="shared" si="74"/>
        <v>69.817881227013459</v>
      </c>
      <c r="Q134" s="173">
        <f t="shared" si="74"/>
        <v>73.59014243600528</v>
      </c>
      <c r="R134" s="173">
        <f t="shared" si="74"/>
        <v>77.940648554818836</v>
      </c>
    </row>
    <row r="135" spans="3:19" x14ac:dyDescent="0.3">
      <c r="M135" s="189">
        <f>M134-M125-M124-M68-M67-M34-M32</f>
        <v>37.174776426666668</v>
      </c>
      <c r="N135" s="189">
        <f>N134-N125-N124-N68-N67-N34-N32</f>
        <v>49.902841311359992</v>
      </c>
    </row>
    <row r="136" spans="3:19" ht="14.5" x14ac:dyDescent="0.35">
      <c r="J136" s="54" t="s">
        <v>27</v>
      </c>
    </row>
    <row r="137" spans="3:19" x14ac:dyDescent="0.3">
      <c r="H137" s="23" t="s">
        <v>78</v>
      </c>
      <c r="J137" s="200" t="s">
        <v>199</v>
      </c>
      <c r="K137" s="201"/>
      <c r="M137" s="201"/>
      <c r="N137" s="201"/>
      <c r="O137" s="201"/>
      <c r="P137" s="201"/>
      <c r="Q137" s="201"/>
      <c r="R137" s="201"/>
    </row>
    <row r="138" spans="3:19" x14ac:dyDescent="0.3">
      <c r="J138" s="51"/>
      <c r="K138" s="51"/>
      <c r="L138" s="295"/>
      <c r="M138" s="51"/>
      <c r="N138" s="51"/>
      <c r="O138" s="51"/>
      <c r="P138" s="51"/>
      <c r="Q138" s="51"/>
      <c r="R138" s="51"/>
    </row>
    <row r="139" spans="3:19" x14ac:dyDescent="0.3">
      <c r="C139" s="42">
        <f t="shared" ref="C139" si="75">D139/(1+$D$2)</f>
        <v>134400</v>
      </c>
      <c r="D139" s="130">
        <v>168000</v>
      </c>
      <c r="J139" s="136" t="s">
        <v>204</v>
      </c>
      <c r="L139" s="290">
        <v>0</v>
      </c>
      <c r="M139" s="49">
        <v>0</v>
      </c>
      <c r="N139" s="49">
        <v>1</v>
      </c>
      <c r="O139" s="49">
        <v>4</v>
      </c>
      <c r="P139" s="49">
        <v>4</v>
      </c>
      <c r="Q139" s="49">
        <v>4</v>
      </c>
      <c r="R139" s="49">
        <v>4</v>
      </c>
    </row>
    <row r="141" spans="3:19" x14ac:dyDescent="0.3">
      <c r="J141" s="51" t="s">
        <v>205</v>
      </c>
      <c r="K141" s="51"/>
      <c r="L141" s="300">
        <f>$D139*L139/10^6*L$2</f>
        <v>0</v>
      </c>
      <c r="M141" s="176">
        <f t="shared" ref="M141:O141" si="76">$D139*M139/10^6*M$2</f>
        <v>0</v>
      </c>
      <c r="N141" s="176">
        <f t="shared" si="76"/>
        <v>0.1747872</v>
      </c>
      <c r="O141" s="176">
        <f t="shared" si="76"/>
        <v>0.713131776</v>
      </c>
      <c r="P141" s="176">
        <f t="shared" ref="P141:Q141" si="77">$D139*P139/10^6*P$2</f>
        <v>0.72739441152000006</v>
      </c>
      <c r="Q141" s="176">
        <f t="shared" si="77"/>
        <v>0.74194229975040005</v>
      </c>
      <c r="R141" s="176">
        <f t="shared" ref="R141" si="78">$D139*R139/10^6*R$2</f>
        <v>0.75678114574540811</v>
      </c>
    </row>
    <row r="142" spans="3:19" x14ac:dyDescent="0.3">
      <c r="D142" s="137">
        <v>1</v>
      </c>
      <c r="E142" s="137">
        <v>1</v>
      </c>
      <c r="F142" s="137">
        <v>1</v>
      </c>
      <c r="G142" s="137">
        <v>1</v>
      </c>
      <c r="J142" s="52" t="s">
        <v>111</v>
      </c>
      <c r="L142" s="297">
        <f>$D139/12*D142*L139*L$2/10^6</f>
        <v>0</v>
      </c>
      <c r="M142" s="173">
        <f>$D139/12*E142*M139*M$2/10^6</f>
        <v>0</v>
      </c>
      <c r="N142" s="173">
        <f>$D139/12*F142*N139*N$2/10^6</f>
        <v>1.45656E-2</v>
      </c>
      <c r="O142" s="173">
        <f>$D139/12*$G$142*O139*O$2/10^6</f>
        <v>5.9427647999999993E-2</v>
      </c>
      <c r="P142" s="173">
        <f>$D139/12*$G$142*P139*P$2/10^6</f>
        <v>6.0616200960000005E-2</v>
      </c>
      <c r="Q142" s="173">
        <f>$D139/12*$G$142*Q139*Q$2/10^6</f>
        <v>6.1828524979200002E-2</v>
      </c>
      <c r="R142" s="173">
        <f>$D139/12*$G$142*R139*R$2/10^6</f>
        <v>6.3065095478784E-2</v>
      </c>
    </row>
    <row r="143" spans="3:19" x14ac:dyDescent="0.3">
      <c r="J143" s="51" t="s">
        <v>206</v>
      </c>
      <c r="K143" s="51"/>
      <c r="L143" s="300">
        <f>SUM(L141:L142)</f>
        <v>0</v>
      </c>
      <c r="M143" s="176">
        <f t="shared" ref="M143:O143" si="79">SUM(M141:M142)</f>
        <v>0</v>
      </c>
      <c r="N143" s="176">
        <f t="shared" si="79"/>
        <v>0.18935280000000002</v>
      </c>
      <c r="O143" s="176">
        <f t="shared" si="79"/>
        <v>0.77255942399999999</v>
      </c>
      <c r="P143" s="176">
        <f t="shared" ref="P143:Q143" si="80">SUM(P141:P142)</f>
        <v>0.78801061248000004</v>
      </c>
      <c r="Q143" s="176">
        <f t="shared" si="80"/>
        <v>0.80377082472960004</v>
      </c>
      <c r="R143" s="176">
        <f t="shared" ref="R143" si="81">SUM(R141:R142)</f>
        <v>0.81984624122419214</v>
      </c>
    </row>
    <row r="144" spans="3:19" x14ac:dyDescent="0.3">
      <c r="J144" s="49" t="s">
        <v>211</v>
      </c>
      <c r="L144" s="297"/>
      <c r="M144" s="173">
        <f>M145-M143</f>
        <v>0</v>
      </c>
      <c r="N144" s="173">
        <f>N145-N143</f>
        <v>-1.0352800000000023E-2</v>
      </c>
      <c r="O144" s="173">
        <f t="shared" ref="O144:R144" si="82">O145-O143</f>
        <v>-0.17425942400000016</v>
      </c>
      <c r="P144" s="173">
        <f t="shared" si="82"/>
        <v>6.0289387519999793E-2</v>
      </c>
      <c r="Q144" s="173">
        <f t="shared" si="82"/>
        <v>0.29452917527039979</v>
      </c>
      <c r="R144" s="173">
        <f t="shared" si="82"/>
        <v>0.52845375877580769</v>
      </c>
    </row>
    <row r="145" spans="3:18" x14ac:dyDescent="0.3">
      <c r="J145" s="50" t="s">
        <v>212</v>
      </c>
      <c r="K145" s="50"/>
      <c r="L145" s="298"/>
      <c r="M145" s="174">
        <v>0</v>
      </c>
      <c r="N145" s="174">
        <v>0.17899999999999999</v>
      </c>
      <c r="O145" s="174">
        <f>O147*(1-O146)</f>
        <v>0.59829999999999983</v>
      </c>
      <c r="P145" s="174">
        <f t="shared" ref="P145" si="83">P147*(1-P146)</f>
        <v>0.84829999999999983</v>
      </c>
      <c r="Q145" s="174">
        <f t="shared" ref="Q145" si="84">Q147*(1-Q146)</f>
        <v>1.0982999999999998</v>
      </c>
      <c r="R145" s="174">
        <f t="shared" ref="R145" si="85">R147*(1-R146)</f>
        <v>1.3482999999999998</v>
      </c>
    </row>
    <row r="146" spans="3:18" x14ac:dyDescent="0.3">
      <c r="J146" s="250" t="s">
        <v>213</v>
      </c>
      <c r="K146" s="250"/>
      <c r="L146" s="309"/>
      <c r="M146" s="252">
        <f>(M147-M145)/M147</f>
        <v>1</v>
      </c>
      <c r="N146" s="252">
        <f>(N147-N145)/N147</f>
        <v>0.94860752225093314</v>
      </c>
      <c r="O146" s="252">
        <v>0.9</v>
      </c>
      <c r="P146" s="252">
        <v>0.9</v>
      </c>
      <c r="Q146" s="252">
        <v>0.9</v>
      </c>
      <c r="R146" s="252">
        <v>0.9</v>
      </c>
    </row>
    <row r="147" spans="3:18" x14ac:dyDescent="0.3">
      <c r="J147" s="49" t="s">
        <v>228</v>
      </c>
      <c r="L147" s="297"/>
      <c r="M147" s="262">
        <f>'Company Name Rev Build'!K51/1000</f>
        <v>0.79800000000000004</v>
      </c>
      <c r="N147" s="262">
        <f>'Company Name Rev Build'!O51/1000</f>
        <v>3.4830000000000001</v>
      </c>
      <c r="O147" s="262">
        <f>'Company Name Rev Build'!S51/1000</f>
        <v>5.9829999999999997</v>
      </c>
      <c r="P147" s="262">
        <f>'Company Name Rev Build'!W51/1000</f>
        <v>8.4830000000000005</v>
      </c>
      <c r="Q147" s="262">
        <f>'Company Name Rev Build'!AA51/1000</f>
        <v>10.983000000000001</v>
      </c>
      <c r="R147" s="262">
        <f>'Company Name Rev Build'!AE51/1000</f>
        <v>13.483000000000001</v>
      </c>
    </row>
    <row r="148" spans="3:18" x14ac:dyDescent="0.3">
      <c r="L148" s="297"/>
      <c r="M148" s="249"/>
      <c r="N148" s="249"/>
      <c r="O148" s="249"/>
      <c r="P148" s="249"/>
      <c r="Q148" s="249"/>
      <c r="R148" s="249"/>
    </row>
    <row r="149" spans="3:18" x14ac:dyDescent="0.3">
      <c r="C149" s="42">
        <v>87857</v>
      </c>
      <c r="D149" s="130">
        <f>C149*(1+D2)</f>
        <v>109821.25</v>
      </c>
      <c r="J149" s="136" t="s">
        <v>208</v>
      </c>
      <c r="L149" s="290">
        <v>0</v>
      </c>
      <c r="M149" s="49">
        <v>0</v>
      </c>
      <c r="N149" s="49">
        <v>6</v>
      </c>
      <c r="O149" s="49">
        <v>4</v>
      </c>
      <c r="P149" s="49">
        <v>4</v>
      </c>
      <c r="Q149" s="49">
        <v>4</v>
      </c>
      <c r="R149" s="49">
        <v>4</v>
      </c>
    </row>
    <row r="151" spans="3:18" x14ac:dyDescent="0.3">
      <c r="J151" s="51" t="s">
        <v>209</v>
      </c>
      <c r="K151" s="51"/>
      <c r="L151" s="300">
        <f>$D149*L149/10^6*L$2</f>
        <v>0</v>
      </c>
      <c r="M151" s="176">
        <f t="shared" ref="M151:O151" si="86">$D149*M149/10^6*M$2</f>
        <v>0</v>
      </c>
      <c r="N151" s="176">
        <f t="shared" si="86"/>
        <v>0.68554817099999998</v>
      </c>
      <c r="O151" s="176">
        <f t="shared" si="86"/>
        <v>0.46617275627999993</v>
      </c>
      <c r="P151" s="176">
        <f t="shared" ref="P151:Q151" si="87">$D149*P149/10^6*P$2</f>
        <v>0.47549621140559994</v>
      </c>
      <c r="Q151" s="176">
        <f t="shared" si="87"/>
        <v>0.48500613563371198</v>
      </c>
      <c r="R151" s="176">
        <f t="shared" ref="R151" si="88">$D149*R149/10^6*R$2</f>
        <v>0.49470625834638626</v>
      </c>
    </row>
    <row r="152" spans="3:18" x14ac:dyDescent="0.3">
      <c r="D152" s="137">
        <v>1</v>
      </c>
      <c r="E152" s="137">
        <v>1</v>
      </c>
      <c r="F152" s="137">
        <v>1</v>
      </c>
      <c r="G152" s="137">
        <v>1</v>
      </c>
      <c r="J152" s="52" t="s">
        <v>111</v>
      </c>
      <c r="L152" s="297">
        <f>$D149/12*D152*L149*L$2/10^6</f>
        <v>0</v>
      </c>
      <c r="M152" s="173">
        <f>$D149/12*E152*M149*M$2/10^6</f>
        <v>0</v>
      </c>
      <c r="N152" s="173">
        <f>$D149/12*F152*N149*N$2/10^6</f>
        <v>5.7129014249999999E-2</v>
      </c>
      <c r="O152" s="173">
        <f>$D149/12*$G$152*O149*O$2/10^6</f>
        <v>3.8847729689999999E-2</v>
      </c>
      <c r="P152" s="173">
        <f>$D149/12*$G$152*P149*P$2/10^6</f>
        <v>3.9624684283799998E-2</v>
      </c>
      <c r="Q152" s="173">
        <f>$D149/12*$G$152*Q149*Q$2/10^6</f>
        <v>4.0417177969476005E-2</v>
      </c>
      <c r="R152" s="173">
        <f>$D149/12*$G$152*R149*R$2/10^6</f>
        <v>4.1225521528865522E-2</v>
      </c>
    </row>
    <row r="153" spans="3:18" x14ac:dyDescent="0.3">
      <c r="J153" s="51" t="s">
        <v>210</v>
      </c>
      <c r="K153" s="51"/>
      <c r="L153" s="300">
        <f>SUM(L151:L152)</f>
        <v>0</v>
      </c>
      <c r="M153" s="176">
        <f t="shared" ref="M153:O153" si="89">SUM(M151:M152)</f>
        <v>0</v>
      </c>
      <c r="N153" s="176">
        <f t="shared" si="89"/>
        <v>0.74267718525000004</v>
      </c>
      <c r="O153" s="176">
        <f t="shared" si="89"/>
        <v>0.50502048596999993</v>
      </c>
      <c r="P153" s="176">
        <f t="shared" ref="P153:Q153" si="90">SUM(P151:P152)</f>
        <v>0.51512089568939989</v>
      </c>
      <c r="Q153" s="176">
        <f t="shared" si="90"/>
        <v>0.52542331360318795</v>
      </c>
      <c r="R153" s="176">
        <f t="shared" ref="R153" si="91">SUM(R151:R152)</f>
        <v>0.53593177987525176</v>
      </c>
    </row>
    <row r="154" spans="3:18" x14ac:dyDescent="0.3">
      <c r="J154" s="49" t="s">
        <v>215</v>
      </c>
      <c r="L154" s="297"/>
      <c r="M154" s="173">
        <f>M155-M153</f>
        <v>0</v>
      </c>
      <c r="N154" s="173">
        <f>N155-N153</f>
        <v>1.6433228147500001</v>
      </c>
      <c r="O154" s="173">
        <f t="shared" ref="O154:R154" si="92">O155-O153</f>
        <v>2.1920030312236305</v>
      </c>
      <c r="P154" s="173">
        <f t="shared" si="92"/>
        <v>2.3746008421365863</v>
      </c>
      <c r="Q154" s="173">
        <f t="shared" si="92"/>
        <v>2.4218960538096894</v>
      </c>
      <c r="R154" s="173">
        <f t="shared" si="92"/>
        <v>2.3149375256636344</v>
      </c>
    </row>
    <row r="155" spans="3:18" x14ac:dyDescent="0.3">
      <c r="J155" s="50" t="s">
        <v>216</v>
      </c>
      <c r="K155" s="50"/>
      <c r="L155" s="298"/>
      <c r="M155" s="174">
        <v>0</v>
      </c>
      <c r="N155" s="174">
        <v>2.3860000000000001</v>
      </c>
      <c r="O155" s="174">
        <f>O157*(1-O156)</f>
        <v>2.6970235171936303</v>
      </c>
      <c r="P155" s="174">
        <f t="shared" ref="P155" si="93">P157*(1-P156)</f>
        <v>2.8897217378259863</v>
      </c>
      <c r="Q155" s="174">
        <f t="shared" ref="Q155" si="94">Q157*(1-Q156)</f>
        <v>2.9473193674128773</v>
      </c>
      <c r="R155" s="174">
        <f t="shared" ref="R155" si="95">R157*(1-R156)</f>
        <v>2.8508693055388861</v>
      </c>
    </row>
    <row r="156" spans="3:18" x14ac:dyDescent="0.3">
      <c r="D156" s="263" t="s">
        <v>225</v>
      </c>
      <c r="E156" s="264">
        <v>0.1</v>
      </c>
      <c r="J156" s="250" t="s">
        <v>217</v>
      </c>
      <c r="K156" s="250"/>
      <c r="L156" s="309"/>
      <c r="M156" s="252">
        <f>IFERROR((M157-M155)/M157,0)</f>
        <v>#DIV/0!</v>
      </c>
      <c r="N156" s="252">
        <f>(N157-N155)/N157</f>
        <v>0.44934225709669973</v>
      </c>
      <c r="O156" s="252">
        <f>N156*(1+$E$182)</f>
        <v>0.49427648280636977</v>
      </c>
      <c r="P156" s="252">
        <f t="shared" ref="P156:R156" si="96">O156*(1+$E$182)</f>
        <v>0.54370413108700677</v>
      </c>
      <c r="Q156" s="252">
        <f t="shared" si="96"/>
        <v>0.59807454419570749</v>
      </c>
      <c r="R156" s="252">
        <f t="shared" si="96"/>
        <v>0.6578819986152783</v>
      </c>
    </row>
    <row r="157" spans="3:18" x14ac:dyDescent="0.3">
      <c r="J157" s="49" t="s">
        <v>229</v>
      </c>
      <c r="L157" s="297"/>
      <c r="M157" s="261">
        <f>'Company Name Rev Build'!K53/1000</f>
        <v>0</v>
      </c>
      <c r="N157" s="261">
        <f>'Company Name Rev Build'!O53/1000</f>
        <v>4.3330000000000002</v>
      </c>
      <c r="O157" s="261">
        <f>'Company Name Rev Build'!S53/1000</f>
        <v>5.3330000000000002</v>
      </c>
      <c r="P157" s="261">
        <f>'Company Name Rev Build'!W53/1000</f>
        <v>6.3330000000000002</v>
      </c>
      <c r="Q157" s="261">
        <f>'Company Name Rev Build'!AA53/1000</f>
        <v>7.3330000000000002</v>
      </c>
      <c r="R157" s="261">
        <f>'Company Name Rev Build'!AE53/1000</f>
        <v>8.3330000000000002</v>
      </c>
    </row>
    <row r="158" spans="3:18" x14ac:dyDescent="0.3">
      <c r="L158" s="297"/>
      <c r="M158" s="249"/>
      <c r="N158" s="249"/>
      <c r="O158" s="249"/>
      <c r="P158" s="249"/>
      <c r="Q158" s="249"/>
      <c r="R158" s="249"/>
    </row>
    <row r="159" spans="3:18" x14ac:dyDescent="0.3">
      <c r="C159" s="42">
        <f t="shared" ref="C159" si="97">D159/(1+$D$2)</f>
        <v>106370.4</v>
      </c>
      <c r="D159" s="130">
        <v>132963</v>
      </c>
      <c r="J159" s="136" t="s">
        <v>180</v>
      </c>
      <c r="L159" s="290">
        <v>2</v>
      </c>
      <c r="M159" s="49">
        <v>3</v>
      </c>
      <c r="N159" s="49">
        <v>4</v>
      </c>
      <c r="O159" s="49">
        <v>4</v>
      </c>
      <c r="P159" s="49">
        <v>4</v>
      </c>
      <c r="Q159" s="49">
        <v>4</v>
      </c>
      <c r="R159" s="49">
        <v>4</v>
      </c>
    </row>
    <row r="161" spans="3:18" x14ac:dyDescent="0.3">
      <c r="J161" s="51" t="s">
        <v>200</v>
      </c>
      <c r="K161" s="51"/>
      <c r="L161" s="300">
        <f>$D159*L159/10^6*L$2</f>
        <v>0.265926</v>
      </c>
      <c r="M161" s="176">
        <f t="shared" ref="M161:O161" si="98">$D159*M159/10^6*M$2</f>
        <v>0.40686677999999998</v>
      </c>
      <c r="N161" s="176">
        <f t="shared" si="98"/>
        <v>0.55333882079999996</v>
      </c>
      <c r="O161" s="176">
        <f t="shared" si="98"/>
        <v>0.56440559721599992</v>
      </c>
      <c r="P161" s="176">
        <f t="shared" ref="P161:Q161" si="99">$D159*P159/10^6*P$2</f>
        <v>0.57569370916032003</v>
      </c>
      <c r="Q161" s="176">
        <f t="shared" si="99"/>
        <v>0.58720758334352641</v>
      </c>
      <c r="R161" s="176">
        <f t="shared" ref="R161" si="100">$D159*R159/10^6*R$2</f>
        <v>0.598951735010397</v>
      </c>
    </row>
    <row r="162" spans="3:18" x14ac:dyDescent="0.3">
      <c r="D162" s="137">
        <v>1</v>
      </c>
      <c r="E162" s="137">
        <v>1</v>
      </c>
      <c r="F162" s="137">
        <v>1</v>
      </c>
      <c r="G162" s="137">
        <v>1</v>
      </c>
      <c r="J162" s="52" t="s">
        <v>111</v>
      </c>
      <c r="L162" s="297">
        <f>$D159/12*D162*L159*L$2/10^6</f>
        <v>2.21605E-2</v>
      </c>
      <c r="M162" s="173">
        <f>$D159/12*E162*M159*M$2/10^6</f>
        <v>3.3905565000000006E-2</v>
      </c>
      <c r="N162" s="173">
        <f>$D159/12*F162*N159*N$2/10^6</f>
        <v>4.6111568399999997E-2</v>
      </c>
      <c r="O162" s="173">
        <f>$D159/12*$G$162*O159*O$2/10^6</f>
        <v>4.7033799767999998E-2</v>
      </c>
      <c r="P162" s="173">
        <f>$D159/12*$G$162*P159*P$2/10^6</f>
        <v>4.7974475763360003E-2</v>
      </c>
      <c r="Q162" s="173">
        <f>$D159/12*$G$162*Q159*Q$2/10^6</f>
        <v>4.8933965278627201E-2</v>
      </c>
      <c r="R162" s="173">
        <f>$D159/12*$G$162*R159*R$2/10^6</f>
        <v>4.991264458419975E-2</v>
      </c>
    </row>
    <row r="163" spans="3:18" x14ac:dyDescent="0.3">
      <c r="J163" s="51" t="s">
        <v>201</v>
      </c>
      <c r="K163" s="51"/>
      <c r="L163" s="300">
        <f>SUM(L161:L162)</f>
        <v>0.28808650000000002</v>
      </c>
      <c r="M163" s="176">
        <f t="shared" ref="M163:O163" si="101">SUM(M161:M162)</f>
        <v>0.44077234500000001</v>
      </c>
      <c r="N163" s="176">
        <f t="shared" si="101"/>
        <v>0.59945038919999993</v>
      </c>
      <c r="O163" s="176">
        <f t="shared" si="101"/>
        <v>0.61143939698399996</v>
      </c>
      <c r="P163" s="176">
        <f t="shared" ref="P163:Q163" si="102">SUM(P161:P162)</f>
        <v>0.62366818492368004</v>
      </c>
      <c r="Q163" s="176">
        <f t="shared" si="102"/>
        <v>0.63614154862215355</v>
      </c>
      <c r="R163" s="176">
        <f t="shared" ref="R163" si="103">SUM(R161:R162)</f>
        <v>0.64886437959459675</v>
      </c>
    </row>
    <row r="164" spans="3:18" x14ac:dyDescent="0.3">
      <c r="L164" s="297"/>
      <c r="M164" s="173"/>
      <c r="N164" s="173"/>
      <c r="O164" s="173"/>
      <c r="P164" s="173"/>
      <c r="Q164" s="173"/>
      <c r="R164" s="173"/>
    </row>
    <row r="165" spans="3:18" x14ac:dyDescent="0.3">
      <c r="C165" s="42">
        <f t="shared" ref="C165" si="104">D165/(1+$D$2)</f>
        <v>118950.39999999999</v>
      </c>
      <c r="D165" s="130">
        <v>148688</v>
      </c>
      <c r="J165" s="136" t="s">
        <v>183</v>
      </c>
      <c r="L165" s="290">
        <v>2</v>
      </c>
      <c r="M165" s="49">
        <v>9</v>
      </c>
      <c r="N165" s="49">
        <v>16</v>
      </c>
      <c r="O165" s="49">
        <f>N165</f>
        <v>16</v>
      </c>
      <c r="P165" s="49">
        <f>O165</f>
        <v>16</v>
      </c>
      <c r="Q165" s="49">
        <f>P165</f>
        <v>16</v>
      </c>
      <c r="R165" s="49">
        <f>Q165</f>
        <v>16</v>
      </c>
    </row>
    <row r="167" spans="3:18" x14ac:dyDescent="0.3">
      <c r="J167" s="51" t="s">
        <v>181</v>
      </c>
      <c r="K167" s="51"/>
      <c r="L167" s="300">
        <f>$D165*L165/10^6*L$2</f>
        <v>0.29737599999999997</v>
      </c>
      <c r="M167" s="176">
        <f t="shared" ref="M167:O167" si="105">$D165*M165/10^6*M$2</f>
        <v>1.3649558400000001</v>
      </c>
      <c r="N167" s="176">
        <f t="shared" si="105"/>
        <v>2.4751199231999998</v>
      </c>
      <c r="O167" s="176">
        <f t="shared" si="105"/>
        <v>2.5246223216639998</v>
      </c>
      <c r="P167" s="176">
        <f t="shared" ref="P167:Q167" si="106">$D165*P165/10^6*P$2</f>
        <v>2.5751147680972797</v>
      </c>
      <c r="Q167" s="176">
        <f t="shared" si="106"/>
        <v>2.6266170634592254</v>
      </c>
      <c r="R167" s="176">
        <f t="shared" ref="R167" si="107">$D165*R165/10^6*R$2</f>
        <v>2.6791494047284101</v>
      </c>
    </row>
    <row r="168" spans="3:18" x14ac:dyDescent="0.3">
      <c r="D168" s="137">
        <v>1</v>
      </c>
      <c r="E168" s="137">
        <v>1</v>
      </c>
      <c r="F168" s="137">
        <v>1</v>
      </c>
      <c r="G168" s="137">
        <v>1</v>
      </c>
      <c r="J168" s="52" t="s">
        <v>111</v>
      </c>
      <c r="L168" s="297">
        <f>$D165/12*D168*L165*L$2/10^6</f>
        <v>2.4781333333333332E-2</v>
      </c>
      <c r="M168" s="173">
        <f>$D165/12*E168*M165*M$2/10^6</f>
        <v>0.11374632000000001</v>
      </c>
      <c r="N168" s="173">
        <f>$D165/12*F168*N165*N$2/10^6</f>
        <v>0.2062599936</v>
      </c>
      <c r="O168" s="173">
        <f>$D165/12*$G$168*O165*O$2/10^6</f>
        <v>0.21038519347199999</v>
      </c>
      <c r="P168" s="173">
        <f>$D165/12*$G$168*P165*P$2/10^6</f>
        <v>0.21459289734143999</v>
      </c>
      <c r="Q168" s="173">
        <f>$D165/12*$G$168*Q165*Q$2/10^6</f>
        <v>0.21888475528826878</v>
      </c>
      <c r="R168" s="173">
        <f>$D165/12*$G$168*R165*R$2/10^6</f>
        <v>0.2232624503940342</v>
      </c>
    </row>
    <row r="169" spans="3:18" x14ac:dyDescent="0.3">
      <c r="J169" s="51" t="s">
        <v>182</v>
      </c>
      <c r="K169" s="51"/>
      <c r="L169" s="300">
        <f>SUM(L167:L168)</f>
        <v>0.3221573333333333</v>
      </c>
      <c r="M169" s="176">
        <f t="shared" ref="M169:O169" si="108">SUM(M167:M168)</f>
        <v>1.4787021600000001</v>
      </c>
      <c r="N169" s="176">
        <f t="shared" si="108"/>
        <v>2.6813799167999997</v>
      </c>
      <c r="O169" s="176">
        <f t="shared" si="108"/>
        <v>2.7350075151359996</v>
      </c>
      <c r="P169" s="176">
        <f t="shared" ref="P169:Q169" si="109">SUM(P167:P168)</f>
        <v>2.7897076654387196</v>
      </c>
      <c r="Q169" s="176">
        <f t="shared" si="109"/>
        <v>2.8455018187474943</v>
      </c>
      <c r="R169" s="176">
        <f t="shared" ref="R169" si="110">SUM(R167:R168)</f>
        <v>2.9024118551224443</v>
      </c>
    </row>
    <row r="170" spans="3:18" x14ac:dyDescent="0.3">
      <c r="L170" s="297"/>
      <c r="M170" s="173"/>
      <c r="N170" s="173"/>
      <c r="O170" s="173"/>
      <c r="P170" s="173"/>
      <c r="Q170" s="173"/>
      <c r="R170" s="173"/>
    </row>
    <row r="171" spans="3:18" x14ac:dyDescent="0.3">
      <c r="E171" s="267">
        <v>30</v>
      </c>
      <c r="J171" s="49" t="s">
        <v>233</v>
      </c>
      <c r="L171" s="297"/>
      <c r="M171" s="173">
        <v>0</v>
      </c>
      <c r="N171" s="173">
        <f>(AVERAGE('Company Name Rev Build'!M7,'Company Name Rev Build'!I7)*('Company Name Rev Build'!M18*'Company Name Rev Build'!M19)*12*'Company Name COGS+OPEX Build'!$E$171)/1000000</f>
        <v>1.6200647999999995</v>
      </c>
      <c r="O171" s="173">
        <f>(AVERAGE('Company Name Rev Build'!M7,'Company Name Rev Build'!Q7)*('Company Name Rev Build'!Q18*'Company Name Rev Build'!Q19)*12*'Company Name COGS+OPEX Build'!$E$171)/1000000</f>
        <v>4.8600648</v>
      </c>
      <c r="P171" s="173">
        <f>(AVERAGE('Company Name Rev Build'!Q7,'Company Name Rev Build'!U7)*('Company Name Rev Build'!U18*'Company Name Rev Build'!U19)*12*'Company Name COGS+OPEX Build'!$E$171)/1000000</f>
        <v>8.1000648000000002</v>
      </c>
      <c r="Q171" s="173">
        <f>(AVERAGE('Company Name Rev Build'!U7,'Company Name Rev Build'!Y7)*('Company Name Rev Build'!Y18*'Company Name Rev Build'!Y19)*12*'Company Name COGS+OPEX Build'!$E$171)/1000000</f>
        <v>11.3400648</v>
      </c>
      <c r="R171" s="173">
        <f>(AVERAGE('Company Name Rev Build'!Y7,'Company Name Rev Build'!AC7)*('Company Name Rev Build'!AC18*'Company Name Rev Build'!AC19)*12*'Company Name COGS+OPEX Build'!$E$171)/1000000</f>
        <v>14.580064800000001</v>
      </c>
    </row>
    <row r="172" spans="3:18" x14ac:dyDescent="0.3">
      <c r="D172" s="146">
        <v>0.67</v>
      </c>
      <c r="E172" s="267">
        <v>20000</v>
      </c>
      <c r="J172" s="49" t="s">
        <v>234</v>
      </c>
      <c r="L172" s="297"/>
      <c r="M172" s="173">
        <v>0</v>
      </c>
      <c r="N172" s="173">
        <f>$E$172*'Company Name Rev Build'!M6*'Company Name COGS+OPEX Build'!$D$172/1000000</f>
        <v>0.67</v>
      </c>
      <c r="O172" s="173">
        <f>$E$172*'Company Name Rev Build'!Q6*'Company Name COGS+OPEX Build'!$D$172/1000000</f>
        <v>0.67</v>
      </c>
      <c r="P172" s="173">
        <f>$E$172*'Company Name Rev Build'!U6*'Company Name COGS+OPEX Build'!$D$172/1000000</f>
        <v>0.67</v>
      </c>
      <c r="Q172" s="173">
        <f>$E$172*'Company Name Rev Build'!Y6*'Company Name COGS+OPEX Build'!$D$172/1000000</f>
        <v>0.67</v>
      </c>
      <c r="R172" s="173">
        <f>$E$172*'Company Name Rev Build'!AC6*'Company Name COGS+OPEX Build'!$D$172/1000000</f>
        <v>0.67</v>
      </c>
    </row>
    <row r="173" spans="3:18" x14ac:dyDescent="0.3">
      <c r="D173" s="146"/>
      <c r="E173" s="268">
        <v>0.01</v>
      </c>
      <c r="J173" s="49" t="s">
        <v>235</v>
      </c>
      <c r="L173" s="297"/>
      <c r="M173" s="173">
        <v>0.1</v>
      </c>
      <c r="N173" s="173">
        <f>('Company Name Rev Build'!O23+'Company Name Rev Build'!O31)*$E$173/1000</f>
        <v>0.11389360799999998</v>
      </c>
      <c r="O173" s="173">
        <f>('Company Name Rev Build'!S23+'Company Name Rev Build'!S31)*$E$173/1000</f>
        <v>0.39083140799999999</v>
      </c>
      <c r="P173" s="173">
        <f>('Company Name Rev Build'!W23+'Company Name Rev Build'!W31)*$E$173/1000</f>
        <v>0.67344652799999993</v>
      </c>
      <c r="Q173" s="173">
        <f>('Company Name Rev Build'!AA23+'Company Name Rev Build'!AA31)*$E$173/1000</f>
        <v>0.97963204800000003</v>
      </c>
      <c r="R173" s="173">
        <f>('Company Name Rev Build'!AE23+'Company Name Rev Build'!AE31)*$E$173/1000</f>
        <v>1.309387968</v>
      </c>
    </row>
    <row r="174" spans="3:18" x14ac:dyDescent="0.3">
      <c r="E174" s="267">
        <v>8500</v>
      </c>
      <c r="J174" s="49" t="s">
        <v>236</v>
      </c>
      <c r="L174" s="297"/>
      <c r="M174" s="173">
        <v>0.8</v>
      </c>
      <c r="N174" s="173">
        <f>$E$174*'Company Name Rev Build'!O12/1000000</f>
        <v>1.6915</v>
      </c>
      <c r="O174" s="173">
        <f>$E$174*'Company Name Rev Build'!S12/1000000</f>
        <v>2.1164999999999998</v>
      </c>
      <c r="P174" s="173">
        <f>$E$174*'Company Name Rev Build'!W12/1000000</f>
        <v>2.5415000000000001</v>
      </c>
      <c r="Q174" s="173">
        <f>$E$174*'Company Name Rev Build'!AA12/1000000</f>
        <v>2.9664999999999999</v>
      </c>
      <c r="R174" s="173">
        <f>$E$174*'Company Name Rev Build'!AE12/1000000</f>
        <v>3.3915000000000002</v>
      </c>
    </row>
    <row r="175" spans="3:18" x14ac:dyDescent="0.3">
      <c r="D175" s="254" t="s">
        <v>219</v>
      </c>
      <c r="E175" s="255" t="s">
        <v>220</v>
      </c>
      <c r="J175" s="49" t="s">
        <v>10</v>
      </c>
      <c r="L175" s="297"/>
      <c r="M175" s="173">
        <v>0.159</v>
      </c>
      <c r="N175" s="173">
        <f>('Company Name Rev Build'!I10*87000/7+AVERAGE('Company Name Rev Build'!M9,'Company Name Rev Build'!M6)*'Company Name COGS+OPEX Build'!D176/7)/1000000</f>
        <v>0.84407142857142858</v>
      </c>
      <c r="O175" s="173">
        <f>('Company Name Rev Build'!M10*D176/7+AVERAGE('Company Name Rev Build'!Q9,'Company Name Rev Build'!Q6)*E176/7)/1000000</f>
        <v>1.6622142857142856</v>
      </c>
      <c r="P175" s="173">
        <f>('Company Name Rev Build'!Q10*E176/7+AVERAGE('Company Name Rev Build'!U9,'Company Name Rev Build'!U6)*E176/7)/1000000</f>
        <v>2.5542857142857147</v>
      </c>
      <c r="Q175" s="173">
        <f>('Company Name Rev Build'!U10*E176/7+AVERAGE('Company Name Rev Build'!Y9,'Company Name Rev Build'!Y6)*E176/7)/1000000</f>
        <v>3.8828571428571426</v>
      </c>
      <c r="R175" s="173">
        <f>('Company Name Rev Build'!Y10*E176/7+AVERAGE('Company Name Rev Build'!AC9,'Company Name Rev Build'!AC6)*E176/7)/1000000</f>
        <v>5.4685714285714289</v>
      </c>
    </row>
    <row r="176" spans="3:18" x14ac:dyDescent="0.3">
      <c r="D176" s="256">
        <f>AVERAGE(87000,60000)</f>
        <v>73500</v>
      </c>
      <c r="E176" s="257">
        <v>60000</v>
      </c>
      <c r="J176" s="49" t="s">
        <v>11</v>
      </c>
      <c r="L176" s="297"/>
      <c r="M176" s="173">
        <v>0.312</v>
      </c>
      <c r="N176" s="173">
        <f>$D$176*'Company Name Rev Build'!O12/1000000</f>
        <v>14.6265</v>
      </c>
      <c r="O176" s="173">
        <f>$E$176*'Company Name Rev Build'!S12/1000000</f>
        <v>14.94</v>
      </c>
      <c r="P176" s="173">
        <f>$E$176*'Company Name Rev Build'!W12/1000000</f>
        <v>17.940000000000001</v>
      </c>
      <c r="Q176" s="173">
        <f>$E$176*'Company Name Rev Build'!AA12/1000000</f>
        <v>20.94</v>
      </c>
      <c r="R176" s="173">
        <f>$E$176*'Company Name Rev Build'!AE12/1000000</f>
        <v>23.94</v>
      </c>
    </row>
    <row r="177" spans="3:18" x14ac:dyDescent="0.3">
      <c r="E177" s="258">
        <v>0.03</v>
      </c>
      <c r="J177" s="49" t="s">
        <v>12</v>
      </c>
      <c r="L177" s="297"/>
      <c r="M177" s="173">
        <f>$E$177*M183</f>
        <v>1.4907479999999997E-2</v>
      </c>
      <c r="N177" s="173">
        <f>$E$177*N183</f>
        <v>1.1360808239999998</v>
      </c>
      <c r="O177" s="173">
        <f t="shared" ref="O177:R177" si="111">$E$177*O183</f>
        <v>2.251294224</v>
      </c>
      <c r="P177" s="173">
        <f t="shared" si="111"/>
        <v>3.3831495840000003</v>
      </c>
      <c r="Q177" s="173">
        <f t="shared" si="111"/>
        <v>4.6091161439999997</v>
      </c>
      <c r="R177" s="173">
        <f t="shared" si="111"/>
        <v>5.9291939039999999</v>
      </c>
    </row>
    <row r="178" spans="3:18" x14ac:dyDescent="0.3">
      <c r="E178" s="258">
        <v>0.03</v>
      </c>
      <c r="J178" s="49" t="s">
        <v>237</v>
      </c>
      <c r="L178" s="297"/>
      <c r="M178" s="173">
        <v>0</v>
      </c>
      <c r="N178" s="173">
        <f>N183*$E$178</f>
        <v>1.1360808239999998</v>
      </c>
      <c r="O178" s="173">
        <f t="shared" ref="O178:R178" si="112">O183*$E$178</f>
        <v>2.251294224</v>
      </c>
      <c r="P178" s="173">
        <f t="shared" si="112"/>
        <v>3.3831495840000003</v>
      </c>
      <c r="Q178" s="173">
        <f t="shared" si="112"/>
        <v>4.6091161439999997</v>
      </c>
      <c r="R178" s="173">
        <f t="shared" si="112"/>
        <v>5.9291939039999999</v>
      </c>
    </row>
    <row r="179" spans="3:18" x14ac:dyDescent="0.3">
      <c r="D179" s="23" t="s">
        <v>239</v>
      </c>
      <c r="E179" s="146">
        <v>0.2</v>
      </c>
      <c r="J179" s="49" t="s">
        <v>238</v>
      </c>
      <c r="L179" s="297"/>
      <c r="M179" s="173">
        <v>0</v>
      </c>
      <c r="N179" s="173">
        <v>0.5</v>
      </c>
      <c r="O179" s="173">
        <f>N179*(1+$E$179)</f>
        <v>0.6</v>
      </c>
      <c r="P179" s="173">
        <f t="shared" ref="P179:R179" si="113">O179*(1+$E$179)</f>
        <v>0.72</v>
      </c>
      <c r="Q179" s="173">
        <f t="shared" si="113"/>
        <v>0.86399999999999999</v>
      </c>
      <c r="R179" s="173">
        <f t="shared" si="113"/>
        <v>1.0367999999999999</v>
      </c>
    </row>
    <row r="180" spans="3:18" x14ac:dyDescent="0.3">
      <c r="J180" s="250" t="s">
        <v>26</v>
      </c>
      <c r="K180" s="250"/>
      <c r="L180" s="309"/>
      <c r="M180" s="251"/>
      <c r="N180" s="251"/>
      <c r="O180" s="251"/>
      <c r="P180" s="251"/>
      <c r="Q180" s="251"/>
      <c r="R180" s="251"/>
    </row>
    <row r="181" spans="3:18" x14ac:dyDescent="0.3">
      <c r="J181" s="48" t="s">
        <v>218</v>
      </c>
      <c r="L181" s="297"/>
      <c r="M181" s="187">
        <v>3.2949999999999999</v>
      </c>
      <c r="N181" s="187">
        <v>25.66</v>
      </c>
      <c r="O181" s="174">
        <f>SUM(O171:O180,O169,O163)</f>
        <v>33.088645853834279</v>
      </c>
      <c r="P181" s="174">
        <f t="shared" ref="P181:R181" si="114">SUM(P171:P180,P169,P163)</f>
        <v>43.378972060648117</v>
      </c>
      <c r="Q181" s="174">
        <f t="shared" si="114"/>
        <v>54.342929646226793</v>
      </c>
      <c r="R181" s="174">
        <f t="shared" si="114"/>
        <v>65.805988239288467</v>
      </c>
    </row>
    <row r="182" spans="3:18" x14ac:dyDescent="0.3">
      <c r="D182" s="263" t="s">
        <v>225</v>
      </c>
      <c r="E182" s="264">
        <v>0.1</v>
      </c>
      <c r="J182" s="250" t="s">
        <v>226</v>
      </c>
      <c r="K182" s="250"/>
      <c r="L182" s="309"/>
      <c r="M182" s="252">
        <f>(M183-M181)/M183</f>
        <v>-5.6308993874216178</v>
      </c>
      <c r="N182" s="252">
        <f>(N183-N181)/N183</f>
        <v>0.32240736421407978</v>
      </c>
      <c r="O182" s="252">
        <f>(O183-O181)/O183</f>
        <v>0.55907168195398504</v>
      </c>
      <c r="P182" s="252">
        <f t="shared" ref="P182:R182" si="115">(P183-P181)/P183</f>
        <v>0.61533797737645546</v>
      </c>
      <c r="Q182" s="252">
        <f t="shared" si="115"/>
        <v>0.64629056017408881</v>
      </c>
      <c r="R182" s="252">
        <f t="shared" si="115"/>
        <v>0.66704080198038096</v>
      </c>
    </row>
    <row r="183" spans="3:18" x14ac:dyDescent="0.3">
      <c r="J183" s="49" t="s">
        <v>227</v>
      </c>
      <c r="L183" s="297"/>
      <c r="M183" s="262">
        <f>SUM('Company Name Rev Build'!K36,'Company Name Rev Build'!K39)/1000</f>
        <v>0.49691599999999991</v>
      </c>
      <c r="N183" s="262">
        <f>SUM('Company Name Rev Build'!O36,'Company Name Rev Build'!O39)/1000</f>
        <v>37.869360799999995</v>
      </c>
      <c r="O183" s="262">
        <f>SUM('Company Name Rev Build'!S36,'Company Name Rev Build'!S39)/1000</f>
        <v>75.043140800000003</v>
      </c>
      <c r="P183" s="262">
        <f>SUM('Company Name Rev Build'!W36,'Company Name Rev Build'!W39)/1000</f>
        <v>112.77165280000001</v>
      </c>
      <c r="Q183" s="262">
        <f>SUM('Company Name Rev Build'!AA36,'Company Name Rev Build'!AA39)/1000</f>
        <v>153.63720480000001</v>
      </c>
      <c r="R183" s="262">
        <f>SUM('Company Name Rev Build'!AE36,'Company Name Rev Build'!AE39)/1000</f>
        <v>197.6397968</v>
      </c>
    </row>
    <row r="184" spans="3:18" x14ac:dyDescent="0.3">
      <c r="L184" s="297"/>
      <c r="M184" s="173"/>
      <c r="N184" s="173"/>
      <c r="O184" s="173"/>
      <c r="P184" s="173"/>
      <c r="Q184" s="173"/>
      <c r="R184" s="173"/>
    </row>
    <row r="185" spans="3:18" x14ac:dyDescent="0.3">
      <c r="C185" s="42">
        <f t="shared" ref="C185" si="116">D185/(1+$D$2)</f>
        <v>38000</v>
      </c>
      <c r="D185" s="130">
        <v>47500</v>
      </c>
      <c r="J185" s="136" t="s">
        <v>184</v>
      </c>
      <c r="L185" s="290">
        <v>2</v>
      </c>
      <c r="M185" s="49">
        <v>11</v>
      </c>
      <c r="N185" s="49">
        <v>11</v>
      </c>
      <c r="O185" s="49">
        <v>11</v>
      </c>
      <c r="P185" s="49">
        <v>11</v>
      </c>
      <c r="Q185" s="49">
        <v>11</v>
      </c>
      <c r="R185" s="49">
        <v>11</v>
      </c>
    </row>
    <row r="187" spans="3:18" x14ac:dyDescent="0.3">
      <c r="J187" s="51" t="s">
        <v>185</v>
      </c>
      <c r="K187" s="51"/>
      <c r="L187" s="300">
        <f>$D185*L185/10^6*L$2</f>
        <v>9.5000000000000001E-2</v>
      </c>
      <c r="M187" s="176">
        <f t="shared" ref="M187:O187" si="117">$D185*M185/10^6*M$2</f>
        <v>0.53294999999999992</v>
      </c>
      <c r="N187" s="176">
        <f t="shared" si="117"/>
        <v>0.54360900000000001</v>
      </c>
      <c r="O187" s="176">
        <f t="shared" si="117"/>
        <v>0.55448117999999991</v>
      </c>
      <c r="P187" s="176">
        <f t="shared" ref="P187:Q187" si="118">$D185*P185/10^6*P$2</f>
        <v>0.56557080359999989</v>
      </c>
      <c r="Q187" s="176">
        <f t="shared" si="118"/>
        <v>0.57688221967199993</v>
      </c>
      <c r="R187" s="176">
        <f t="shared" ref="R187" si="119">$D185*R185/10^6*R$2</f>
        <v>0.58841986406544</v>
      </c>
    </row>
    <row r="188" spans="3:18" x14ac:dyDescent="0.3">
      <c r="D188" s="137">
        <v>1</v>
      </c>
      <c r="E188" s="137">
        <v>1</v>
      </c>
      <c r="F188" s="137">
        <v>1</v>
      </c>
      <c r="G188" s="137">
        <v>1</v>
      </c>
      <c r="J188" s="52" t="s">
        <v>111</v>
      </c>
      <c r="L188" s="297">
        <f>$D185/12*D188*L185*L$2/10^6</f>
        <v>7.9166666666666673E-3</v>
      </c>
      <c r="M188" s="173">
        <f>$D185/12*E188*M185*M$2/10^6</f>
        <v>4.4412500000000008E-2</v>
      </c>
      <c r="N188" s="173">
        <f>$D185/12*F188*N185*N$2/10^6</f>
        <v>4.5300750000000008E-2</v>
      </c>
      <c r="O188" s="173">
        <f>$D185/12*$G$188*O185*O$2/10^6</f>
        <v>4.6206764999999997E-2</v>
      </c>
      <c r="P188" s="173">
        <f>$D185/12*$G$188*P185*P$2/10^6</f>
        <v>4.71309003E-2</v>
      </c>
      <c r="Q188" s="173">
        <f>$D185/12*$G$188*Q185*Q$2/10^6</f>
        <v>4.8073518306000006E-2</v>
      </c>
      <c r="R188" s="173">
        <f>$D185/12*$G$188*R185*R$2/10^6</f>
        <v>4.9034988672120007E-2</v>
      </c>
    </row>
    <row r="189" spans="3:18" x14ac:dyDescent="0.3">
      <c r="J189" s="51" t="s">
        <v>186</v>
      </c>
      <c r="K189" s="51"/>
      <c r="L189" s="300">
        <f>SUM(L187:L188)</f>
        <v>0.10291666666666667</v>
      </c>
      <c r="M189" s="176">
        <f t="shared" ref="M189:O189" si="120">SUM(M187:M188)</f>
        <v>0.57736249999999989</v>
      </c>
      <c r="N189" s="176">
        <f t="shared" si="120"/>
        <v>0.58890975000000001</v>
      </c>
      <c r="O189" s="176">
        <f t="shared" si="120"/>
        <v>0.60068794499999989</v>
      </c>
      <c r="P189" s="176">
        <f t="shared" ref="P189:Q189" si="121">SUM(P187:P188)</f>
        <v>0.61270170389999989</v>
      </c>
      <c r="Q189" s="176">
        <f t="shared" si="121"/>
        <v>0.62495573797799997</v>
      </c>
      <c r="R189" s="176">
        <f t="shared" ref="R189" si="122">SUM(R187:R188)</f>
        <v>0.63745485273755997</v>
      </c>
    </row>
    <row r="190" spans="3:18" x14ac:dyDescent="0.3">
      <c r="J190" s="49" t="s">
        <v>221</v>
      </c>
      <c r="L190" s="297"/>
      <c r="M190" s="173">
        <f>M191-M189</f>
        <v>6.5636375000000005</v>
      </c>
      <c r="N190" s="173">
        <f>N191-N189</f>
        <v>7.9330902500000002</v>
      </c>
      <c r="O190" s="173">
        <f>O191-O189</f>
        <v>8.5174550440317986</v>
      </c>
      <c r="P190" s="173">
        <f t="shared" ref="P190:R190" si="123">P191-P189</f>
        <v>9.1568870232660231</v>
      </c>
      <c r="Q190" s="173">
        <f t="shared" si="123"/>
        <v>9.9171349396541952</v>
      </c>
      <c r="R190" s="173">
        <f t="shared" si="123"/>
        <v>10.910329009973168</v>
      </c>
    </row>
    <row r="191" spans="3:18" x14ac:dyDescent="0.3">
      <c r="J191" s="50" t="s">
        <v>222</v>
      </c>
      <c r="K191" s="50"/>
      <c r="L191" s="298"/>
      <c r="M191" s="174">
        <v>7.141</v>
      </c>
      <c r="N191" s="174">
        <v>8.5220000000000002</v>
      </c>
      <c r="O191" s="174">
        <f>O193*(1-O192)</f>
        <v>9.1181429890317993</v>
      </c>
      <c r="P191" s="174">
        <f t="shared" ref="P191:R191" si="124">P193*(1-P192)</f>
        <v>9.7695887271660222</v>
      </c>
      <c r="Q191" s="174">
        <f t="shared" si="124"/>
        <v>10.542090677632196</v>
      </c>
      <c r="R191" s="174">
        <f t="shared" si="124"/>
        <v>11.547783862710729</v>
      </c>
    </row>
    <row r="192" spans="3:18" x14ac:dyDescent="0.3">
      <c r="D192" s="263" t="s">
        <v>225</v>
      </c>
      <c r="E192" s="264">
        <v>0.05</v>
      </c>
      <c r="J192" s="250" t="s">
        <v>223</v>
      </c>
      <c r="K192" s="250"/>
      <c r="L192" s="309"/>
      <c r="M192" s="252">
        <f>(M193-M191)/M193</f>
        <v>0.32197113558678314</v>
      </c>
      <c r="N192" s="252">
        <f>(N193-N191)/N193</f>
        <v>0.32754675293931979</v>
      </c>
      <c r="O192" s="252">
        <f>N192*(1+$E$192)</f>
        <v>0.34392409058628581</v>
      </c>
      <c r="P192" s="252">
        <f>O192*(1+$E$192)</f>
        <v>0.36112029511560012</v>
      </c>
      <c r="Q192" s="252">
        <f t="shared" ref="Q192:R192" si="125">P192*(1+$E$192)</f>
        <v>0.37917630987138012</v>
      </c>
      <c r="R192" s="252">
        <f t="shared" si="125"/>
        <v>0.39813512536494916</v>
      </c>
    </row>
    <row r="193" spans="4:18" x14ac:dyDescent="0.3">
      <c r="J193" s="49" t="s">
        <v>224</v>
      </c>
      <c r="L193" s="297"/>
      <c r="M193" s="261">
        <f>SUM('Company Name Rev Build'!K55,'Company Name Rev Build'!K45)/1000</f>
        <v>10.532</v>
      </c>
      <c r="N193" s="262">
        <f>SUM('Company Name Rev Build'!O45,'Company Name Rev Build'!O55)/1000</f>
        <v>12.673</v>
      </c>
      <c r="O193" s="262">
        <f>SUM('Company Name Rev Build'!S45,'Company Name Rev Build'!S55)/1000</f>
        <v>13.898</v>
      </c>
      <c r="P193" s="262">
        <f>SUM('Company Name Rev Build'!W45,'Company Name Rev Build'!W55)/1000</f>
        <v>15.29175</v>
      </c>
      <c r="Q193" s="262">
        <f>SUM('Company Name Rev Build'!AA45,'Company Name Rev Build'!AA55)/1000</f>
        <v>16.980812499999999</v>
      </c>
      <c r="R193" s="262">
        <f>SUM('Company Name Rev Build'!AE45,'Company Name Rev Build'!AE55)/1000</f>
        <v>19.186671874999998</v>
      </c>
    </row>
    <row r="194" spans="4:18" x14ac:dyDescent="0.3">
      <c r="L194" s="297"/>
      <c r="M194" s="173"/>
      <c r="N194" s="173"/>
      <c r="O194" s="173"/>
      <c r="P194" s="173"/>
      <c r="Q194" s="173"/>
      <c r="R194" s="173"/>
    </row>
    <row r="195" spans="4:18" x14ac:dyDescent="0.3">
      <c r="J195" s="259" t="s">
        <v>203</v>
      </c>
      <c r="K195" s="259"/>
      <c r="L195" s="310">
        <f>L190+SUM(L171:L180)+L154+L144</f>
        <v>0</v>
      </c>
      <c r="M195" s="260">
        <f t="shared" ref="M195:R195" si="126">M190+SUM(M171:M180)+M154+M144</f>
        <v>7.9495449800000006</v>
      </c>
      <c r="N195" s="260">
        <f t="shared" si="126"/>
        <v>31.904251749321428</v>
      </c>
      <c r="O195" s="260">
        <f t="shared" si="126"/>
        <v>40.277397592969713</v>
      </c>
      <c r="P195" s="260">
        <f t="shared" si="126"/>
        <v>51.557373463208329</v>
      </c>
      <c r="Q195" s="260">
        <f t="shared" si="126"/>
        <v>63.494846447591428</v>
      </c>
      <c r="R195" s="260">
        <f t="shared" si="126"/>
        <v>76.008432298984047</v>
      </c>
    </row>
    <row r="196" spans="4:18" x14ac:dyDescent="0.3">
      <c r="L196" s="297"/>
      <c r="M196" s="173"/>
      <c r="N196" s="173"/>
      <c r="O196" s="173"/>
      <c r="P196" s="173"/>
      <c r="Q196" s="173"/>
      <c r="R196" s="173"/>
    </row>
    <row r="197" spans="4:18" x14ac:dyDescent="0.3">
      <c r="J197" s="259" t="s">
        <v>202</v>
      </c>
      <c r="K197" s="259"/>
      <c r="L197" s="310">
        <f>L189+L169+L163+L143+L153</f>
        <v>0.71316049999999997</v>
      </c>
      <c r="M197" s="260">
        <f>M189+M169+M163+M143+M153</f>
        <v>2.4968370050000002</v>
      </c>
      <c r="N197" s="260">
        <f t="shared" ref="N197:R197" si="127">N189+N169+N163+N143+N153</f>
        <v>4.8017700412499993</v>
      </c>
      <c r="O197" s="260">
        <f t="shared" si="127"/>
        <v>5.2247147670899992</v>
      </c>
      <c r="P197" s="260">
        <f t="shared" si="127"/>
        <v>5.3292090624317989</v>
      </c>
      <c r="Q197" s="260">
        <f t="shared" si="127"/>
        <v>5.4357932436804361</v>
      </c>
      <c r="R197" s="260">
        <f t="shared" si="127"/>
        <v>5.5445091085540446</v>
      </c>
    </row>
    <row r="198" spans="4:18" x14ac:dyDescent="0.3">
      <c r="J198" s="48"/>
      <c r="K198" s="48"/>
      <c r="L198" s="306"/>
      <c r="M198" s="187"/>
      <c r="N198" s="187"/>
      <c r="O198" s="187"/>
      <c r="P198" s="187"/>
      <c r="Q198" s="187"/>
      <c r="R198" s="187"/>
    </row>
    <row r="199" spans="4:18" x14ac:dyDescent="0.3">
      <c r="D199" t="s">
        <v>230</v>
      </c>
      <c r="E199" s="139">
        <v>0.05</v>
      </c>
      <c r="J199" s="49" t="s">
        <v>99</v>
      </c>
      <c r="L199" s="297">
        <v>0.21199999999999999</v>
      </c>
      <c r="M199" s="173">
        <f t="shared" ref="M199:R199" si="128">L199*(1+$E$199)</f>
        <v>0.22259999999999999</v>
      </c>
      <c r="N199" s="173">
        <f t="shared" si="128"/>
        <v>0.23372999999999999</v>
      </c>
      <c r="O199" s="173">
        <f t="shared" si="128"/>
        <v>0.24541650000000001</v>
      </c>
      <c r="P199" s="173">
        <f t="shared" si="128"/>
        <v>0.25768732500000002</v>
      </c>
      <c r="Q199" s="173">
        <f t="shared" si="128"/>
        <v>0.27057169125000002</v>
      </c>
      <c r="R199" s="173">
        <f t="shared" si="128"/>
        <v>0.28410027581250002</v>
      </c>
    </row>
    <row r="200" spans="4:18" x14ac:dyDescent="0.3">
      <c r="D200" t="s">
        <v>230</v>
      </c>
      <c r="E200" s="139">
        <v>0.05</v>
      </c>
      <c r="J200" s="180" t="s">
        <v>26</v>
      </c>
      <c r="L200" s="311">
        <v>0.3</v>
      </c>
      <c r="M200" s="173">
        <f>M205-M199-M191-M181-M155-M145</f>
        <v>0.84340000000000082</v>
      </c>
      <c r="N200" s="173">
        <f>N205-N199-N191-N181-N155-N145</f>
        <v>1.1482699999999977</v>
      </c>
      <c r="O200" s="173">
        <f>N200*(1+$E$200)</f>
        <v>1.2056834999999977</v>
      </c>
      <c r="P200" s="173">
        <f>O200*(1+$E$200)</f>
        <v>1.2659676749999975</v>
      </c>
      <c r="Q200" s="173">
        <f>P200*(1+$E$200)</f>
        <v>1.3292660587499974</v>
      </c>
      <c r="R200" s="173">
        <f>Q200*(1+$E$200)</f>
        <v>1.3957293616874973</v>
      </c>
    </row>
    <row r="201" spans="4:18" ht="14.5" thickBot="1" x14ac:dyDescent="0.35">
      <c r="J201" s="186" t="s">
        <v>231</v>
      </c>
      <c r="K201" s="186"/>
      <c r="L201" s="302">
        <f>SUM(L199:L200)</f>
        <v>0.51200000000000001</v>
      </c>
      <c r="M201" s="188">
        <f>SUM(M199:M200)</f>
        <v>1.0660000000000007</v>
      </c>
      <c r="N201" s="188">
        <f t="shared" ref="N201:R201" si="129">SUM(N199:N200)</f>
        <v>1.3819999999999977</v>
      </c>
      <c r="O201" s="188">
        <f t="shared" si="129"/>
        <v>1.4510999999999976</v>
      </c>
      <c r="P201" s="188">
        <f t="shared" si="129"/>
        <v>1.5236549999999975</v>
      </c>
      <c r="Q201" s="188">
        <f t="shared" si="129"/>
        <v>1.5998377499999974</v>
      </c>
      <c r="R201" s="188">
        <f t="shared" si="129"/>
        <v>1.6798296374999973</v>
      </c>
    </row>
    <row r="202" spans="4:18" ht="15" thickTop="1" x14ac:dyDescent="0.35">
      <c r="J202" s="52" t="s">
        <v>86</v>
      </c>
      <c r="L202" s="300">
        <f>L201*stub1h24</f>
        <v>0.38400000000000001</v>
      </c>
      <c r="M202" s="166"/>
      <c r="N202" s="166"/>
      <c r="O202" s="166"/>
      <c r="P202" s="166"/>
      <c r="Q202" s="166"/>
      <c r="R202" s="166"/>
    </row>
    <row r="203" spans="4:18" x14ac:dyDescent="0.3">
      <c r="J203" s="180" t="s">
        <v>33</v>
      </c>
      <c r="L203" s="297">
        <v>8.3000000000000004E-2</v>
      </c>
      <c r="M203" s="173"/>
      <c r="N203" s="173"/>
      <c r="O203" s="173"/>
      <c r="P203" s="173"/>
      <c r="Q203" s="173"/>
      <c r="R203" s="173"/>
    </row>
    <row r="204" spans="4:18" x14ac:dyDescent="0.3">
      <c r="J204" s="180" t="s">
        <v>191</v>
      </c>
      <c r="L204" s="297"/>
      <c r="M204" s="173"/>
      <c r="N204" s="173"/>
      <c r="O204" s="173"/>
      <c r="P204" s="173"/>
      <c r="Q204" s="173"/>
      <c r="R204" s="173"/>
    </row>
    <row r="205" spans="4:18" ht="14.5" thickBot="1" x14ac:dyDescent="0.35">
      <c r="J205" s="202" t="s">
        <v>198</v>
      </c>
      <c r="K205" s="203"/>
      <c r="L205" s="302">
        <f>L201+L197+L204+L195</f>
        <v>1.2251604999999999</v>
      </c>
      <c r="M205" s="204">
        <v>11.502000000000001</v>
      </c>
      <c r="N205" s="204">
        <v>38.128999999999998</v>
      </c>
      <c r="O205" s="204">
        <f>O201+O197+O195</f>
        <v>46.953212360059709</v>
      </c>
      <c r="P205" s="204">
        <f t="shared" ref="P205:R205" si="130">P201+P197+P195</f>
        <v>58.410237525640127</v>
      </c>
      <c r="Q205" s="204">
        <f t="shared" si="130"/>
        <v>70.530477441271856</v>
      </c>
      <c r="R205" s="204">
        <f t="shared" si="130"/>
        <v>83.232771045038092</v>
      </c>
    </row>
    <row r="206" spans="4:18" ht="14.5" thickTop="1" x14ac:dyDescent="0.3"/>
    <row r="207" spans="4:18" ht="14.5" x14ac:dyDescent="0.35">
      <c r="J207" s="197" t="s">
        <v>207</v>
      </c>
      <c r="K207" s="198"/>
      <c r="L207" s="308">
        <f>L139+L159+L165+L185+L149</f>
        <v>6</v>
      </c>
      <c r="M207" s="198">
        <f>M139+M159+M165+M185+M149</f>
        <v>23</v>
      </c>
      <c r="N207" s="198">
        <f t="shared" ref="N207:R207" si="131">N139+N159+N165+N185+N149</f>
        <v>38</v>
      </c>
      <c r="O207" s="198">
        <f t="shared" si="131"/>
        <v>39</v>
      </c>
      <c r="P207" s="198">
        <f t="shared" si="131"/>
        <v>39</v>
      </c>
      <c r="Q207" s="198">
        <f t="shared" si="131"/>
        <v>39</v>
      </c>
      <c r="R207" s="198">
        <f t="shared" si="131"/>
        <v>39</v>
      </c>
    </row>
    <row r="211" spans="10:20" x14ac:dyDescent="0.3">
      <c r="J211" s="49" t="s">
        <v>164</v>
      </c>
      <c r="L211" s="312">
        <f>L34/L11</f>
        <v>9.7333333333333327E-2</v>
      </c>
      <c r="M211" s="194">
        <f t="shared" ref="M211:R211" si="132">L211+$T$211</f>
        <v>9.2333333333333323E-2</v>
      </c>
      <c r="N211" s="194">
        <f t="shared" si="132"/>
        <v>8.7333333333333318E-2</v>
      </c>
      <c r="O211" s="194">
        <f t="shared" si="132"/>
        <v>8.2333333333333314E-2</v>
      </c>
      <c r="P211" s="194">
        <f t="shared" si="132"/>
        <v>7.733333333333331E-2</v>
      </c>
      <c r="Q211" s="194">
        <f t="shared" si="132"/>
        <v>7.2333333333333305E-2</v>
      </c>
      <c r="R211" s="194">
        <f t="shared" si="132"/>
        <v>6.7333333333333301E-2</v>
      </c>
      <c r="T211" s="214">
        <v>-5.0000000000000001E-3</v>
      </c>
    </row>
    <row r="213" spans="10:20" x14ac:dyDescent="0.3">
      <c r="L213" s="297"/>
      <c r="M213" s="173"/>
      <c r="N213" s="173"/>
      <c r="O213" s="173"/>
      <c r="P213" s="173"/>
      <c r="Q213" s="173"/>
      <c r="R213" s="173"/>
    </row>
    <row r="214" spans="10:20" x14ac:dyDescent="0.3">
      <c r="L214" s="313"/>
      <c r="M214" s="195"/>
      <c r="N214" s="195"/>
      <c r="O214" s="195"/>
      <c r="P214" s="195"/>
      <c r="Q214" s="195"/>
      <c r="R214" s="195"/>
    </row>
    <row r="215" spans="10:20" x14ac:dyDescent="0.3">
      <c r="L215" s="314"/>
    </row>
    <row r="216" spans="10:20" x14ac:dyDescent="0.3">
      <c r="L216" s="314"/>
    </row>
  </sheetData>
  <pageMargins left="0.7" right="0.7" top="0.75" bottom="0.75" header="0.3" footer="0.3"/>
  <pageSetup scale="2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9974-FB14-4FCE-BF70-3D534389BF8F}">
  <dimension ref="A1:T9"/>
  <sheetViews>
    <sheetView workbookViewId="0">
      <selection activeCell="A2" sqref="A2"/>
    </sheetView>
  </sheetViews>
  <sheetFormatPr defaultColWidth="8.58203125" defaultRowHeight="14.5" x14ac:dyDescent="0.35"/>
  <cols>
    <col min="1" max="1" width="12.83203125" style="241" bestFit="1" customWidth="1"/>
    <col min="2" max="2" width="12.08203125" style="241" bestFit="1" customWidth="1"/>
    <col min="3" max="3" width="6.75" style="241" bestFit="1" customWidth="1"/>
    <col min="4" max="4" width="13.08203125" style="241" bestFit="1" customWidth="1"/>
    <col min="5" max="5" width="11.08203125" style="241" customWidth="1"/>
    <col min="6" max="6" width="12.08203125" style="241" bestFit="1" customWidth="1"/>
    <col min="7" max="7" width="6.75" style="241" bestFit="1" customWidth="1"/>
    <col min="8" max="8" width="13.08203125" style="241" bestFit="1" customWidth="1"/>
    <col min="9" max="9" width="11.08203125" style="241" customWidth="1"/>
    <col min="10" max="10" width="12.08203125" style="241" bestFit="1" customWidth="1"/>
    <col min="11" max="11" width="6.75" style="241" bestFit="1" customWidth="1"/>
    <col min="12" max="12" width="13.08203125" style="241" bestFit="1" customWidth="1"/>
    <col min="13" max="13" width="11.08203125" style="241" customWidth="1"/>
    <col min="14" max="14" width="12.08203125" style="241" bestFit="1" customWidth="1"/>
    <col min="15" max="15" width="6.75" style="241" bestFit="1" customWidth="1"/>
    <col min="16" max="16" width="13.08203125" style="241" bestFit="1" customWidth="1"/>
    <col min="17" max="17" width="11.08203125" style="241" customWidth="1"/>
    <col min="18" max="18" width="12.08203125" style="241" bestFit="1" customWidth="1"/>
    <col min="19" max="19" width="6.75" style="241" bestFit="1" customWidth="1"/>
    <col min="20" max="20" width="13.08203125" style="241" bestFit="1" customWidth="1"/>
    <col min="21" max="16384" width="8.58203125" style="241"/>
  </cols>
  <sheetData>
    <row r="1" spans="1:20" s="239" customFormat="1" x14ac:dyDescent="0.35">
      <c r="A1" s="244" t="s">
        <v>177</v>
      </c>
      <c r="B1" s="244" t="s">
        <v>178</v>
      </c>
      <c r="C1" s="244">
        <v>2026</v>
      </c>
      <c r="D1" s="244" t="s">
        <v>179</v>
      </c>
      <c r="E1" s="240"/>
      <c r="F1" s="244" t="s">
        <v>178</v>
      </c>
      <c r="G1" s="240">
        <f>C1+1</f>
        <v>2027</v>
      </c>
      <c r="H1" s="244" t="s">
        <v>179</v>
      </c>
      <c r="J1" s="244" t="s">
        <v>178</v>
      </c>
      <c r="K1" s="240">
        <f>G1+1</f>
        <v>2028</v>
      </c>
      <c r="L1" s="244" t="s">
        <v>179</v>
      </c>
      <c r="N1" s="244" t="s">
        <v>178</v>
      </c>
      <c r="O1" s="240">
        <f>K1+1</f>
        <v>2029</v>
      </c>
      <c r="P1" s="244" t="s">
        <v>179</v>
      </c>
      <c r="R1" s="244" t="s">
        <v>178</v>
      </c>
      <c r="S1" s="240">
        <f>O1+1</f>
        <v>2030</v>
      </c>
      <c r="T1" s="244" t="s">
        <v>179</v>
      </c>
    </row>
    <row r="2" spans="1:20" x14ac:dyDescent="0.35">
      <c r="A2" s="355" t="s">
        <v>245</v>
      </c>
      <c r="B2" s="241">
        <v>121</v>
      </c>
      <c r="C2" s="241">
        <v>120000</v>
      </c>
      <c r="D2" s="241">
        <f>SUMPRODUCT(B2,C2)</f>
        <v>14520000</v>
      </c>
      <c r="F2" s="241">
        <f>F5-F3</f>
        <v>157</v>
      </c>
      <c r="G2" s="241">
        <f>C2</f>
        <v>120000</v>
      </c>
      <c r="H2" s="241">
        <f>SUMPRODUCT(F2,G2)</f>
        <v>18840000</v>
      </c>
      <c r="J2" s="241">
        <f>J5-J3</f>
        <v>184</v>
      </c>
      <c r="K2" s="241">
        <f>G2</f>
        <v>120000</v>
      </c>
      <c r="L2" s="241">
        <f>SUMPRODUCT(J2,K2)</f>
        <v>22080000</v>
      </c>
      <c r="N2" s="241">
        <f>N5-N3</f>
        <v>211</v>
      </c>
      <c r="O2" s="241">
        <f>K2</f>
        <v>120000</v>
      </c>
      <c r="P2" s="241">
        <f>SUMPRODUCT(N2,O2)</f>
        <v>25320000</v>
      </c>
      <c r="R2" s="241">
        <f>R5-R3</f>
        <v>238</v>
      </c>
      <c r="S2" s="241">
        <f>O2</f>
        <v>120000</v>
      </c>
      <c r="T2" s="241">
        <f>SUMPRODUCT(R2,S2)</f>
        <v>28560000</v>
      </c>
    </row>
    <row r="3" spans="1:20" x14ac:dyDescent="0.35">
      <c r="A3" s="241" t="s">
        <v>173</v>
      </c>
      <c r="B3" s="241">
        <v>14</v>
      </c>
      <c r="C3" s="241">
        <v>185000</v>
      </c>
      <c r="D3" s="241">
        <f t="shared" ref="D3:D4" si="0">SUMPRODUCT(B3,C3)</f>
        <v>2590000</v>
      </c>
      <c r="F3" s="241">
        <f>ROUND($A$5*F5,0)</f>
        <v>18</v>
      </c>
      <c r="G3" s="241">
        <f>C3</f>
        <v>185000</v>
      </c>
      <c r="H3" s="241">
        <f t="shared" ref="H3" si="1">SUMPRODUCT(F3,G3)</f>
        <v>3330000</v>
      </c>
      <c r="J3" s="241">
        <f>ROUND($A$5*J5,0)</f>
        <v>21</v>
      </c>
      <c r="K3" s="241">
        <f>G3</f>
        <v>185000</v>
      </c>
      <c r="L3" s="241">
        <f t="shared" ref="L3" si="2">SUMPRODUCT(J3,K3)</f>
        <v>3885000</v>
      </c>
      <c r="N3" s="241">
        <f>ROUND($A$5*N5,0)</f>
        <v>24</v>
      </c>
      <c r="O3" s="241">
        <f>K3</f>
        <v>185000</v>
      </c>
      <c r="P3" s="241">
        <f t="shared" ref="P3" si="3">SUMPRODUCT(N3,O3)</f>
        <v>4440000</v>
      </c>
      <c r="R3" s="241">
        <f>ROUND($A$5*R5,0)</f>
        <v>27</v>
      </c>
      <c r="S3" s="241">
        <f>O3</f>
        <v>185000</v>
      </c>
      <c r="T3" s="241">
        <f t="shared" ref="T3" si="4">SUMPRODUCT(R3,S3)</f>
        <v>4995000</v>
      </c>
    </row>
    <row r="4" spans="1:20" x14ac:dyDescent="0.35">
      <c r="A4" s="241" t="s">
        <v>174</v>
      </c>
      <c r="B4" s="241">
        <v>10</v>
      </c>
      <c r="C4" s="241">
        <v>136000</v>
      </c>
      <c r="D4" s="241">
        <f t="shared" si="0"/>
        <v>1360000</v>
      </c>
    </row>
    <row r="5" spans="1:20" x14ac:dyDescent="0.35">
      <c r="A5" s="241">
        <f>B3/(SUM(B2:B3))</f>
        <v>0.1037037037037037</v>
      </c>
      <c r="B5" s="241">
        <f>SUM(B2:B4)</f>
        <v>145</v>
      </c>
      <c r="D5" s="242">
        <f>SUM(D2:D4)/B5</f>
        <v>127379.31034482758</v>
      </c>
      <c r="F5" s="241">
        <f>'Company Name Rev Build'!Q12</f>
        <v>175</v>
      </c>
      <c r="H5" s="242">
        <f>SUM(H2:H4)/F5</f>
        <v>126685.71428571429</v>
      </c>
      <c r="J5" s="241">
        <f>'Company Name Rev Build'!U12</f>
        <v>205</v>
      </c>
      <c r="L5" s="242">
        <f>SUM(L2:L4)/J5</f>
        <v>126658.53658536586</v>
      </c>
      <c r="N5" s="241">
        <f>'Company Name Rev Build'!Y12</f>
        <v>235</v>
      </c>
      <c r="P5" s="242">
        <f>SUM(P2:P4)/N5</f>
        <v>126638.29787234042</v>
      </c>
      <c r="R5" s="241">
        <f>'Company Name Rev Build'!AC12</f>
        <v>265</v>
      </c>
      <c r="T5" s="242">
        <f>SUM(T2:T4)/R5</f>
        <v>126622.64150943396</v>
      </c>
    </row>
    <row r="7" spans="1:20" x14ac:dyDescent="0.35">
      <c r="A7" s="241" t="s">
        <v>175</v>
      </c>
      <c r="B7" s="241">
        <v>17</v>
      </c>
      <c r="C7" s="241">
        <v>160000</v>
      </c>
      <c r="D7" s="241">
        <f>SUMPRODUCT(B7,C7)</f>
        <v>2720000</v>
      </c>
      <c r="F7" s="241">
        <f>F9</f>
        <v>74</v>
      </c>
      <c r="G7" s="241">
        <f>C7</f>
        <v>160000</v>
      </c>
      <c r="H7" s="241">
        <f>SUMPRODUCT(F7,G7)</f>
        <v>11840000</v>
      </c>
      <c r="J7" s="241">
        <f>J9</f>
        <v>94</v>
      </c>
      <c r="K7" s="241">
        <f>G7</f>
        <v>160000</v>
      </c>
      <c r="L7" s="241">
        <f>SUMPRODUCT(J7,K7)</f>
        <v>15040000</v>
      </c>
      <c r="N7" s="241">
        <f>N9</f>
        <v>114</v>
      </c>
      <c r="O7" s="241">
        <f>K7</f>
        <v>160000</v>
      </c>
      <c r="P7" s="241">
        <f>SUMPRODUCT(N7,O7)</f>
        <v>18240000</v>
      </c>
      <c r="R7" s="241">
        <f>R9</f>
        <v>134</v>
      </c>
      <c r="S7" s="241">
        <f>O7</f>
        <v>160000</v>
      </c>
      <c r="T7" s="241">
        <f>SUMPRODUCT(R7,S7)</f>
        <v>21440000</v>
      </c>
    </row>
    <row r="8" spans="1:20" x14ac:dyDescent="0.35">
      <c r="A8" s="241" t="s">
        <v>176</v>
      </c>
      <c r="B8" s="241">
        <v>37</v>
      </c>
      <c r="C8" s="241">
        <v>136000</v>
      </c>
      <c r="D8" s="241">
        <f>SUMPRODUCT(B8,C8)</f>
        <v>5032000</v>
      </c>
    </row>
    <row r="9" spans="1:20" x14ac:dyDescent="0.35">
      <c r="B9" s="241">
        <f>SUM(B6:B8)</f>
        <v>54</v>
      </c>
      <c r="D9" s="242">
        <f>SUM(D7:D8)/B9</f>
        <v>143555.55555555556</v>
      </c>
      <c r="F9" s="241">
        <f>'Company Name Rev Build'!R12</f>
        <v>74</v>
      </c>
      <c r="H9" s="242">
        <f>SUM(H7:H8)/F9</f>
        <v>160000</v>
      </c>
      <c r="J9" s="241">
        <f>'Company Name Rev Build'!V12</f>
        <v>94</v>
      </c>
      <c r="L9" s="242">
        <f>SUM(L7:L8)/J9</f>
        <v>160000</v>
      </c>
      <c r="N9" s="241">
        <f>'Company Name Rev Build'!Z12</f>
        <v>114</v>
      </c>
      <c r="P9" s="242">
        <f>SUM(P7:P8)/N9</f>
        <v>160000</v>
      </c>
      <c r="R9" s="241">
        <f>'Company Name Rev Build'!AD12</f>
        <v>134</v>
      </c>
      <c r="T9" s="242">
        <f>SUM(T7:T8)/R9</f>
        <v>160000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Qualitative Assumptions</vt:lpstr>
      <vt:lpstr>Neptune P&amp;L</vt:lpstr>
      <vt:lpstr>Neptune_Rev Build</vt:lpstr>
      <vt:lpstr>Neptune COGS+OPEX Build</vt:lpstr>
      <vt:lpstr>Capex Price Weighted AVG.</vt:lpstr>
      <vt:lpstr>'Neptune COGS+OPEX Build'!stub1h24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Lu</dc:creator>
  <cp:lastModifiedBy>Raphael Haim</cp:lastModifiedBy>
  <cp:lastPrinted>2026-04-11T13:22:29Z</cp:lastPrinted>
  <dcterms:created xsi:type="dcterms:W3CDTF">2024-11-12T17:00:19Z</dcterms:created>
  <dcterms:modified xsi:type="dcterms:W3CDTF">2026-04-11T13:22:37Z</dcterms:modified>
</cp:coreProperties>
</file>