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Qualitative Assumptions" sheetId="1" r:id="rId1"/>
    <sheet name="Company Name P&amp;L" sheetId="2" r:id="rId2"/>
    <sheet name="Company Name Rev Build" sheetId="3" r:id="rId3"/>
    <sheet name="Company Name COGS+OPEX Build" sheetId="4" r:id="rId4"/>
    <sheet name="Capex Price Weighted AVG." sheetId="5" r:id="rId5"/>
  </sheets>
</workbook>
</file>

<file path=xl/comments2.xml><?xml version="1.0" encoding="utf-8"?>
<comments xmlns="http://schemas.openxmlformats.org/spreadsheetml/2006/main">
  <authors>
    <author>Raphael Haim</author>
    <author>tc={54EE7951-7262-4200-6969-000000000000}</author>
    <author>tc={54EE7951-7262-4200-6969-000000000001}</author>
    <author>tc={54EE7951-7262-4200-6969-000000000002}</author>
  </authors>
  <commentList>
    <comment ref="B47" authorId="1">
      <text>
        <t/>
      </text>
    </comment>
    <comment ref="G47" authorId="2">
      <text>
        <t/>
      </text>
    </comment>
    <comment ref="B48" authorId="3">
      <text>
        <t/>
      </text>
    </comment>
  </commentList>
</comments>
</file>

<file path=xl/comments3.xml><?xml version="1.0" encoding="utf-8"?>
<comments xmlns="http://schemas.openxmlformats.org/spreadsheetml/2006/main">
  <authors>
    <author>Raphael Haim</author>
    <author>tc={54EE7951-7262-4200-6969-000000000003}</author>
    <author>tc={54EE7951-7262-4200-6969-000000000004}</author>
    <author>tc={54EE7951-7262-4200-6969-000000000005}</author>
    <author>tc={54EE7951-7262-4200-6969-000000000006}</author>
    <author>tc={54EE7951-7262-4200-6969-000000000007}</author>
    <author>Author</author>
    <author>tc={54EE7951-7262-4200-6969-000000000008}</author>
    <author>tc={54EE7951-7262-4200-6969-000000000009}</author>
    <author>tc={54EE7951-7262-4200-6969-000000000010}</author>
    <author>tc={54EE7951-7262-4200-6969-000000000011}</author>
    <author>tc={54EE7951-7262-4200-6969-000000000012}</author>
    <author>tc={54EE7951-7262-4200-6969-000000000013}</author>
    <author>tc={54EE7951-7262-4200-6969-000000000014}</author>
    <author>tc={54EE7951-7262-4200-6969-000000000015}</author>
    <author>tc={54EE7951-7262-4200-6969-000000000016}</author>
    <author>tc={54EE7951-7262-4200-6969-000000000017}</author>
    <author>tc={54EE7951-7262-4200-6969-000000000018}</author>
    <author>tc={54EE7951-7262-4200-6969-000000000019}</author>
    <author>tc={54EE7951-7262-4200-6969-000000000020}</author>
    <author>tc={54EE7951-7262-4200-6969-000000000021}</author>
    <author>tc={54EE7951-7262-4200-6969-000000000022}</author>
    <author>tc={54EE7951-7262-4200-6969-000000000023}</author>
    <author>tc={54EE7951-7262-4200-6969-000000000024}</author>
    <author>tc={54EE7951-7262-4200-6969-000000000025}</author>
    <author>tc={54EE7951-7262-4200-6969-000000000026}</author>
    <author>tc={54EE7951-7262-4200-6969-000000000027}</author>
    <author>tc={54EE7951-7262-4200-6969-000000000028}</author>
    <author>tc={54EE7951-7262-4200-6969-000000000029}</author>
    <author>tc={54EE7951-7262-4200-6969-000000000030}</author>
    <author>tc={54EE7951-7262-4200-6969-000000000031}</author>
    <author>tc={54EE7951-7262-4200-6969-000000000032}</author>
    <author>tc={54EE7951-7262-4200-6969-000000000033}</author>
    <author>tc={54EE7951-7262-4200-6969-000000000034}</author>
    <author>tc={54EE7951-7262-4200-6969-000000000035}</author>
  </authors>
  <commentList>
    <comment ref="M17" authorId="1">
      <text>
        <t/>
      </text>
    </comment>
    <comment ref="Q17" authorId="2">
      <text>
        <t/>
      </text>
    </comment>
    <comment ref="U17" authorId="3">
      <text>
        <t/>
      </text>
    </comment>
    <comment ref="Y17" authorId="4">
      <text>
        <t/>
      </text>
    </comment>
    <comment ref="AC17" authorId="5">
      <text>
        <t/>
      </text>
    </comment>
    <comment ref="F23" authorId="7">
      <text>
        <t/>
      </text>
    </comment>
    <comment ref="F31" authorId="8">
      <text>
        <t/>
      </text>
    </comment>
    <comment ref="F33" authorId="9">
      <text>
        <t/>
      </text>
    </comment>
    <comment ref="M33" authorId="10">
      <text>
        <t/>
      </text>
    </comment>
    <comment ref="N33" authorId="11">
      <text>
        <t/>
      </text>
    </comment>
    <comment ref="B39" authorId="12">
      <text>
        <t/>
      </text>
    </comment>
    <comment ref="B41" authorId="13">
      <text>
        <t/>
      </text>
    </comment>
    <comment ref="F41" authorId="14">
      <text>
        <t/>
      </text>
    </comment>
    <comment ref="F43" authorId="16">
      <text>
        <t/>
      </text>
    </comment>
    <comment ref="B45" authorId="18">
      <text>
        <t/>
      </text>
    </comment>
    <comment ref="B49" authorId="19">
      <text>
        <t/>
      </text>
    </comment>
    <comment ref="E51" authorId="20">
      <text>
        <t/>
      </text>
    </comment>
    <comment ref="M51" authorId="25">
      <text>
        <t/>
      </text>
    </comment>
    <comment ref="E53" authorId="27">
      <text>
        <t/>
      </text>
    </comment>
    <comment ref="M53" authorId="32">
      <text>
        <t/>
      </text>
    </comment>
    <comment ref="E55" authorId="34">
      <text>
        <t/>
      </text>
    </comment>
  </commentList>
</comments>
</file>

<file path=xl/comments4.xml><?xml version="1.0" encoding="utf-8"?>
<comments xmlns="http://schemas.openxmlformats.org/spreadsheetml/2006/main">
  <authors>
    <author>Raphael Haim</author>
    <author>tc={54EE7951-7262-4200-6969-000000000036}</author>
    <author>tc={54EE7951-7262-4200-6969-000000000037}</author>
    <author>tc={54EE7951-7262-4200-6969-000000000038}</author>
    <author>tc={54EE7951-7262-4200-6969-000000000039}</author>
    <author>Author</author>
    <author>tc={54EE7951-7262-4200-6969-000000000040}</author>
    <author>tc={54EE7951-7262-4200-6969-000000000041}</author>
    <author>tc={54EE7951-7262-4200-6969-000000000042}</author>
    <author>tc={54EE7951-7262-4200-6969-000000000043}</author>
    <author>tc={54EE7951-7262-4200-6969-000000000044}</author>
    <author>tc={54EE7951-7262-4200-6969-000000000045}</author>
    <author>tc={54EE7951-7262-4200-6969-000000000046}</author>
    <author>tc={54EE7951-7262-4200-6969-000000000047}</author>
    <author>tc={54EE7951-7262-4200-6969-000000000048}</author>
    <author>tc={54EE7951-7262-4200-6969-000000000049}</author>
    <author>tc={54EE7951-7262-4200-6969-000000000050}</author>
    <author>tc={54EE7951-7262-4200-6969-000000000051}</author>
    <author>tc={54EE7951-7262-4200-6969-000000000052}</author>
    <author>tc={54EE7951-7262-4200-6969-000000000053}</author>
    <author>tc={54EE7951-7262-4200-6969-000000000054}</author>
    <author>tc={54EE7951-7262-4200-6969-000000000055}</author>
    <author>tc={54EE7951-7262-4200-6969-000000000056}</author>
    <author>tc={54EE7951-7262-4200-6969-000000000057}</author>
    <author>tc={54EE7951-7262-4200-6969-000000000058}</author>
    <author>tc={54EE7951-7262-4200-6969-000000000059}</author>
    <author>tc={54EE7951-7262-4200-6969-000000000060}</author>
    <author>tc={54EE7951-7262-4200-6969-000000000061}</author>
    <author>tc={54EE7951-7262-4200-6969-000000000062}</author>
    <author>tc={54EE7951-7262-4200-6969-000000000063}</author>
    <author>tc={54EE7951-7262-4200-6969-000000000064}</author>
    <author>tc={54EE7951-7262-4200-6969-000000000065}</author>
    <author>tc={54EE7951-7262-4200-6969-000000000066}</author>
    <author>tc={54EE7951-7262-4200-6969-000000000067}</author>
    <author>tc={54EE7951-7262-4200-6969-000000000068}</author>
    <author>tc={54EE7951-7262-4200-6969-000000000069}</author>
    <author>tc={54EE7951-7262-4200-6969-000000000070}</author>
    <author>tc={54EE7951-7262-4200-6969-000000000071}</author>
    <author>tc={54EE7951-7262-4200-6969-000000000072}</author>
    <author>tc={54EE7951-7262-4200-6969-000000000073}</author>
    <author>tc={54EE7951-7262-4200-6969-000000000074}</author>
    <author>Lucy Lu</author>
    <author>tc={54EE7951-7262-4200-6969-000000000075}</author>
  </authors>
  <commentList>
    <comment ref="M7" authorId="1">
      <text>
        <t/>
      </text>
    </comment>
    <comment ref="N7" authorId="2">
      <text>
        <t/>
      </text>
    </comment>
    <comment ref="M10" authorId="3">
      <text>
        <t/>
      </text>
    </comment>
    <comment ref="M14" authorId="4">
      <text>
        <t/>
      </text>
    </comment>
    <comment ref="D22" authorId="6">
      <text>
        <t/>
      </text>
    </comment>
    <comment ref="E23" authorId="7">
      <text>
        <t/>
      </text>
    </comment>
    <comment ref="F23" authorId="8">
      <text>
        <t/>
      </text>
    </comment>
    <comment ref="M26" authorId="9">
      <text>
        <t/>
      </text>
    </comment>
    <comment ref="N26" authorId="10">
      <text>
        <t/>
      </text>
    </comment>
    <comment ref="M27" authorId="11">
      <text>
        <t/>
      </text>
    </comment>
    <comment ref="N27" authorId="12">
      <text>
        <t/>
      </text>
    </comment>
    <comment ref="N28" authorId="13">
      <text>
        <t/>
      </text>
    </comment>
    <comment ref="M29" authorId="14">
      <text>
        <t/>
      </text>
    </comment>
    <comment ref="N29" authorId="15">
      <text>
        <t/>
      </text>
    </comment>
    <comment ref="M30" authorId="16">
      <text>
        <t/>
      </text>
    </comment>
    <comment ref="N30" authorId="17">
      <text>
        <t/>
      </text>
    </comment>
    <comment ref="M31" authorId="18">
      <text>
        <t/>
      </text>
    </comment>
    <comment ref="N31" authorId="19">
      <text>
        <t/>
      </text>
    </comment>
    <comment ref="J46" authorId="20">
      <text>
        <t/>
      </text>
    </comment>
    <comment ref="M60" authorId="21">
      <text>
        <t/>
      </text>
    </comment>
    <comment ref="N60" authorId="22">
      <text>
        <t/>
      </text>
    </comment>
    <comment ref="M61" authorId="23">
      <text>
        <t/>
      </text>
    </comment>
    <comment ref="N61" authorId="24">
      <text>
        <t/>
      </text>
    </comment>
    <comment ref="M62" authorId="25">
      <text>
        <t/>
      </text>
    </comment>
    <comment ref="N62" authorId="26">
      <text>
        <t/>
      </text>
    </comment>
    <comment ref="M63" authorId="27">
      <text>
        <t/>
      </text>
    </comment>
    <comment ref="N63" authorId="28">
      <text>
        <t/>
      </text>
    </comment>
    <comment ref="M64" authorId="29">
      <text>
        <t/>
      </text>
    </comment>
    <comment ref="N64" authorId="30">
      <text>
        <t/>
      </text>
    </comment>
    <comment ref="M65" authorId="31">
      <text>
        <t/>
      </text>
    </comment>
    <comment ref="N65" authorId="32">
      <text>
        <t/>
      </text>
    </comment>
    <comment ref="M66" authorId="33">
      <text>
        <t/>
      </text>
    </comment>
    <comment ref="N66" authorId="34">
      <text>
        <t/>
      </text>
    </comment>
    <comment ref="J80" authorId="35">
      <text>
        <t/>
      </text>
    </comment>
    <comment ref="J99" authorId="36">
      <text>
        <t/>
      </text>
    </comment>
    <comment ref="J100" authorId="37">
      <text>
        <t/>
      </text>
    </comment>
    <comment ref="N113" authorId="38">
      <text>
        <t/>
      </text>
    </comment>
    <comment ref="J122" authorId="39">
      <text>
        <t/>
      </text>
    </comment>
    <comment ref="D172" authorId="40">
      <text>
        <t/>
      </text>
    </comment>
    <comment ref="T211" authorId="42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8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3" formatCode="_(* #,##0.00_);_(* \(#,##0.00\);_(* &quot;-&quot;??_);_(@_)"/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164" formatCode="0&quot;A&quot;"/>
    <numFmt numFmtId="165" formatCode="0&quot;E&quot;"/>
    <numFmt numFmtId="166" formatCode="#,##0_);\(#,##0\)_);\-_);@_)"/>
    <numFmt numFmtId="167" formatCode="0.0%_);\(0.0%\);0.0%_);@_)"/>
    <numFmt numFmtId="168" formatCode="0%_);\(0%\);0%_);@_)"/>
    <numFmt numFmtId="169" formatCode="#,##0_);\(#,##0\)_)"/>
    <numFmt numFmtId="170" formatCode="#,##0.0_);\(#,##0.0\)"/>
    <numFmt numFmtId="171" formatCode="#,##0_);\(#,##0\)_);&quot;-&quot;_)"/>
    <numFmt numFmtId="172" formatCode="#,##0.0_);\(#,##0.0\);#,##0.0_);@_)"/>
    <numFmt numFmtId="173" formatCode="_(* #,##0_);_(* \(#,##0\);_(* &quot;-&quot;??_);_(@_)"/>
    <numFmt numFmtId="174" formatCode="#,##0_);\(#,##0\);#,##0_);@_)"/>
    <numFmt numFmtId="175" formatCode="&quot;$&quot;#,##0.0_);\(&quot;$&quot;#,##0.0\)"/>
    <numFmt numFmtId="176" formatCode="&quot;$&quot;#,##0.0_);\(&quot;$&quot;#,##0.0\);&quot;$&quot;#,##0.0_);@_)"/>
    <numFmt numFmtId="177" formatCode="#,##0.0_);\(#,##0.0\);&quot;-&quot;"/>
    <numFmt numFmtId="178" formatCode="_-* #,##0.00_-;\-* #,##0.00_-;_-* &quot;-&quot;??_-;_-@_-"/>
    <numFmt numFmtId="179" formatCode="_-* #,##0.0_-;\-* #,##0.0_-;_-* &quot;-&quot;??_-;_-@_-"/>
    <numFmt numFmtId="180" formatCode="_(&quot;$&quot;* #,##0_);_(&quot;$&quot;* \(#,##0\);_(&quot;$&quot;* &quot;-&quot;??_);_(@_)"/>
    <numFmt numFmtId="181" formatCode="&quot;$&quot;#,##0_);\(&quot;$&quot;#,##0\);&quot;$&quot;#,##0_);@_)"/>
    <numFmt numFmtId="182" formatCode="_ &quot;₪&quot;\ * #,##0.00_ ;_ &quot;₪&quot;\ * \-#,##0.00_ ;_ &quot;₪&quot;\ * &quot;-&quot;??_ ;_ @_ "/>
    <numFmt numFmtId="183" formatCode="#,##0.00_);\(#,##0.00\);#,##0.00_);@_)"/>
    <numFmt numFmtId="184" formatCode="0\E"/>
    <numFmt numFmtId="185" formatCode="0.0&quot; mo&quot;"/>
    <numFmt numFmtId="186" formatCode="&quot;$&quot;#,##0.00_);\(&quot;$&quot;#,##0.00\);&quot;$&quot;#,##0.00_);@_)"/>
    <numFmt numFmtId="187" formatCode="&quot;Project &quot;0"/>
    <numFmt numFmtId="188" formatCode="0.0%"/>
    <numFmt numFmtId="189" formatCode="&quot;$&quot;#,##0.0000_);\(&quot;$&quot;#,##0.0000\)"/>
    <numFmt numFmtId="190" formatCode="0.0%;\(0.0%\)"/>
    <numFmt numFmtId="191" formatCode="_-* #,##0_-;\-* #,##0_-;_-* &quot;-&quot;??_-;_-@_-"/>
    <numFmt numFmtId="192" formatCode="_(* #,##0.0_);_(* \(#,##0.0\);_(* &quot;-&quot;??_);_(@_)"/>
    <numFmt numFmtId="193" formatCode="#,##0.0_);\(#,##0.0\)_);\-_);@_)"/>
    <numFmt numFmtId="194" formatCode="_([$$-409]* #,##0_);_([$$-409]* \(#,##0\);_([$$-409]* &quot;-&quot;??_);_(@_)"/>
    <numFmt numFmtId="195" formatCode="#,##0.0_);\(#,##0.0\)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Raphael Haim" id="{54EE7950-7262-4200-6969-000000000001}" userId="Raphael Haim" providerId="None"/>
  <person displayName="Author" id="{54EE7950-7262-4200-6969-000000000002}" userId="Author" providerId="None"/>
  <person displayName="Lucy Lu" id="{54EE7950-7262-4200-6969-000000000003}" userId="Lucy L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2.xml><?xml version="1.0" encoding="utf-8"?>
<ThreadedComments xmlns="http://schemas.microsoft.com/office/spreadsheetml/2018/threadedcomments">
  <threadedComment ref="B47" id="{54EE7951-7262-4200-6969-000000000000}" personId="{54EE7950-7262-4200-6969-000000000001}">
    <text>Wo. capital raises</text>
  </threadedComment>
  <threadedComment ref="G47" id="{54EE7951-7262-4200-6969-000000000001}" personId="{54EE7950-7262-4200-6969-000000000001}">
    <text>Korea loan repayment</text>
  </threadedComment>
  <threadedComment ref="B48" id="{54EE7951-7262-4200-6969-000000000002}" personId="{54EE7950-7262-4200-6969-000000000001}">
    <text>Due to large carryforward losses, no tax expense in those years forecast</text>
  </threadedComment>
</ThreadedComments>
</file>

<file path=xl/threadedComments/threadedComment3.xml><?xml version="1.0" encoding="utf-8"?>
<ThreadedComments xmlns="http://schemas.microsoft.com/office/spreadsheetml/2018/threadedcomments">
  <threadedComment ref="M17" id="{54EE7951-7262-4200-6969-000000000003}" personId="{54EE7950-7262-4200-6969-000000000001}">
    <text>Avg. price</text>
  </threadedComment>
  <threadedComment ref="Q17" id="{54EE7951-7262-4200-6969-000000000004}" personId="{54EE7950-7262-4200-6969-000000000001}">
    <text>Avg. price</text>
  </threadedComment>
  <threadedComment ref="U17" id="{54EE7951-7262-4200-6969-000000000005}" personId="{54EE7950-7262-4200-6969-000000000001}">
    <text>Avg. price</text>
  </threadedComment>
  <threadedComment ref="Y17" id="{54EE7951-7262-4200-6969-000000000006}" personId="{54EE7950-7262-4200-6969-000000000001}">
    <text>Avg. price</text>
  </threadedComment>
  <threadedComment ref="AC17" id="{54EE7951-7262-4200-6969-000000000007}" personId="{54EE7950-7262-4200-6969-000000000001}">
    <text>Avg. price</text>
  </threadedComment>
  <threadedComment ref="F23" id="{54EE7951-7262-4200-6969-000000000008}" personId="{54EE7950-7262-4200-6969-000000000002}">
    <text>Ghana prepaid $7k? MSaaS placement</text>
  </threadedComment>
  <threadedComment ref="F31" id="{54EE7951-7262-4200-6969-000000000009}" personId="{54EE7950-7262-4200-6969-000000000002}">
    <text>Ghana prepaid $7k? MSaaS placement</text>
  </threadedComment>
  <threadedComment ref="F33" id="{54EE7951-7262-4200-6969-000000000010}" personId="{54EE7950-7262-4200-6969-000000000002}">
    <text>Per Ran</text>
  </threadedComment>
  <threadedComment ref="M33" id="{54EE7951-7262-4200-6969-000000000011}" personId="{54EE7950-7262-4200-6969-000000000001}">
    <text>Weighted avg. price 2026 inc. Channel partners, ARC 2.2 and ARC X</text>
  </threadedComment>
  <threadedComment ref="N33" id="{54EE7951-7262-4200-6969-000000000012}" personId="{54EE7950-7262-4200-6969-000000000001}">
    <text>Weighted avg. price 2026 inc. Channel partners, ARC 2.2 and ARC X</text>
  </threadedComment>
  <threadedComment ref="B39" id="{54EE7951-7262-4200-6969-000000000013}" personId="{54EE7950-7262-4200-6969-000000000002}">
    <text xml:space="preserve">Purchase service contract </text>
  </threadedComment>
  <threadedComment ref="B41" id="{54EE7951-7262-4200-6969-000000000014}" personId="{54EE7950-7262-4200-6969-000000000002}">
    <text>Price of $30k; 35% GM</text>
  </threadedComment>
  <threadedComment ref="F41" id="{54EE7951-7262-4200-6969-000000000015}" personId="{54EE7950-7262-4200-6969-000000000002}">
    <text>Formerly $2M</text>
  </threadedComment>
  <threadedComment ref="F41" id="{54EE7951-7262-4200-6969-000000000016}" parentId="{54EE7951-7262-4200-6969-000000000015}" personId="{54EE7950-7262-4200-6969-000000000002}">
    <text>Will be Q4 2024</text>
  </threadedComment>
  <threadedComment ref="F43" id="{54EE7951-7262-4200-6969-000000000017}" personId="{54EE7950-7262-4200-6969-000000000002}">
    <text>No revenue currently</text>
  </threadedComment>
  <threadedComment ref="F43" id="{54EE7951-7262-4200-6969-000000000018}" parentId="{54EE7951-7262-4200-6969-000000000017}" personId="{54EE7950-7262-4200-6969-000000000002}">
    <text>Previously 100</text>
  </threadedComment>
  <threadedComment ref="B45" id="{54EE7951-7262-4200-6969-000000000019}" personId="{54EE7950-7262-4200-6969-000000000002}">
    <text>Ran to get back on COGS for second opinion</text>
  </threadedComment>
  <threadedComment ref="B49" id="{54EE7951-7262-4200-6969-000000000020}" personId="{54EE7950-7262-4200-6969-000000000002}">
    <text>OEM; second opinions; data monetization</text>
  </threadedComment>
  <threadedComment ref="E51" id="{54EE7951-7262-4200-6969-000000000021}" personId="{54EE7950-7262-4200-6969-000000000002}">
    <text>Signed Intermountain, Covera, and Dandrion</text>
  </threadedComment>
  <threadedComment ref="E51" id="{54EE7951-7262-4200-6969-000000000022}" parentId="{54EE7951-7262-4200-6969-000000000021}" personId="{54EE7950-7262-4200-6969-000000000002}">
    <text>Multiyear contracts</text>
  </threadedComment>
  <threadedComment ref="E51" id="{54EE7951-7262-4200-6969-000000000023}" parentId="{54EE7951-7262-4200-6969-000000000021}" personId="{54EE7950-7262-4200-6969-000000000002}">
    <text>75% contracted</text>
  </threadedComment>
  <threadedComment ref="E51" id="{54EE7951-7262-4200-6969-000000000024}" parentId="{54EE7951-7262-4200-6969-000000000021}" personId="{54EE7950-7262-4200-6969-000000000002}">
    <text>Q3 will have 1 large contract; Q4 is go get - 3Q from Bayer</text>
  </threadedComment>
  <threadedComment ref="E51" id="{54EE7951-7262-4200-6969-000000000025}" parentId="{54EE7951-7262-4200-6969-000000000021}" personId="{54EE7950-7262-4200-6969-000000000002}">
    <text>$800K revenue as of Q3</text>
  </threadedComment>
  <threadedComment ref="M51" id="{54EE7951-7262-4200-6969-000000000026}" personId="{54EE7950-7262-4200-6969-000000000002}">
    <text>Inc. VASO- Nanox HIT</text>
  </threadedComment>
  <threadedComment ref="M51" id="{54EE7951-7262-4200-6969-000000000027}" parentId="{54EE7951-7262-4200-6969-000000000026}" personId="{54EE7950-7262-4200-6969-000000000002}">
    <text>Originally $10M</text>
  </threadedComment>
  <threadedComment ref="E53" id="{54EE7951-7262-4200-6969-000000000028}" personId="{54EE7950-7262-4200-6969-000000000002}">
    <text>Signed Intermountain, Covera, and Dandrion</text>
  </threadedComment>
  <threadedComment ref="E53" id="{54EE7951-7262-4200-6969-000000000029}" parentId="{54EE7951-7262-4200-6969-000000000028}" personId="{54EE7950-7262-4200-6969-000000000002}">
    <text>Multiyear contracts</text>
  </threadedComment>
  <threadedComment ref="E53" id="{54EE7951-7262-4200-6969-000000000030}" parentId="{54EE7951-7262-4200-6969-000000000028}" personId="{54EE7950-7262-4200-6969-000000000002}">
    <text>75% contracted</text>
  </threadedComment>
  <threadedComment ref="E53" id="{54EE7951-7262-4200-6969-000000000031}" parentId="{54EE7951-7262-4200-6969-000000000028}" personId="{54EE7950-7262-4200-6969-000000000002}">
    <text>Q3 will have 1 large contract; Q4 is go get - 3Q from Bayer</text>
  </threadedComment>
  <threadedComment ref="E53" id="{54EE7951-7262-4200-6969-000000000032}" parentId="{54EE7951-7262-4200-6969-000000000028}" personId="{54EE7950-7262-4200-6969-000000000002}">
    <text>$800K revenue as of Q3</text>
  </threadedComment>
  <threadedComment ref="M53" id="{54EE7951-7262-4200-6969-000000000033}" personId="{54EE7950-7262-4200-6969-000000000002}">
    <text>Inc. VASO- Nanox HIT</text>
  </threadedComment>
  <threadedComment ref="M53" id="{54EE7951-7262-4200-6969-000000000034}" parentId="{54EE7951-7262-4200-6969-000000000033}" personId="{54EE7950-7262-4200-6969-000000000002}">
    <text>Originally $10M</text>
  </threadedComment>
  <threadedComment ref="E55" id="{54EE7951-7262-4200-6969-000000000035}" personId="{54EE7950-7262-4200-6969-000000000002}" xml:space="preserve">
    <text xml:space="preserve">Previous $10K
</text>
  </threadedComment>
</ThreadedComments>
</file>

<file path=xl/threadedComments/threadedComment4.xml><?xml version="1.0" encoding="utf-8"?>
<ThreadedComments xmlns="http://schemas.microsoft.com/office/spreadsheetml/2018/threadedcomments">
  <threadedComment ref="M7" id="{54EE7951-7262-4200-6969-000000000036}" personId="{54EE7950-7262-4200-6969-000000000001}">
    <text>ARC sales row + AI sales</text>
  </threadedComment>
  <threadedComment ref="N7" id="{54EE7951-7262-4200-6969-000000000037}" personId="{54EE7950-7262-4200-6969-000000000001}">
    <text>ARC sales row + AI sales</text>
  </threadedComment>
  <threadedComment ref="M10" id="{54EE7951-7262-4200-6969-000000000038}" personId="{54EE7950-7262-4200-6969-000000000001}">
    <text>ARC Customer Success Impact</text>
  </threadedComment>
  <threadedComment ref="M14" id="{54EE7951-7262-4200-6969-000000000039}" personId="{54EE7950-7262-4200-6969-000000000001}">
    <text>Shared Resources Marketing</text>
  </threadedComment>
  <threadedComment ref="D22" id="{54EE7951-7262-4200-6969-000000000040}" personId="{54EE7950-7262-4200-6969-000000000002}">
    <text>3-4 monthly salaries</text>
  </threadedComment>
  <threadedComment ref="E23" id="{54EE7951-7262-4200-6969-000000000041}" personId="{54EE7950-7262-4200-6969-000000000002}">
    <text>Per Gali 7/10</text>
  </threadedComment>
  <threadedComment ref="F23" id="{54EE7951-7262-4200-6969-000000000042}" personId="{54EE7950-7262-4200-6969-000000000002}">
    <text>Per Gali 7/10</text>
  </threadedComment>
  <threadedComment ref="M26" id="{54EE7951-7262-4200-6969-000000000043}" personId="{54EE7950-7262-4200-6969-000000000001}">
    <text>Latest forecast</text>
  </threadedComment>
  <threadedComment ref="N26" id="{54EE7951-7262-4200-6969-000000000044}" personId="{54EE7950-7262-4200-6969-000000000001}">
    <text>Approved budget</text>
  </threadedComment>
  <threadedComment ref="M27" id="{54EE7951-7262-4200-6969-000000000045}" personId="{54EE7950-7262-4200-6969-000000000001}">
    <text>Latest forecast</text>
  </threadedComment>
  <threadedComment ref="N27" id="{54EE7951-7262-4200-6969-000000000046}" personId="{54EE7950-7262-4200-6969-000000000001}">
    <text>Approved budget</text>
  </threadedComment>
  <threadedComment ref="N28" id="{54EE7951-7262-4200-6969-000000000047}" personId="{54EE7950-7262-4200-6969-000000000001}">
    <text>Approved budget</text>
  </threadedComment>
  <threadedComment ref="M29" id="{54EE7951-7262-4200-6969-000000000048}" personId="{54EE7950-7262-4200-6969-000000000001}">
    <text>Latest forecast</text>
  </threadedComment>
  <threadedComment ref="N29" id="{54EE7951-7262-4200-6969-000000000049}" personId="{54EE7950-7262-4200-6969-000000000001}">
    <text>Approved budget</text>
  </threadedComment>
  <threadedComment ref="M30" id="{54EE7951-7262-4200-6969-000000000050}" personId="{54EE7950-7262-4200-6969-000000000001}">
    <text>Latest forecast</text>
  </threadedComment>
  <threadedComment ref="N30" id="{54EE7951-7262-4200-6969-000000000051}" personId="{54EE7950-7262-4200-6969-000000000001}">
    <text>Approved budget</text>
  </threadedComment>
  <threadedComment ref="M31" id="{54EE7951-7262-4200-6969-000000000052}" personId="{54EE7950-7262-4200-6969-000000000001}">
    <text>Latest forecast</text>
  </threadedComment>
  <threadedComment ref="N31" id="{54EE7951-7262-4200-6969-000000000053}" personId="{54EE7950-7262-4200-6969-000000000001}">
    <text>Approved budget</text>
  </threadedComment>
  <threadedComment ref="J46" id="{54EE7951-7262-4200-6969-000000000054}" personId="{54EE7950-7262-4200-6969-000000000002}">
    <text>Radiologist working in the ARC division (Shabshin)</text>
  </threadedComment>
  <threadedComment ref="M60" id="{54EE7951-7262-4200-6969-000000000055}" personId="{54EE7950-7262-4200-6969-000000000001}">
    <text>Latest forecast</text>
  </threadedComment>
  <threadedComment ref="N60" id="{54EE7951-7262-4200-6969-000000000056}" personId="{54EE7950-7262-4200-6969-000000000001}">
    <text>Approved budget</text>
  </threadedComment>
  <threadedComment ref="M61" id="{54EE7951-7262-4200-6969-000000000057}" personId="{54EE7950-7262-4200-6969-000000000001}">
    <text>Latest forecast</text>
  </threadedComment>
  <threadedComment ref="N61" id="{54EE7951-7262-4200-6969-000000000058}" personId="{54EE7950-7262-4200-6969-000000000001}">
    <text>Approved budget</text>
  </threadedComment>
  <threadedComment ref="M62" id="{54EE7951-7262-4200-6969-000000000059}" personId="{54EE7950-7262-4200-6969-000000000001}">
    <text>Latest forecast</text>
  </threadedComment>
  <threadedComment ref="N62" id="{54EE7951-7262-4200-6969-000000000060}" personId="{54EE7950-7262-4200-6969-000000000001}">
    <text>Approved budget</text>
  </threadedComment>
  <threadedComment ref="M63" id="{54EE7951-7262-4200-6969-000000000061}" personId="{54EE7950-7262-4200-6969-000000000001}">
    <text>Latest forecast</text>
  </threadedComment>
  <threadedComment ref="N63" id="{54EE7951-7262-4200-6969-000000000062}" personId="{54EE7950-7262-4200-6969-000000000001}">
    <text>Approved budget</text>
  </threadedComment>
  <threadedComment ref="M64" id="{54EE7951-7262-4200-6969-000000000063}" personId="{54EE7950-7262-4200-6969-000000000001}">
    <text>Latest forecast</text>
  </threadedComment>
  <threadedComment ref="N64" id="{54EE7951-7262-4200-6969-000000000064}" personId="{54EE7950-7262-4200-6969-000000000001}">
    <text>Approved budget</text>
  </threadedComment>
  <threadedComment ref="M65" id="{54EE7951-7262-4200-6969-000000000065}" personId="{54EE7950-7262-4200-6969-000000000001}">
    <text>Latest forecast</text>
  </threadedComment>
  <threadedComment ref="N65" id="{54EE7951-7262-4200-6969-000000000066}" personId="{54EE7950-7262-4200-6969-000000000001}">
    <text>Approved budget</text>
  </threadedComment>
  <threadedComment ref="M66" id="{54EE7951-7262-4200-6969-000000000067}" personId="{54EE7950-7262-4200-6969-000000000001}">
    <text>Latest forecast</text>
  </threadedComment>
  <threadedComment ref="N66" id="{54EE7951-7262-4200-6969-000000000068}" personId="{54EE7950-7262-4200-6969-000000000001}">
    <text>Approved budget</text>
  </threadedComment>
  <threadedComment ref="J80" id="{54EE7951-7262-4200-6969-000000000069}" personId="{54EE7950-7262-4200-6969-000000000001}" xml:space="preserve">
    <text xml:space="preserve">Inc. AI. 
Wo. IT, Finance, Source in Professional fees</text>
  </threadedComment>
  <threadedComment ref="J99" id="{54EE7951-7262-4200-6969-000000000070}" personId="{54EE7950-7262-4200-6969-000000000001}">
    <text>As part of professional fees</text>
  </threadedComment>
  <threadedComment ref="J100" id="{54EE7951-7262-4200-6969-000000000071}" personId="{54EE7950-7262-4200-6969-000000000001}">
    <text>As part of professional fees</text>
  </threadedComment>
  <threadedComment ref="N113" id="{54EE7951-7262-4200-6969-000000000072}" personId="{54EE7950-7262-4200-6969-000000000001}">
    <text>Increase from NIN +HIT</text>
  </threadedComment>
  <threadedComment ref="J122" id="{54EE7951-7262-4200-6969-000000000073}" personId="{54EE7950-7262-4200-6969-000000000002}">
    <text>Recruiting, import, other</text>
  </threadedComment>
  <threadedComment ref="D172" id="{54EE7951-7262-4200-6969-000000000074}" personId="{54EE7950-7262-4200-6969-000000000001}">
    <text>Only for VC and NH sites</text>
  </threadedComment>
  <threadedComment ref="T211" id="{54EE7951-7262-4200-6969-000000000075}" personId="{54EE7950-7262-4200-6969-000000000003}" xml:space="preserve">
    <text xml:space="preserve">0.5% step down in SBC per head
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microsoft.com/office/2017/10/relationships/threadedComment" Target="../threadedComments/threadedComment2.xml"/><Relationship Id="rId3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microsoft.com/office/2017/10/relationships/threadedComment" Target="../threadedComments/threadedComment3.xml"/><Relationship Id="rId3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microsoft.com/office/2017/10/relationships/threadedComment" Target="../threadedComments/threadedComment4.xml"/><Relationship Id="rId3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0"/>
  <sheetViews>
    <sheetView workbookViewId="0" rightToLeft="0"/>
  </sheetViews>
  <sheetData>
    <row r="1">
      <c r="A1">
        <v>1</v>
      </c>
      <c r="B1" t="str">
        <v xml:space="preserve">2025 Results were adjusted to the latest estimate &gt; will be updated when Q425 financials will be released </v>
      </c>
    </row>
    <row r="2">
      <c r="A2">
        <v>2</v>
      </c>
      <c r="B2" t="str">
        <v>2026 Results are according to 2026 approved AOP</v>
      </c>
    </row>
    <row r="3">
      <c r="A3">
        <v>3</v>
      </c>
      <c r="B3" t="str">
        <v>Product Prices- Please see 'Capex Price Weighted AVG.' sheet</v>
      </c>
    </row>
    <row r="4">
      <c r="A4">
        <v>4</v>
      </c>
      <c r="B4" t="str">
        <v>Product BOM- Please see '[Company Name] COGS+OPEX Build' sheet cells D,E,175,176 with updated Product BOM cost</v>
      </c>
    </row>
    <row r="5">
      <c r="A5">
        <v>5</v>
      </c>
      <c r="B5" t="str">
        <v>Revenues Growth</v>
      </c>
    </row>
    <row r="6">
      <c r="A6" t="str">
        <v>5.a</v>
      </c>
      <c r="B6" t="str">
        <v>Product Quantity- Units increase rate on 100 units each year. If in 2026 250 sold, on 2027 450 units sold and so on. Subscription Revenue/Capex ratio sold is approx. on ~55% Capex ~45% Subscription Revenue &gt; [Company Name] has two manufacturers that can support the quantities: Manufacturer 1 in IL and Manufacturer 2 in Thailand.</v>
      </c>
    </row>
    <row r="7" xml:space="preserve">
      <c r="A7" t="str">
        <v>5.b</v>
      </c>
      <c r="B7" t="str" xml:space="preserve">
        <v xml:space="preserve">[Division 1] ([Division 1])- New business model in the US only with medical service providers. The medical service providers operates in [Company Name]'s name an imaging facility as part of Works' comp., Imaging room at a Nursing homes or County Jails. The medical service provider is being compensated through a carrier/insurance company. Manox is charging the medical service provider:_x000d_
[Company Name] &gt; Medical serivce provider &gt; Carrier_x000d_
_x000d_
This is a Subscription Revenue based model with an avg. scans of 180 per month with an avg. price of $180 per scan.</v>
      </c>
    </row>
    <row r="8">
      <c r="A8">
        <v>6</v>
      </c>
      <c r="B8" t="str">
        <v>[Acquisition]- On Dec. 25 [Company Name] aquired [Acquisition] as part of its vision provide an E2E solution and to be a ONE-STOP-SHOP &gt; Providing RIS and PACS SW.</v>
      </c>
    </row>
    <row r="9">
      <c r="A9">
        <v>7</v>
      </c>
      <c r="B9" t="str">
        <v>AI&amp;HIT, Telerad and OEM Division revenues ramp-up- The increase in revenues from 27-30 is a moderate growth expected based on higher penetration to the market, increase in current custpomer base volumes a price increases.</v>
      </c>
    </row>
    <row r="10">
      <c r="A10">
        <v>8</v>
      </c>
      <c r="B10" t="str">
        <v>Costs- On sheet '[Company Name] COGS+OPEX Build', all of the salaries costs, annual increases, gm.%, bonus assumpions were updated.</v>
      </c>
    </row>
  </sheetData>
  <mergeCells count="4">
    <mergeCell ref="B7:L7"/>
    <mergeCell ref="B9:L9"/>
    <mergeCell ref="B8:L8"/>
    <mergeCell ref="B6:L6"/>
  </mergeCells>
  <pageMargins left="0.7" right="0.7" top="0.75" bottom="0.75" header="0.3" footer="0.3"/>
  <ignoredErrors>
    <ignoredError numberStoredAsText="1" sqref="A1:L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O49"/>
  <sheetViews>
    <sheetView workbookViewId="0" rightToLeft="0"/>
  </sheetViews>
  <sheetData>
    <row r="1">
      <c r="F1">
        <f>9.5/F8</f>
        <v>0.15948598961580343</v>
      </c>
      <c r="G1">
        <f>29/G8</f>
        <v>0.2789396501254966</v>
      </c>
    </row>
    <row r="2">
      <c r="C2">
        <v>2023</v>
      </c>
      <c r="D2">
        <v>2024</v>
      </c>
      <c r="E2">
        <v>2025</v>
      </c>
      <c r="F2">
        <v>2026</v>
      </c>
      <c r="G2">
        <v>2027</v>
      </c>
      <c r="H2">
        <v>2028</v>
      </c>
      <c r="I2">
        <v>2029</v>
      </c>
      <c r="J2">
        <v>2030</v>
      </c>
      <c r="K2" t="str">
        <v>CAGR</v>
      </c>
    </row>
    <row r="3">
      <c r="B3" t="str">
        <v>Instrument</v>
      </c>
      <c r="C3">
        <v>0</v>
      </c>
      <c r="D3">
        <v>0.49130399999999996</v>
      </c>
      <c r="E3">
        <f>'Company Name Rev Build'!K36/1000</f>
        <v>0.4969159999999999</v>
      </c>
      <c r="F3">
        <f>'Company Name Rev Build'!O36/1000</f>
        <v>37.61136079999999</v>
      </c>
      <c r="G3">
        <f>'Company Name Rev Build'!S36/1000</f>
        <v>73.09314080000001</v>
      </c>
      <c r="H3">
        <f>'Company Name Rev Build'!W36/1000</f>
        <v>108.34965280000002</v>
      </c>
      <c r="I3">
        <f>'Company Name Rev Build'!AA36/1000</f>
        <v>145.9632048</v>
      </c>
      <c r="J3">
        <f>'Company Name Rev Build'!AE36/1000</f>
        <v>185.9337968</v>
      </c>
    </row>
    <row r="4">
      <c r="B4" t="str">
        <v xml:space="preserve">Maintenance / Service </v>
      </c>
      <c r="C4">
        <v>0</v>
      </c>
      <c r="D4">
        <v>0</v>
      </c>
      <c r="E4">
        <f>'Company Name Rev Build'!K39/1000</f>
        <v>0</v>
      </c>
      <c r="F4">
        <f>'Company Name Rev Build'!O39/1000</f>
        <v>0.258</v>
      </c>
      <c r="G4">
        <f>'Company Name Rev Build'!S39/1000</f>
        <v>1.95</v>
      </c>
      <c r="H4">
        <f>'Company Name Rev Build'!W39/1000</f>
        <v>4.422</v>
      </c>
      <c r="I4">
        <f>'Company Name Rev Build'!AA39/1000</f>
        <v>7.674</v>
      </c>
      <c r="J4">
        <f>'Company Name Rev Build'!AE39/1000</f>
        <v>11.706</v>
      </c>
    </row>
    <row r="5">
      <c r="B5" t="str">
        <v>AI</v>
      </c>
      <c r="C5">
        <v>0.4</v>
      </c>
      <c r="D5">
        <v>1.25</v>
      </c>
      <c r="E5">
        <f>SUM('Company Name Rev Build'!K51:K53)/1000</f>
        <v>0.798</v>
      </c>
      <c r="F5">
        <f>SUM('Company Name Rev Build'!O51:O53)/1000</f>
        <v>7.816</v>
      </c>
      <c r="G5">
        <f>SUM('Company Name Rev Build'!S51:S53)/1000</f>
        <v>11.316</v>
      </c>
      <c r="H5">
        <f>SUM('Company Name Rev Build'!W51:W53)/1000</f>
        <v>14.816</v>
      </c>
      <c r="I5">
        <f>SUM('Company Name Rev Build'!AA51:AA53)/1000</f>
        <v>18.316</v>
      </c>
      <c r="J5">
        <f>SUM('Company Name Rev Build'!AE51:AE53)/1000</f>
        <v>21.816</v>
      </c>
    </row>
    <row r="6">
      <c r="B6" t="str">
        <v>Teleradiology</v>
      </c>
      <c r="C6">
        <v>9.2</v>
      </c>
      <c r="D6">
        <v>10.5</v>
      </c>
      <c r="E6">
        <f>('Company Name Rev Build'!K55)/1000</f>
        <v>10.432</v>
      </c>
      <c r="F6">
        <f>('Company Name Rev Build'!O55)/1000</f>
        <v>12.373</v>
      </c>
      <c r="G6">
        <f>('Company Name Rev Build'!S55)/1000</f>
        <v>13.373</v>
      </c>
      <c r="H6">
        <f>('Company Name Rev Build'!W55)/1000</f>
        <v>14.373</v>
      </c>
      <c r="I6">
        <f>('Company Name Rev Build'!AA55)/1000</f>
        <v>15.373</v>
      </c>
      <c r="J6">
        <f>('Company Name Rev Build'!AE55)/1000</f>
        <v>16.373</v>
      </c>
    </row>
    <row r="7">
      <c r="B7" t="str">
        <v>Other Revenue</v>
      </c>
      <c r="C7">
        <v>0.3049999999999997</v>
      </c>
      <c r="D7">
        <v>1.5</v>
      </c>
      <c r="E7">
        <f>'Company Name Rev Build'!K49/1000</f>
        <v>0.445</v>
      </c>
      <c r="F7">
        <f>'Company Name Rev Build'!O49/1000</f>
        <v>1.508</v>
      </c>
      <c r="G7">
        <f>'Company Name Rev Build'!S49/1000</f>
        <v>4.233</v>
      </c>
      <c r="H7">
        <f>'Company Name Rev Build'!W49/1000</f>
        <v>7.12675</v>
      </c>
      <c r="I7">
        <f>'Company Name Rev Build'!AA49/1000</f>
        <v>10.3158125</v>
      </c>
      <c r="J7">
        <f>'Company Name Rev Build'!AE49/1000</f>
        <v>14.021671875</v>
      </c>
    </row>
    <row r="8">
      <c r="B8" t="str">
        <v>Total Revenue</v>
      </c>
      <c r="C8">
        <v>9.905</v>
      </c>
      <c r="D8">
        <v>13.741304</v>
      </c>
      <c r="E8">
        <f>SUM(E3:E7)</f>
        <v>12.171916000000001</v>
      </c>
      <c r="F8">
        <f>SUM(F3:F7)</f>
        <v>59.5663608</v>
      </c>
      <c r="G8">
        <f>SUM(G3:G7)</f>
        <v>103.96514080000003</v>
      </c>
      <c r="H8">
        <f>SUM(H3:H7)</f>
        <v>149.0874028</v>
      </c>
      <c r="I8">
        <f>SUM(I3:I7)</f>
        <v>197.6420173</v>
      </c>
      <c r="J8">
        <f>SUM(J3:J7)</f>
        <v>249.850468675</v>
      </c>
      <c r="K8">
        <f>(J8/E8)^(1/5)-1</f>
        <v>0.8300554309615187</v>
      </c>
    </row>
    <row r="9">
      <c r="B9" t="str">
        <v>% Growth</v>
      </c>
      <c r="C9">
        <v>0.15469806481697357</v>
      </c>
      <c r="D9">
        <f>D8/C8-1</f>
        <v>0.38730984351337705</v>
      </c>
      <c r="E9">
        <f>E8/D8-1</f>
        <v>-0.11420953935667233</v>
      </c>
      <c r="F9">
        <f>F8/E8-1</f>
        <v>3.89375385107817</v>
      </c>
      <c r="G9">
        <f>G8/F8-1</f>
        <v>0.7453666701088786</v>
      </c>
      <c r="H9">
        <f>H8/G8-1</f>
        <v>0.4340133784534823</v>
      </c>
      <c r="I9">
        <f>I8/H8-1</f>
        <v>0.325678854068816</v>
      </c>
      <c r="J9">
        <f>J8/I8-1</f>
        <v>0.264156640820727</v>
      </c>
    </row>
    <row r="11">
      <c r="B11" t="str">
        <v>COGS from AI</v>
      </c>
      <c r="C11">
        <v>-8.959979389999997</v>
      </c>
      <c r="D11">
        <v>-8.746694377499999</v>
      </c>
      <c r="E11">
        <f>-'Company Name COGS+OPEX Build'!M145</f>
        <v>0</v>
      </c>
      <c r="F11">
        <f>-'Company Name COGS+OPEX Build'!N145</f>
        <v>-0.179</v>
      </c>
      <c r="G11">
        <f>-'Company Name COGS+OPEX Build'!O145</f>
        <v>-0.5982999999999998</v>
      </c>
      <c r="H11">
        <f>-'Company Name COGS+OPEX Build'!P145</f>
        <v>-0.8482999999999998</v>
      </c>
      <c r="I11">
        <f>-'Company Name COGS+OPEX Build'!Q145</f>
        <v>-1.0982999999999998</v>
      </c>
      <c r="J11">
        <f>-'Company Name COGS+OPEX Build'!R145</f>
        <v>-1.3482999999999998</v>
      </c>
    </row>
    <row r="12">
      <c r="B12" t="str">
        <v>COGS from Teleradiology</v>
      </c>
      <c r="C12">
        <v>-7.537</v>
      </c>
      <c r="D12">
        <v>-8.54</v>
      </c>
      <c r="E12">
        <f>-'Company Name COGS+OPEX Build'!M191</f>
        <v>-7.141</v>
      </c>
      <c r="F12">
        <f>-'Company Name COGS+OPEX Build'!N191</f>
        <v>-8.522</v>
      </c>
      <c r="G12">
        <f>-'Company Name COGS+OPEX Build'!O191</f>
        <v>-9.1181429890318</v>
      </c>
      <c r="H12">
        <f>-'Company Name COGS+OPEX Build'!P191</f>
        <v>-9.769588727166022</v>
      </c>
      <c r="I12">
        <f>-'Company Name COGS+OPEX Build'!Q191</f>
        <v>-10.542090677632196</v>
      </c>
      <c r="J12">
        <f>-'Company Name COGS+OPEX Build'!R191</f>
        <v>-11.547783862710729</v>
      </c>
    </row>
    <row r="13">
      <c r="B13" t="str">
        <v>COGS (AI &amp; Teleradiology)</v>
      </c>
      <c r="C13">
        <v>-16.496979389999996</v>
      </c>
      <c r="D13">
        <v>-17.286694377499998</v>
      </c>
      <c r="E13">
        <f>SUM(E11:E12)</f>
        <v>-7.141</v>
      </c>
      <c r="F13">
        <f>SUM(F11:F12)</f>
        <v>-8.701</v>
      </c>
      <c r="G13">
        <f>SUM(G11:G12)</f>
        <v>-9.7164429890318</v>
      </c>
      <c r="H13">
        <f>SUM(H11:H12)</f>
        <v>-10.617888727166022</v>
      </c>
      <c r="I13">
        <f>SUM(I11:I12)</f>
        <v>-11.640390677632196</v>
      </c>
      <c r="J13">
        <f>SUM(J11:J12)</f>
        <v>-12.896083862710729</v>
      </c>
    </row>
    <row r="14">
      <c r="B14" t="str">
        <v>Depreciation of [Company Name] Subscription Revenue Systems</v>
      </c>
      <c r="C14">
        <v>0</v>
      </c>
      <c r="D14">
        <v>-0.165</v>
      </c>
      <c r="E14">
        <f>-'Company Name COGS+OPEX Build'!M175</f>
        <v>-0.159</v>
      </c>
      <c r="F14">
        <f>-'Company Name COGS+OPEX Build'!N175</f>
        <v>-0.8440714285714286</v>
      </c>
      <c r="G14">
        <f>-'Company Name COGS+OPEX Build'!O175</f>
        <v>-1.6622142857142856</v>
      </c>
      <c r="H14">
        <f>-'Company Name COGS+OPEX Build'!P175</f>
        <v>-2.5542857142857147</v>
      </c>
      <c r="I14">
        <f>-'Company Name COGS+OPEX Build'!Q175</f>
        <v>-3.8828571428571426</v>
      </c>
      <c r="J14">
        <f>-'Company Name COGS+OPEX Build'!R175</f>
        <v>-5.468571428571429</v>
      </c>
    </row>
    <row r="15">
      <c r="B15" t="str">
        <v>COGS from [Company Name] Capex Systems</v>
      </c>
      <c r="C15">
        <v>0</v>
      </c>
      <c r="D15">
        <v>-0.24</v>
      </c>
      <c r="E15">
        <f>-'Company Name COGS+OPEX Build'!M176</f>
        <v>-0.312</v>
      </c>
      <c r="F15">
        <f>-'Company Name COGS+OPEX Build'!N176</f>
        <v>-14.6265</v>
      </c>
      <c r="G15">
        <f>-'Company Name COGS+OPEX Build'!O176</f>
        <v>-14.94</v>
      </c>
      <c r="H15">
        <f>-'Company Name COGS+OPEX Build'!P176</f>
        <v>-17.94</v>
      </c>
      <c r="I15">
        <f>-'Company Name COGS+OPEX Build'!Q176</f>
        <v>-20.94</v>
      </c>
      <c r="J15">
        <f>-'Company Name COGS+OPEX Build'!R176</f>
        <v>-23.94</v>
      </c>
    </row>
    <row r="16">
      <c r="B16" t="str">
        <v>COGS from System Maintenance &amp; Service</v>
      </c>
      <c r="C16">
        <v>0</v>
      </c>
      <c r="D16">
        <v>0</v>
      </c>
      <c r="E16">
        <f>-'Company Name COGS+OPEX Build'!M177</f>
        <v>-0.014907479999999997</v>
      </c>
      <c r="F16">
        <f>-'Company Name COGS+OPEX Build'!N177</f>
        <v>-1.1360808239999998</v>
      </c>
      <c r="G16">
        <f>-'Company Name COGS+OPEX Build'!O177</f>
        <v>-2.251294224</v>
      </c>
      <c r="H16">
        <f>-'Company Name COGS+OPEX Build'!P177</f>
        <v>-3.3831495840000003</v>
      </c>
      <c r="I16">
        <f>-'Company Name COGS+OPEX Build'!Q177</f>
        <v>-4.609116144</v>
      </c>
      <c r="J16">
        <f>-'Company Name COGS+OPEX Build'!R177</f>
        <v>-5.929193904</v>
      </c>
    </row>
    <row r="17">
      <c r="B17" t="str">
        <v>COGS Other (Product Salaries, shipping, Installations, SW, Overhead, [Division 1] Costs)</v>
      </c>
      <c r="C17">
        <v>0</v>
      </c>
      <c r="D17">
        <v>-0.7471428571428572</v>
      </c>
      <c r="E17">
        <f>E18-SUM(E13:E16)</f>
        <v>-3.875092520000001</v>
      </c>
      <c r="F17">
        <f>F18-SUM(F13:F16)</f>
        <v>-12.821347747428568</v>
      </c>
      <c r="G17">
        <f>G18-SUM(G13:G16)</f>
        <v>-18.383260861313623</v>
      </c>
      <c r="H17">
        <f>H18-SUM(H13:H16)</f>
        <v>-23.91491350018839</v>
      </c>
      <c r="I17">
        <f>I18-SUM(I13:I16)</f>
        <v>-29.458113476782515</v>
      </c>
      <c r="J17">
        <f>J18-SUM(J13:J16)</f>
        <v>-34.99892184975593</v>
      </c>
    </row>
    <row r="18">
      <c r="B18" t="str">
        <v>Total COGS</v>
      </c>
      <c r="C18">
        <v>-16.496979389999996</v>
      </c>
      <c r="D18">
        <v>-18.43883723464285</v>
      </c>
      <c r="E18">
        <f>-'Company Name COGS+OPEX Build'!M205</f>
        <v>-11.502</v>
      </c>
      <c r="F18">
        <f>-'Company Name COGS+OPEX Build'!N205</f>
        <v>-38.129</v>
      </c>
      <c r="G18">
        <f>-'Company Name COGS+OPEX Build'!O205</f>
        <v>-46.95321236005971</v>
      </c>
      <c r="H18">
        <f>-'Company Name COGS+OPEX Build'!P205</f>
        <v>-58.41023752564013</v>
      </c>
      <c r="I18">
        <f>-'Company Name COGS+OPEX Build'!Q205</f>
        <v>-70.53047744127186</v>
      </c>
      <c r="J18">
        <f>-'Company Name COGS+OPEX Build'!R205</f>
        <v>-83.23277104503809</v>
      </c>
    </row>
    <row r="20">
      <c r="B20" t="str">
        <v>Gross Profit</v>
      </c>
      <c r="C20">
        <v>-6.591979389999997</v>
      </c>
      <c r="D20">
        <v>-4.697533234642851</v>
      </c>
      <c r="E20">
        <f>E8+E18</f>
        <v>0.6699160000000006</v>
      </c>
      <c r="F20">
        <f>F8+F18</f>
        <v>21.4373608</v>
      </c>
      <c r="G20">
        <f>G8+G18</f>
        <v>57.01192843994032</v>
      </c>
      <c r="H20">
        <f>H8+H18</f>
        <v>90.67716527435988</v>
      </c>
      <c r="I20">
        <f>I8+I18</f>
        <v>127.11153985872814</v>
      </c>
      <c r="J20">
        <f>J8+J18</f>
        <v>166.61769762996192</v>
      </c>
    </row>
    <row r="21">
      <c r="B21" t="str">
        <v>% Margin</v>
      </c>
      <c r="C21">
        <v>-0.6655203826350325</v>
      </c>
      <c r="D21">
        <v>-0.3418549822231464</v>
      </c>
      <c r="E21">
        <f>E20/E$8</f>
        <v>0.05503784285070654</v>
      </c>
      <c r="F21">
        <f>F20/F$8</f>
        <v>0.3598903896777928</v>
      </c>
      <c r="G21">
        <f>G20/G$8</f>
        <v>0.548375426621269</v>
      </c>
      <c r="H21">
        <f>H20/H$8</f>
        <v>0.6082148026684913</v>
      </c>
      <c r="I21">
        <f>I20/I$8</f>
        <v>0.6431402674148284</v>
      </c>
      <c r="J21">
        <f>J20/J$8</f>
        <v>0.6668696621365741</v>
      </c>
    </row>
    <row r="23">
      <c r="B23" t="str">
        <v>S&amp;M</v>
      </c>
      <c r="C23">
        <v>-4.168</v>
      </c>
      <c r="D23">
        <v>-4.3830056840000005</v>
      </c>
      <c r="E23">
        <f>-'Company Name COGS+OPEX Build'!M40</f>
        <v>-7.402660874666666</v>
      </c>
      <c r="F23">
        <f>-'Company Name COGS+OPEX Build'!N40</f>
        <v>-16.528202166186663</v>
      </c>
      <c r="G23">
        <f>-'Company Name COGS+OPEX Build'!O40</f>
        <v>-19.57862982104482</v>
      </c>
      <c r="H23">
        <f>-'Company Name COGS+OPEX Build'!P40</f>
        <v>-22.03347668350245</v>
      </c>
      <c r="I23">
        <f>-'Company Name COGS+OPEX Build'!Q40</f>
        <v>-24.50141174885609</v>
      </c>
      <c r="J23">
        <f>-'Company Name COGS+OPEX Build'!R40</f>
        <v>-26.989853289392634</v>
      </c>
    </row>
    <row r="24">
      <c r="B24" t="str">
        <v>% Margin</v>
      </c>
      <c r="C24">
        <v>0.4207975769813226</v>
      </c>
      <c r="D24">
        <v>0.3189657753005101</v>
      </c>
      <c r="E24">
        <f>-E23/E$8</f>
        <v>0.6081754815483993</v>
      </c>
      <c r="F24">
        <f>-F23/F$8</f>
        <v>0.2774754398994048</v>
      </c>
      <c r="G24">
        <f>-G23/G$8</f>
        <v>0.1883191776627192</v>
      </c>
      <c r="H24">
        <f>-H23/H$8</f>
        <v>0.14778899001319545</v>
      </c>
      <c r="I24">
        <f>-I23/I$8</f>
        <v>0.12396863826615116</v>
      </c>
      <c r="J24">
        <f>-J23/J$8</f>
        <v>0.10802402505996674</v>
      </c>
    </row>
    <row r="25">
      <c r="B25" t="str">
        <v>G&amp;A</v>
      </c>
      <c r="C25">
        <v>-25.779999999999998</v>
      </c>
      <c r="D25">
        <v>-23.288410330625005</v>
      </c>
      <c r="E25">
        <f>-'Company Name COGS+OPEX Build'!M129</f>
        <v>-17.16984161066667</v>
      </c>
      <c r="F25">
        <f>-'Company Name COGS+OPEX Build'!N129</f>
        <v>-20.69119636288</v>
      </c>
      <c r="G25">
        <f>-'Company Name COGS+OPEX Build'!O129</f>
        <v>-21.61319059273211</v>
      </c>
      <c r="H25">
        <f>-'Company Name COGS+OPEX Build'!P129</f>
        <v>-22.57298832067987</v>
      </c>
      <c r="I25">
        <f>-'Company Name COGS+OPEX Build'!Q129</f>
        <v>-23.470266597401515</v>
      </c>
      <c r="J25">
        <f>-'Company Name COGS+OPEX Build'!R129</f>
        <v>-24.61870989698702</v>
      </c>
    </row>
    <row r="26">
      <c r="B26" t="str">
        <v>% Margin</v>
      </c>
      <c r="C26">
        <v>2.602725896012115</v>
      </c>
      <c r="D26">
        <v>1.6947744064628079</v>
      </c>
      <c r="E26">
        <f>-E25/E$8</f>
        <v>1.4106112472897996</v>
      </c>
      <c r="F26">
        <f>-F25/F$8</f>
        <v>0.34736378192303463</v>
      </c>
      <c r="G26">
        <f>-G25/G$8</f>
        <v>0.20788882144939205</v>
      </c>
      <c r="H26">
        <f>-H25/H$8</f>
        <v>0.15140775073371837</v>
      </c>
      <c r="I26">
        <f>-I25/I$8</f>
        <v>0.11875140174154414</v>
      </c>
      <c r="J26">
        <f>-J25/J$8</f>
        <v>0.0985337751317589</v>
      </c>
    </row>
    <row r="27">
      <c r="B27" t="str">
        <v>R&amp;D</v>
      </c>
      <c r="C27">
        <v>-26.049</v>
      </c>
      <c r="D27">
        <v>-20.930979095625</v>
      </c>
      <c r="E27">
        <f>-'Company Name COGS+OPEX Build'!M74</f>
        <v>-20.472702888</v>
      </c>
      <c r="F27">
        <f>-'Company Name COGS+OPEX Build'!N74</f>
        <v>-23.36587172896</v>
      </c>
      <c r="G27">
        <f>-'Company Name COGS+OPEX Build'!O74</f>
        <v>-24.975894779057278</v>
      </c>
      <c r="H27">
        <f>-'Company Name COGS+OPEX Build'!P74</f>
        <v>-25.21141622283114</v>
      </c>
      <c r="I27">
        <f>-'Company Name COGS+OPEX Build'!Q74</f>
        <v>-25.618464089747683</v>
      </c>
      <c r="J27">
        <f>-'Company Name COGS+OPEX Build'!R74</f>
        <v>-26.332085368439188</v>
      </c>
    </row>
    <row r="28">
      <c r="B28" t="str">
        <v>% Margin</v>
      </c>
      <c r="C28">
        <v>2.629883897021706</v>
      </c>
      <c r="D28">
        <v>1.5232163625537285</v>
      </c>
      <c r="E28">
        <f>-E27/E$8</f>
        <v>1.6819622225457356</v>
      </c>
      <c r="F28">
        <f>-F27/F$8</f>
        <v>0.3922662290451694</v>
      </c>
      <c r="G28">
        <f>-G27/G$8</f>
        <v>0.2402333569393605</v>
      </c>
      <c r="H28">
        <f>-H27/H$8</f>
        <v>0.1691049394471787</v>
      </c>
      <c r="I28">
        <f>-I27/I$8</f>
        <v>0.1296205353483188</v>
      </c>
      <c r="J28">
        <f>-J27/J$8</f>
        <v>0.10539137872377333</v>
      </c>
    </row>
    <row r="30">
      <c r="B30" t="str">
        <v>Operating Income/(Loss)</v>
      </c>
      <c r="C30">
        <v>-62.58897939</v>
      </c>
      <c r="D30">
        <v>-53.299928344892855</v>
      </c>
      <c r="E30">
        <f>E20+E23+E25+E27</f>
        <v>-44.37528937333333</v>
      </c>
      <c r="F30">
        <f>F20+F23+F25+F27</f>
        <v>-39.14790945802666</v>
      </c>
      <c r="G30">
        <f>G20+G23+G25+G27</f>
        <v>-9.155786752893889</v>
      </c>
      <c r="H30">
        <f>H20+H23+H25+H27</f>
        <v>20.859284047346428</v>
      </c>
      <c r="I30">
        <f>I20+I23+I25+I27</f>
        <v>53.52139742272285</v>
      </c>
      <c r="J30">
        <f>J20+J23+J25+J27</f>
        <v>88.67704907514309</v>
      </c>
    </row>
    <row r="31">
      <c r="B31" t="str">
        <v>% Margin</v>
      </c>
      <c r="C31">
        <v>-6.318927752650176</v>
      </c>
      <c r="D31">
        <v>-3.8788115265401926</v>
      </c>
      <c r="E31">
        <f>E30/E$8</f>
        <v>-3.645711108533227</v>
      </c>
      <c r="F31">
        <f>F30/F$8</f>
        <v>-0.6572150611898161</v>
      </c>
      <c r="G31">
        <f>G30/G$8</f>
        <v>-0.08806592943020268</v>
      </c>
      <c r="H31">
        <f>H30/H$8</f>
        <v>0.1399131224743988</v>
      </c>
      <c r="I31">
        <f>I30/I$8</f>
        <v>0.2707996920588143</v>
      </c>
      <c r="J31">
        <f>J30/J$8</f>
        <v>0.3549204832210751</v>
      </c>
    </row>
    <row r="33">
      <c r="B33" t="str">
        <v>OPEX %</v>
      </c>
      <c r="C33">
        <f>-(C23+C25+C27)/C$8</f>
        <v>5.653407370015144</v>
      </c>
      <c r="D33">
        <f>-(D23+D25+D27)/D$8</f>
        <v>3.536956544317046</v>
      </c>
      <c r="E33">
        <f>-(E23+E25+E27)/E$8</f>
        <v>3.700748951383934</v>
      </c>
      <c r="F33">
        <f>-(F23+F25+F27)/F$8</f>
        <v>1.017105450867609</v>
      </c>
      <c r="G33">
        <f>-(G23+G25+G27)/G$8</f>
        <v>0.6364413560514717</v>
      </c>
      <c r="H33">
        <f>-(H23+H25+H27)/H$8</f>
        <v>0.4683016801940925</v>
      </c>
      <c r="I33">
        <f>-(I23+I25+I27)/I$8</f>
        <v>0.3723405753560141</v>
      </c>
      <c r="J33">
        <f>-(J23+J25+J27)/J$8</f>
        <v>0.31194917891549895</v>
      </c>
    </row>
    <row r="35">
      <c r="B35" t="str">
        <v>D&amp;A</v>
      </c>
      <c r="C35">
        <v>11.81</v>
      </c>
      <c r="D35">
        <v>11.921</v>
      </c>
      <c r="E35">
        <f>'Company Name COGS+OPEX Build'!M33+'Company Name COGS+OPEX Build'!M32+'Company Name COGS+OPEX Build'!M67+'Company Name COGS+OPEX Build'!M124</f>
        <v>1.49594228</v>
      </c>
      <c r="F35">
        <f>'Company Name COGS+OPEX Build'!N33+'Company Name COGS+OPEX Build'!N32+'Company Name COGS+OPEX Build'!N67+'Company Name COGS+OPEX Build'!N124</f>
        <v>1.49594228</v>
      </c>
      <c r="G35">
        <f>'Company Name COGS+OPEX Build'!O33+'Company Name COGS+OPEX Build'!O32+'Company Name COGS+OPEX Build'!O67+'Company Name COGS+OPEX Build'!O124</f>
        <v>1.49594228</v>
      </c>
      <c r="H35">
        <f>'Company Name COGS+OPEX Build'!P33+'Company Name COGS+OPEX Build'!P32+'Company Name COGS+OPEX Build'!P67+'Company Name COGS+OPEX Build'!P124</f>
        <v>1.49594228</v>
      </c>
      <c r="I35">
        <f>'Company Name COGS+OPEX Build'!Q33+'Company Name COGS+OPEX Build'!Q32+'Company Name COGS+OPEX Build'!Q67+'Company Name COGS+OPEX Build'!Q124</f>
        <v>1.49594228</v>
      </c>
      <c r="J35">
        <f>'Company Name COGS+OPEX Build'!R33+'Company Name COGS+OPEX Build'!R32+'Company Name COGS+OPEX Build'!R67+'Company Name COGS+OPEX Build'!R124</f>
        <v>1.49594228</v>
      </c>
    </row>
    <row r="37">
      <c r="B37" t="str">
        <v>EBITDA</v>
      </c>
      <c r="C37">
        <v>-50.778979389999996</v>
      </c>
      <c r="D37">
        <v>-41.378928344892856</v>
      </c>
      <c r="E37">
        <f>E30+E35</f>
        <v>-42.87934709333333</v>
      </c>
      <c r="F37">
        <f>F30+F35</f>
        <v>-37.65196717802666</v>
      </c>
      <c r="G37">
        <f>G30+G35</f>
        <v>-7.659844472893889</v>
      </c>
      <c r="H37">
        <f>H30+H35</f>
        <v>22.35522632734643</v>
      </c>
      <c r="I37">
        <f>I30+I35</f>
        <v>55.01733970272285</v>
      </c>
      <c r="J37">
        <f>J30+J35</f>
        <v>90.17299135514308</v>
      </c>
    </row>
    <row r="38">
      <c r="B38" t="str">
        <v>% Margin</v>
      </c>
      <c r="C38">
        <v>-5.126600645128722</v>
      </c>
      <c r="D38">
        <v>-3.0112810505387886</v>
      </c>
      <c r="E38">
        <f>E37/E8</f>
        <v>-3.522809974480051</v>
      </c>
      <c r="F38">
        <f>F37/F8</f>
        <v>-0.6321011838283507</v>
      </c>
      <c r="G38">
        <f>G37/G8</f>
        <v>-0.0736770461132669</v>
      </c>
      <c r="H38">
        <f>H37/H8</f>
        <v>0.14994711764706137</v>
      </c>
      <c r="I38">
        <f>I37/I8</f>
        <v>0.2783686407086822</v>
      </c>
      <c r="J38">
        <f>J37/J8</f>
        <v>0.36090783352677286</v>
      </c>
    </row>
    <row r="40">
      <c r="B40" t="str">
        <v>Stock-based Compensation</v>
      </c>
      <c r="C40">
        <v>6.838</v>
      </c>
      <c r="D40">
        <v>5.9079999999999995</v>
      </c>
      <c r="E40">
        <f>'Company Name COGS+OPEX Build'!M34++'Company Name COGS+OPEX Build'!M68+'Company Name COGS+OPEX Build'!M125+'Company Name COGS+OPEX Build'!M199</f>
        <v>6.6272666666666655</v>
      </c>
      <c r="F40">
        <f>'Company Name COGS+OPEX Build'!N34++'Company Name COGS+OPEX Build'!N68+'Company Name COGS+OPEX Build'!N125+'Company Name COGS+OPEX Build'!N199</f>
        <v>9.450396666666665</v>
      </c>
      <c r="G40">
        <f>'Company Name COGS+OPEX Build'!O34++'Company Name COGS+OPEX Build'!O68+'Company Name COGS+OPEX Build'!O125+'Company Name COGS+OPEX Build'!O199</f>
        <v>9.885749833333332</v>
      </c>
      <c r="H40">
        <f>'Company Name COGS+OPEX Build'!P34++'Company Name COGS+OPEX Build'!P68+'Company Name COGS+OPEX Build'!P125+'Company Name COGS+OPEX Build'!P199</f>
        <v>10.241687324999997</v>
      </c>
      <c r="I40">
        <f>'Company Name COGS+OPEX Build'!Q34++'Company Name COGS+OPEX Build'!Q68+'Company Name COGS+OPEX Build'!Q125+'Company Name COGS+OPEX Build'!Q199</f>
        <v>10.518238357916664</v>
      </c>
      <c r="J40">
        <f>'Company Name COGS+OPEX Build'!R34++'Company Name COGS+OPEX Build'!R68+'Company Name COGS+OPEX Build'!R125+'Company Name COGS+OPEX Build'!R199</f>
        <v>10.715433609145832</v>
      </c>
    </row>
    <row r="41">
      <c r="B41" t="str">
        <v>Other Adjustments</v>
      </c>
      <c r="C41">
        <v>3.0859999999999994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>
      <c r="B42" t="str">
        <v>Adj. EBITDA</v>
      </c>
      <c r="C42">
        <v>-40.85497939</v>
      </c>
      <c r="D42">
        <v>-35.470928344892855</v>
      </c>
      <c r="E42">
        <f>E37+E40</f>
        <v>-36.252080426666666</v>
      </c>
      <c r="F42">
        <f>F37+F40</f>
        <v>-28.201570511359996</v>
      </c>
      <c r="G42">
        <f>G37+G40</f>
        <v>2.2259053604394428</v>
      </c>
      <c r="H42">
        <f>H37+H40</f>
        <v>32.59691365234643</v>
      </c>
      <c r="I42">
        <f>I37+I40</f>
        <v>65.53557806063951</v>
      </c>
      <c r="J42">
        <f>J37+J40</f>
        <v>100.88842496428892</v>
      </c>
    </row>
    <row r="43">
      <c r="B43" t="str">
        <v>% Margin</v>
      </c>
      <c r="C43">
        <v>-4.124682422009086</v>
      </c>
      <c r="D43">
        <v>-2.5813364106414394</v>
      </c>
      <c r="E43">
        <f>E42/E8</f>
        <v>-2.978338038700453</v>
      </c>
      <c r="F43">
        <f>F42/F8</f>
        <v>-0.4734479349183272</v>
      </c>
      <c r="G43">
        <f>G42/G8</f>
        <v>0.021410112498394675</v>
      </c>
      <c r="H43">
        <f>H42/H8</f>
        <v>0.21864297747593756</v>
      </c>
      <c r="I43">
        <f>I42/I8</f>
        <v>0.3315872756002249</v>
      </c>
      <c r="J43">
        <f>J42/J8</f>
        <v>0.4037952199942533</v>
      </c>
    </row>
    <row r="44">
      <c r="B44" t="str">
        <v>WC rate from rev.</v>
      </c>
      <c r="G44">
        <f>SUM('[302]CF 2026'!$N$56:$P$56)/SUM('[302]CF 2026'!$N$2:$P$2)</f>
        <v>-0.11197992884102188</v>
      </c>
      <c r="H44">
        <f>G44</f>
        <v>-0.11197992884102188</v>
      </c>
      <c r="I44">
        <f>H44</f>
        <v>-0.11197992884102188</v>
      </c>
      <c r="J44">
        <f>I44</f>
        <v>-0.11197992884102188</v>
      </c>
    </row>
    <row r="45">
      <c r="B45" t="str">
        <v>WC</v>
      </c>
      <c r="F45">
        <f>'[302]CF 2026'!$Q$6/1000000</f>
        <v>-4.459033195731443</v>
      </c>
      <c r="G45">
        <f>G44*G8</f>
        <v>-11.642009068730824</v>
      </c>
      <c r="H45">
        <f>H44*H8</f>
        <v>-16.694796756636766</v>
      </c>
      <c r="I45">
        <f>I44*I8</f>
        <v>-22.131939033250013</v>
      </c>
      <c r="J45">
        <f>J44*J8</f>
        <v>-27.978237703122467</v>
      </c>
    </row>
    <row r="46">
      <c r="B46" t="str">
        <v>Capex</v>
      </c>
      <c r="F46">
        <f>'[302]CF 2026'!$Q$9/1000000</f>
        <v>-1.0464831818181817</v>
      </c>
      <c r="G46">
        <f>-0.5</f>
        <v>-0.5</v>
      </c>
      <c r="H46">
        <f>G46</f>
        <v>-0.5</v>
      </c>
      <c r="I46">
        <f>H46</f>
        <v>-0.5</v>
      </c>
      <c r="J46">
        <f>I46</f>
        <v>-0.5</v>
      </c>
    </row>
    <row r="47">
      <c r="B47" t="str">
        <v>Financing, net</v>
      </c>
      <c r="G47">
        <f>-3.3</f>
        <v>-3.3</v>
      </c>
      <c r="H47">
        <v>0</v>
      </c>
      <c r="I47">
        <v>0</v>
      </c>
      <c r="J47">
        <v>0</v>
      </c>
    </row>
    <row r="48">
      <c r="B48" t="str">
        <v>Tax</v>
      </c>
    </row>
    <row r="49">
      <c r="B49" t="str">
        <v>Free Cash Flow</v>
      </c>
      <c r="F49">
        <f>F42+SUM(F45:F48)</f>
        <v>-33.70708688890962</v>
      </c>
      <c r="G49">
        <f>G42+SUM(G45:G48)</f>
        <v>-13.21610370829138</v>
      </c>
      <c r="H49">
        <f>H42+SUM(H45:H48)</f>
        <v>15.402116895709664</v>
      </c>
      <c r="I49">
        <f>I42+SUM(I45:I48)</f>
        <v>42.903639027389495</v>
      </c>
      <c r="J49">
        <f>J42+SUM(J45:J48)</f>
        <v>72.41018726116644</v>
      </c>
    </row>
  </sheetData>
  <pageMargins left="0.7" right="0.7" top="0.75" bottom="0.75" header="0.3" footer="0.3"/>
  <ignoredErrors>
    <ignoredError numberStoredAsText="1" sqref="B1:O49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1:AI97"/>
  <sheetViews>
    <sheetView workbookViewId="0" rightToLeft="0"/>
  </sheetViews>
  <sheetData>
    <row r="1">
      <c r="M1" t="str">
        <v>msaas</v>
      </c>
      <c r="N1">
        <f>M6+M9+N9</f>
        <v>151</v>
      </c>
      <c r="O1">
        <f>N1/SUM(N$1:N$2)</f>
        <v>0.43142857142857144</v>
      </c>
      <c r="Q1" t="str">
        <v>msaas</v>
      </c>
      <c r="R1">
        <f>Q6+Q9+R9</f>
        <v>201</v>
      </c>
      <c r="S1">
        <f>R1/SUM(R$1:R$2)</f>
        <v>0.44666666666666666</v>
      </c>
      <c r="U1" t="str">
        <v>msaas</v>
      </c>
      <c r="V1">
        <f>U6+U9+V9</f>
        <v>251</v>
      </c>
      <c r="W1">
        <f>V1/SUM(V$1:V$2)</f>
        <v>0.45636363636363636</v>
      </c>
      <c r="Y1" t="str">
        <v>msaas</v>
      </c>
      <c r="Z1">
        <f>Y6+Y9+Z9</f>
        <v>301</v>
      </c>
      <c r="AA1">
        <f>Z1/SUM(Z$1:Z$2)</f>
        <v>0.46307692307692305</v>
      </c>
      <c r="AC1" t="str">
        <v>msaas</v>
      </c>
      <c r="AD1">
        <f>AC6+AC9+AD9</f>
        <v>351</v>
      </c>
      <c r="AE1">
        <f>AD1/SUM(AD$1:AD$2)</f>
        <v>0.468</v>
      </c>
    </row>
    <row r="2">
      <c r="M2" t="str">
        <v>capex</v>
      </c>
      <c r="N2">
        <f>M12+N12</f>
        <v>199</v>
      </c>
      <c r="O2">
        <f>N2/SUM(N$1:N$2)</f>
        <v>0.5685714285714286</v>
      </c>
      <c r="Q2" t="str">
        <v>capex</v>
      </c>
      <c r="R2">
        <f>Q12+R12</f>
        <v>249</v>
      </c>
      <c r="S2">
        <f>R2/SUM(R$1:R$2)</f>
        <v>0.5533333333333333</v>
      </c>
      <c r="U2" t="str">
        <v>capex</v>
      </c>
      <c r="V2">
        <f>U12+V12</f>
        <v>299</v>
      </c>
      <c r="W2">
        <f>V2/SUM(V$1:V$2)</f>
        <v>0.5436363636363636</v>
      </c>
      <c r="Y2" t="str">
        <v>capex</v>
      </c>
      <c r="Z2">
        <f>Y12+Z12</f>
        <v>349</v>
      </c>
      <c r="AA2">
        <f>Z2/SUM(Z$1:Z$2)</f>
        <v>0.536923076923077</v>
      </c>
      <c r="AC2" t="str">
        <v>capex</v>
      </c>
      <c r="AD2">
        <f>AC12+AD12</f>
        <v>399</v>
      </c>
      <c r="AE2">
        <f>AD2/SUM(AD$1:AD$2)</f>
        <v>0.532</v>
      </c>
    </row>
    <row r="3">
      <c r="B3" t="str">
        <v>$ in '000s</v>
      </c>
      <c r="E3" t="str">
        <v>FY24E</v>
      </c>
      <c r="I3" t="str">
        <v>FY25E</v>
      </c>
      <c r="M3" t="str">
        <v>FY26E</v>
      </c>
      <c r="Q3" t="str">
        <v>FY27E</v>
      </c>
      <c r="U3" t="str">
        <v>FY28E</v>
      </c>
      <c r="Y3" t="str">
        <v>FY29E</v>
      </c>
      <c r="AC3" t="str">
        <v>FY30E</v>
      </c>
    </row>
    <row r="5">
      <c r="E5" t="str">
        <v xml:space="preserve">U.S. </v>
      </c>
      <c r="F5" t="str">
        <v>EX-US</v>
      </c>
      <c r="G5" t="str">
        <v xml:space="preserve">Total </v>
      </c>
      <c r="I5" t="str">
        <v xml:space="preserve">U.S. </v>
      </c>
      <c r="J5" t="str">
        <v>EX-US</v>
      </c>
      <c r="K5" t="str">
        <v xml:space="preserve">Total </v>
      </c>
      <c r="M5" t="str">
        <v xml:space="preserve">U.S. </v>
      </c>
      <c r="N5" t="str">
        <v>EX-US</v>
      </c>
      <c r="O5" t="str">
        <v xml:space="preserve">Total </v>
      </c>
      <c r="Q5" t="str">
        <v xml:space="preserve">U.S. </v>
      </c>
      <c r="R5" t="str">
        <v>EX-US</v>
      </c>
      <c r="S5" t="str">
        <v xml:space="preserve">Total </v>
      </c>
      <c r="U5" t="str">
        <v xml:space="preserve">U.S. </v>
      </c>
      <c r="V5" t="str">
        <v>EX-US</v>
      </c>
      <c r="W5" t="str">
        <v xml:space="preserve">Total </v>
      </c>
      <c r="Y5" t="str">
        <v xml:space="preserve">U.S. </v>
      </c>
      <c r="Z5" t="str">
        <v>EX-US</v>
      </c>
      <c r="AA5" t="str">
        <v xml:space="preserve">Total </v>
      </c>
      <c r="AC5" t="str">
        <v xml:space="preserve">U.S. </v>
      </c>
      <c r="AD5" t="str">
        <v>EX-US</v>
      </c>
      <c r="AE5" t="str">
        <v xml:space="preserve">Total </v>
      </c>
    </row>
    <row r="6">
      <c r="B6" t="str">
        <v>[Division 1] Installs</v>
      </c>
      <c r="M6">
        <f>50</f>
        <v>50</v>
      </c>
      <c r="Q6">
        <f>M6</f>
        <v>50</v>
      </c>
      <c r="U6">
        <f>Q6</f>
        <v>50</v>
      </c>
      <c r="Y6">
        <f>U6</f>
        <v>50</v>
      </c>
      <c r="AC6">
        <f>Y6</f>
        <v>50</v>
      </c>
    </row>
    <row r="7">
      <c r="B7" t="str">
        <v>[Division 1] Installed Base</v>
      </c>
      <c r="I7">
        <v>0.001</v>
      </c>
      <c r="M7">
        <f>+I7+M6</f>
        <v>50.001</v>
      </c>
      <c r="N7">
        <f>+J7+N6</f>
        <v>0</v>
      </c>
      <c r="O7">
        <f>SUM(M7:N7)</f>
        <v>50.001</v>
      </c>
      <c r="Q7">
        <f>+M7+Q6</f>
        <v>100.001</v>
      </c>
      <c r="R7">
        <f>+N7+R6</f>
        <v>0</v>
      </c>
      <c r="S7">
        <f>SUM(Q7:R7)</f>
        <v>100.001</v>
      </c>
      <c r="U7">
        <f>+Q7+U6</f>
        <v>150.001</v>
      </c>
      <c r="V7">
        <f>+R7+V6</f>
        <v>0</v>
      </c>
      <c r="W7">
        <f>SUM(U7:V7)</f>
        <v>150.001</v>
      </c>
      <c r="Y7">
        <f>+U7+Y6</f>
        <v>200.001</v>
      </c>
      <c r="Z7">
        <f>+V7+Z6</f>
        <v>0</v>
      </c>
      <c r="AA7">
        <f>SUM(Y7:Z7)</f>
        <v>200.001</v>
      </c>
      <c r="AC7">
        <f>+Y7+AC6</f>
        <v>250.001</v>
      </c>
      <c r="AD7">
        <f>+Z7+AD6</f>
        <v>0</v>
      </c>
      <c r="AE7">
        <f>SUM(AC7:AD7)</f>
        <v>250.001</v>
      </c>
    </row>
    <row r="8">
      <c r="B8" t="str">
        <v>[Division 1] Service Contract</v>
      </c>
      <c r="M8">
        <f>I8+I6</f>
        <v>0</v>
      </c>
      <c r="N8">
        <f>J8+J6</f>
        <v>0</v>
      </c>
      <c r="O8">
        <f>SUM(M8:N8)</f>
        <v>0</v>
      </c>
      <c r="Q8">
        <f>M8+M6</f>
        <v>50</v>
      </c>
      <c r="R8">
        <f>N8+N6</f>
        <v>0</v>
      </c>
      <c r="S8">
        <f>SUM(Q8:R8)</f>
        <v>50</v>
      </c>
      <c r="U8">
        <f>Q8+Q6</f>
        <v>100</v>
      </c>
      <c r="V8">
        <f>R8+R6</f>
        <v>0</v>
      </c>
      <c r="W8">
        <f>SUM(U8:V8)</f>
        <v>100</v>
      </c>
      <c r="Y8">
        <f>U8+U6</f>
        <v>150</v>
      </c>
      <c r="Z8">
        <f>V8+V6</f>
        <v>0</v>
      </c>
      <c r="AA8">
        <f>SUM(Y8:Z8)</f>
        <v>150</v>
      </c>
      <c r="AC8">
        <f>Y8+Y6</f>
        <v>200</v>
      </c>
      <c r="AD8">
        <f>Z8+Z6</f>
        <v>0</v>
      </c>
      <c r="AE8">
        <f>SUM(AC8:AD8)</f>
        <v>200</v>
      </c>
    </row>
    <row r="9">
      <c r="B9" t="str">
        <v>Subscription Revenue Installs</v>
      </c>
      <c r="E9">
        <v>0</v>
      </c>
      <c r="F9">
        <v>0</v>
      </c>
      <c r="G9">
        <f>SUM(E9:F9)</f>
        <v>0</v>
      </c>
      <c r="I9">
        <v>13</v>
      </c>
      <c r="J9">
        <v>2</v>
      </c>
      <c r="K9">
        <f>SUM(I9:J9)</f>
        <v>15</v>
      </c>
      <c r="M9">
        <v>80</v>
      </c>
      <c r="N9">
        <v>21</v>
      </c>
      <c r="O9">
        <f>SUM(M9:N9)</f>
        <v>101</v>
      </c>
      <c r="Q9">
        <f>M9+30</f>
        <v>110</v>
      </c>
      <c r="R9">
        <f>N9+20</f>
        <v>41</v>
      </c>
      <c r="S9">
        <f>SUM(Q9:R9)</f>
        <v>151</v>
      </c>
      <c r="U9">
        <f>Q9+30</f>
        <v>140</v>
      </c>
      <c r="V9">
        <f>R9+20</f>
        <v>61</v>
      </c>
      <c r="W9">
        <f>SUM(U9:V9)</f>
        <v>201</v>
      </c>
      <c r="Y9">
        <f>U9+30</f>
        <v>170</v>
      </c>
      <c r="Z9">
        <f>V9+20</f>
        <v>81</v>
      </c>
      <c r="AA9">
        <f>SUM(Y9:Z9)</f>
        <v>251</v>
      </c>
      <c r="AC9">
        <f>Y9+30</f>
        <v>200</v>
      </c>
      <c r="AD9">
        <f>Z9+20</f>
        <v>101</v>
      </c>
      <c r="AE9">
        <f>SUM(AC9:AD9)</f>
        <v>301</v>
      </c>
    </row>
    <row r="10">
      <c r="B10" t="str">
        <v>Subscription Revenue Installed Base</v>
      </c>
      <c r="E10">
        <f>E9</f>
        <v>0</v>
      </c>
      <c r="F10">
        <f>F9</f>
        <v>0</v>
      </c>
      <c r="G10">
        <f>SUM(E10:F10)</f>
        <v>0</v>
      </c>
      <c r="I10">
        <f>+E10+I9</f>
        <v>13</v>
      </c>
      <c r="J10">
        <f>+F10+J9</f>
        <v>2</v>
      </c>
      <c r="K10">
        <f>SUM(I10:J10)</f>
        <v>15</v>
      </c>
      <c r="M10">
        <f>+I10+M9</f>
        <v>93</v>
      </c>
      <c r="N10">
        <f>+J10+N9</f>
        <v>23</v>
      </c>
      <c r="O10">
        <f>SUM(M10:N10)</f>
        <v>116</v>
      </c>
      <c r="Q10">
        <f>+M10+Q9</f>
        <v>203</v>
      </c>
      <c r="R10">
        <f>+N10+R9</f>
        <v>64</v>
      </c>
      <c r="S10">
        <f>SUM(Q10:R10)</f>
        <v>267</v>
      </c>
      <c r="U10">
        <f>+Q10+U9</f>
        <v>343</v>
      </c>
      <c r="V10">
        <f>+R10+V9</f>
        <v>125</v>
      </c>
      <c r="W10">
        <f>SUM(U10:V10)</f>
        <v>468</v>
      </c>
      <c r="Y10">
        <f>+U10+Y9</f>
        <v>513</v>
      </c>
      <c r="Z10">
        <f>+V10+Z9</f>
        <v>206</v>
      </c>
      <c r="AA10">
        <f>SUM(Y10:Z10)</f>
        <v>719</v>
      </c>
      <c r="AC10">
        <f>+Y10+AC9</f>
        <v>713</v>
      </c>
      <c r="AD10">
        <f>+Z10+AD9</f>
        <v>307</v>
      </c>
      <c r="AE10">
        <f>SUM(AC10:AD10)</f>
        <v>1020</v>
      </c>
    </row>
    <row r="11">
      <c r="B11" t="str">
        <v>Subscription Revenue Service Contract</v>
      </c>
      <c r="E11">
        <v>0</v>
      </c>
      <c r="F11">
        <v>0</v>
      </c>
      <c r="G11">
        <f>SUM(E11:F11)</f>
        <v>0</v>
      </c>
      <c r="I11">
        <f>E11+E9</f>
        <v>0</v>
      </c>
      <c r="J11">
        <f>F11+F9</f>
        <v>0</v>
      </c>
      <c r="K11">
        <f>SUM(I11:J11)</f>
        <v>0</v>
      </c>
      <c r="M11">
        <f>I11+I9</f>
        <v>13</v>
      </c>
      <c r="N11">
        <f>J11+J9</f>
        <v>2</v>
      </c>
      <c r="O11">
        <f>SUM(M11:N11)</f>
        <v>15</v>
      </c>
      <c r="Q11">
        <f>M11+M9</f>
        <v>93</v>
      </c>
      <c r="R11">
        <f>N11+N9</f>
        <v>23</v>
      </c>
      <c r="S11">
        <f>SUM(Q11:R11)</f>
        <v>116</v>
      </c>
      <c r="U11">
        <f>Q11+Q9</f>
        <v>203</v>
      </c>
      <c r="V11">
        <f>R11+R9</f>
        <v>64</v>
      </c>
      <c r="W11">
        <f>SUM(U11:V11)</f>
        <v>267</v>
      </c>
      <c r="Y11">
        <f>U11+U9</f>
        <v>343</v>
      </c>
      <c r="Z11">
        <f>V11+V9</f>
        <v>125</v>
      </c>
      <c r="AA11">
        <f>SUM(Y11:Z11)</f>
        <v>468</v>
      </c>
      <c r="AC11">
        <f>Y11+Y9</f>
        <v>513</v>
      </c>
      <c r="AD11">
        <f>Z11+Z9</f>
        <v>206</v>
      </c>
      <c r="AE11">
        <f>SUM(AC11:AD11)</f>
        <v>719</v>
      </c>
    </row>
    <row r="12">
      <c r="B12" t="str">
        <v>Capex Sales</v>
      </c>
      <c r="E12">
        <v>0</v>
      </c>
      <c r="G12">
        <f>SUM(E12:F12)</f>
        <v>0</v>
      </c>
      <c r="I12">
        <v>1</v>
      </c>
      <c r="J12">
        <v>1</v>
      </c>
      <c r="K12">
        <f>SUM(I12:J12)</f>
        <v>2</v>
      </c>
      <c r="M12">
        <v>145</v>
      </c>
      <c r="N12">
        <v>54</v>
      </c>
      <c r="O12">
        <f>SUM(M12:N12)</f>
        <v>199</v>
      </c>
      <c r="Q12">
        <f>M12+30</f>
        <v>175</v>
      </c>
      <c r="R12">
        <f>N12+20</f>
        <v>74</v>
      </c>
      <c r="S12">
        <f>SUM(Q12:R12)</f>
        <v>249</v>
      </c>
      <c r="U12">
        <f>Q12+30</f>
        <v>205</v>
      </c>
      <c r="V12">
        <f>R12+20</f>
        <v>94</v>
      </c>
      <c r="W12">
        <f>SUM(U12:V12)</f>
        <v>299</v>
      </c>
      <c r="Y12">
        <f>U12+30</f>
        <v>235</v>
      </c>
      <c r="Z12">
        <f>V12+20</f>
        <v>114</v>
      </c>
      <c r="AA12">
        <f>SUM(Y12:Z12)</f>
        <v>349</v>
      </c>
      <c r="AC12">
        <f>Y12+30</f>
        <v>265</v>
      </c>
      <c r="AD12">
        <f>Z12+20</f>
        <v>134</v>
      </c>
      <c r="AE12">
        <f>SUM(AC12:AD12)</f>
        <v>399</v>
      </c>
    </row>
    <row r="13">
      <c r="B13" t="str">
        <v>Capex Installed Base</v>
      </c>
      <c r="E13">
        <f>E12</f>
        <v>0</v>
      </c>
      <c r="F13">
        <f>F12</f>
        <v>0</v>
      </c>
      <c r="G13">
        <f>SUM(E13:F13)</f>
        <v>0</v>
      </c>
      <c r="I13">
        <f>+E13+I12</f>
        <v>1</v>
      </c>
      <c r="J13">
        <f>+F13+J12</f>
        <v>1</v>
      </c>
      <c r="K13">
        <f>SUM(I13:J13)</f>
        <v>2</v>
      </c>
      <c r="M13">
        <f>+I13+M12</f>
        <v>146</v>
      </c>
      <c r="N13">
        <f>+J13+N12</f>
        <v>55</v>
      </c>
      <c r="O13">
        <f>SUM(M13:N13)</f>
        <v>201</v>
      </c>
      <c r="Q13">
        <f>+M13+Q12</f>
        <v>321</v>
      </c>
      <c r="R13">
        <f>+N13+R12</f>
        <v>129</v>
      </c>
      <c r="S13">
        <f>SUM(Q13:R13)</f>
        <v>450</v>
      </c>
      <c r="U13">
        <f>+Q13+U12</f>
        <v>526</v>
      </c>
      <c r="V13">
        <f>+R13+V12</f>
        <v>223</v>
      </c>
      <c r="W13">
        <f>SUM(U13:V13)</f>
        <v>749</v>
      </c>
      <c r="Y13">
        <f>+U13+Y12</f>
        <v>761</v>
      </c>
      <c r="Z13">
        <f>+V13+Z12</f>
        <v>337</v>
      </c>
      <c r="AA13">
        <f>SUM(Y13:Z13)</f>
        <v>1098</v>
      </c>
      <c r="AC13">
        <f>+Y13+AC12</f>
        <v>1026</v>
      </c>
      <c r="AD13">
        <f>+Z13+AD12</f>
        <v>471</v>
      </c>
      <c r="AE13">
        <f>SUM(AC13:AD13)</f>
        <v>1497</v>
      </c>
    </row>
    <row r="14">
      <c r="B14" t="str">
        <v>Capex Service Contract</v>
      </c>
      <c r="E14">
        <v>0</v>
      </c>
      <c r="F14">
        <v>0</v>
      </c>
      <c r="G14">
        <f>SUM(E14:F14)</f>
        <v>0</v>
      </c>
      <c r="I14">
        <f>E14+E12</f>
        <v>0</v>
      </c>
      <c r="J14">
        <f>F14+F12</f>
        <v>0</v>
      </c>
      <c r="K14">
        <f>SUM(I14:J14)</f>
        <v>0</v>
      </c>
      <c r="M14">
        <f>I14+I12</f>
        <v>1</v>
      </c>
      <c r="N14">
        <f>J14+J12</f>
        <v>1</v>
      </c>
      <c r="O14">
        <f>SUM(M14:N14)</f>
        <v>2</v>
      </c>
      <c r="Q14">
        <f>M14+M12</f>
        <v>146</v>
      </c>
      <c r="R14">
        <f>N14+N12</f>
        <v>55</v>
      </c>
      <c r="S14">
        <f>SUM(Q14:R14)</f>
        <v>201</v>
      </c>
      <c r="U14">
        <f>Q14+Q12</f>
        <v>321</v>
      </c>
      <c r="V14">
        <f>R14+R12</f>
        <v>129</v>
      </c>
      <c r="W14">
        <f>SUM(U14:V14)</f>
        <v>450</v>
      </c>
      <c r="Y14">
        <f>U14+U12</f>
        <v>526</v>
      </c>
      <c r="Z14">
        <f>V14+V12</f>
        <v>223</v>
      </c>
      <c r="AA14">
        <f>SUM(Y14:Z14)</f>
        <v>749</v>
      </c>
      <c r="AC14">
        <f>Y14+Y12</f>
        <v>761</v>
      </c>
      <c r="AD14">
        <f>Z14+Z12</f>
        <v>337</v>
      </c>
      <c r="AE14">
        <f>SUM(AC14:AD14)</f>
        <v>1098</v>
      </c>
    </row>
    <row r="15">
      <c r="B15" t="str">
        <v>Total Installed Base</v>
      </c>
      <c r="E15">
        <f>E10+E13</f>
        <v>0</v>
      </c>
      <c r="F15">
        <f>F10+F13</f>
        <v>0</v>
      </c>
      <c r="G15">
        <f>G10+G13</f>
        <v>0</v>
      </c>
      <c r="I15">
        <f>I10+I13+I7</f>
        <v>14.001</v>
      </c>
      <c r="J15">
        <f>J10+J13+J7</f>
        <v>3</v>
      </c>
      <c r="K15">
        <f>K10+K13+K7</f>
        <v>17</v>
      </c>
      <c r="M15">
        <f>M10+M13+M7</f>
        <v>289.001</v>
      </c>
      <c r="N15">
        <f>N10+N13+N7</f>
        <v>78</v>
      </c>
      <c r="O15">
        <f>O10+O13+O7</f>
        <v>367.001</v>
      </c>
      <c r="Q15">
        <f>Q10+Q13+Q7</f>
        <v>624.001</v>
      </c>
      <c r="R15">
        <f>R10+R13+R7</f>
        <v>193</v>
      </c>
      <c r="S15">
        <f>S10+S13+S7</f>
        <v>817.001</v>
      </c>
      <c r="U15">
        <f>U10+U13+U7</f>
        <v>1019.001</v>
      </c>
      <c r="V15">
        <f>V10+V13+V7</f>
        <v>348</v>
      </c>
      <c r="W15">
        <f>W10+W13+W7</f>
        <v>1367.001</v>
      </c>
      <c r="Y15">
        <f>Y10+Y13+Y7</f>
        <v>1474.001</v>
      </c>
      <c r="Z15">
        <f>Z10+Z13+Z7</f>
        <v>543</v>
      </c>
      <c r="AA15">
        <f>AA10+AA13+AA7</f>
        <v>2017.001</v>
      </c>
      <c r="AC15">
        <f>AC10+AC13+AC7</f>
        <v>1989.001</v>
      </c>
      <c r="AD15">
        <f>AD10+AD13+AD7</f>
        <v>778</v>
      </c>
      <c r="AE15">
        <f>AE10+AE13+AE7</f>
        <v>2767.001</v>
      </c>
    </row>
    <row r="16">
      <c r="E16" t="str">
        <f>E5</f>
        <v xml:space="preserve">U.S. </v>
      </c>
      <c r="F16" t="str">
        <f>F5</f>
        <v>EX-US</v>
      </c>
      <c r="I16" t="str">
        <f>I5</f>
        <v xml:space="preserve">U.S. </v>
      </c>
      <c r="J16" t="str">
        <f>J5</f>
        <v>EX-US</v>
      </c>
      <c r="M16" t="str">
        <f>M5</f>
        <v xml:space="preserve">U.S. </v>
      </c>
      <c r="N16" t="str">
        <f>N5</f>
        <v>EX-US</v>
      </c>
      <c r="Q16" t="str">
        <f>Q5</f>
        <v xml:space="preserve">U.S. </v>
      </c>
      <c r="R16" t="str">
        <f>R5</f>
        <v>EX-US</v>
      </c>
      <c r="U16" t="str">
        <f>U5</f>
        <v xml:space="preserve">U.S. </v>
      </c>
      <c r="V16" t="str">
        <f>V5</f>
        <v>EX-US</v>
      </c>
      <c r="Y16" t="str">
        <f>Y5</f>
        <v xml:space="preserve">U.S. </v>
      </c>
      <c r="Z16" t="str">
        <f>Z5</f>
        <v>EX-US</v>
      </c>
      <c r="AC16" t="str">
        <f>AC5</f>
        <v xml:space="preserve">U.S. </v>
      </c>
      <c r="AD16" t="str">
        <f>AD5</f>
        <v>EX-US</v>
      </c>
    </row>
    <row r="17">
      <c r="B17" t="str">
        <v>Per Scan Price</v>
      </c>
      <c r="E17">
        <v>30</v>
      </c>
      <c r="F17">
        <v>14</v>
      </c>
      <c r="M17">
        <v>180</v>
      </c>
      <c r="Q17">
        <v>180</v>
      </c>
      <c r="U17">
        <v>180</v>
      </c>
      <c r="Y17">
        <v>180</v>
      </c>
      <c r="AC17">
        <v>180</v>
      </c>
    </row>
    <row r="18">
      <c r="B18" t="str">
        <v>Scans/Day</v>
      </c>
      <c r="E18">
        <v>2</v>
      </c>
      <c r="F18">
        <v>2</v>
      </c>
      <c r="M18">
        <v>9</v>
      </c>
      <c r="Q18">
        <v>9</v>
      </c>
      <c r="U18">
        <v>9</v>
      </c>
      <c r="Y18">
        <v>9</v>
      </c>
      <c r="AC18">
        <v>9</v>
      </c>
    </row>
    <row r="19">
      <c r="B19" t="str">
        <v>Days/Month</v>
      </c>
      <c r="E19">
        <v>2</v>
      </c>
      <c r="F19">
        <v>2</v>
      </c>
      <c r="M19">
        <v>20</v>
      </c>
      <c r="Q19">
        <v>20</v>
      </c>
      <c r="U19">
        <v>20</v>
      </c>
      <c r="Y19">
        <v>20</v>
      </c>
      <c r="AC19">
        <v>20</v>
      </c>
    </row>
    <row r="20">
      <c r="B20" t="str">
        <v>Instrument Revenue Per Month</v>
      </c>
      <c r="M20">
        <f>M17*M18*M19/1000</f>
        <v>32.4</v>
      </c>
      <c r="Q20">
        <f>Q17*Q18*Q19/1000</f>
        <v>32.4</v>
      </c>
      <c r="U20">
        <f>U17*U18*U19/1000</f>
        <v>32.4</v>
      </c>
      <c r="Y20">
        <f>Y17*Y18*Y19/1000</f>
        <v>32.4</v>
      </c>
      <c r="AC20">
        <f>AC17*AC18*AC19/1000</f>
        <v>32.4</v>
      </c>
    </row>
    <row r="21">
      <c r="B21" t="str">
        <v>Months per Year</v>
      </c>
      <c r="E21">
        <v>3</v>
      </c>
      <c r="F21">
        <v>3</v>
      </c>
      <c r="M21">
        <v>12</v>
      </c>
      <c r="Q21">
        <v>12</v>
      </c>
      <c r="U21">
        <v>12</v>
      </c>
      <c r="Y21">
        <v>12</v>
      </c>
      <c r="AC21">
        <v>12</v>
      </c>
    </row>
    <row r="22">
      <c r="B22" t="str">
        <v>Per Instrument Recurring Revenue</v>
      </c>
      <c r="E22">
        <f>E17*E18*E19*E21/1000</f>
        <v>0.36</v>
      </c>
      <c r="F22">
        <f>F17*F18*F19*F21/1000</f>
        <v>0.168</v>
      </c>
      <c r="M22">
        <f>M17*M18*M19*M21/1000</f>
        <v>388.8</v>
      </c>
      <c r="Q22">
        <f>Q17*Q18*Q19*Q21/1000</f>
        <v>388.8</v>
      </c>
      <c r="U22">
        <f>U17*U18*U19*U21/1000</f>
        <v>388.8</v>
      </c>
      <c r="Y22">
        <f>Y17*Y18*Y19*Y21/1000</f>
        <v>388.8</v>
      </c>
      <c r="AC22">
        <f>AC17*AC18*AC19*AC21/1000</f>
        <v>388.8</v>
      </c>
    </row>
    <row r="23">
      <c r="B23" t="str">
        <v>[Division 1] Revenue</v>
      </c>
      <c r="E23">
        <f>E22*E2</f>
        <v>0</v>
      </c>
      <c r="F23">
        <f>F22*F2</f>
        <v>0</v>
      </c>
      <c r="G23">
        <f>SUM(E23:F23)</f>
        <v>0</v>
      </c>
      <c r="I23">
        <f>IFERROR(AVERAGE(I7,E7)*I20*I21,0)</f>
        <v>0</v>
      </c>
      <c r="J23">
        <f>IFERROR(AVERAGE(J7,F7)*J20*J21,0)</f>
        <v>0</v>
      </c>
      <c r="K23">
        <f>SUM(I23:J23)</f>
        <v>0</v>
      </c>
      <c r="M23">
        <f>AVERAGE(M7,I7)*M20*M21</f>
        <v>9720.388799999999</v>
      </c>
      <c r="N23">
        <f>AVERAGE(N7,J7)*N20*N21</f>
        <v>0</v>
      </c>
      <c r="O23">
        <f>SUM(M23:N23)</f>
        <v>9720.388799999999</v>
      </c>
      <c r="Q23">
        <f>AVERAGE(Q7,M7)*Q20*Q21</f>
        <v>29160.3888</v>
      </c>
      <c r="R23">
        <f>AVERAGE(R7,N7)*R20*R21</f>
        <v>0</v>
      </c>
      <c r="S23">
        <f>SUM(Q23:R23)</f>
        <v>29160.3888</v>
      </c>
      <c r="U23">
        <f>AVERAGE(U7,Q7)*U20*U21</f>
        <v>48600.3888</v>
      </c>
      <c r="V23">
        <f>AVERAGE(V7,R7)*V20*V21</f>
        <v>0</v>
      </c>
      <c r="W23">
        <f>SUM(U23:V23)</f>
        <v>48600.3888</v>
      </c>
      <c r="Y23">
        <f>AVERAGE(Y7,U7)*Y20*Y21</f>
        <v>68040.3888</v>
      </c>
      <c r="Z23">
        <f>AVERAGE(Z7,V7)*Z20*Z21</f>
        <v>0</v>
      </c>
      <c r="AA23">
        <f>SUM(Y23:Z23)</f>
        <v>68040.3888</v>
      </c>
      <c r="AC23">
        <f>AVERAGE(AC7,Y7)*AC20*AC21</f>
        <v>87480.3888</v>
      </c>
      <c r="AD23">
        <f>AVERAGE(AD7,Z7)*AD20*AD21</f>
        <v>0</v>
      </c>
      <c r="AE23">
        <f>SUM(AC23:AD23)</f>
        <v>87480.3888</v>
      </c>
    </row>
    <row r="24">
      <c r="E24" t="str">
        <f>E5</f>
        <v xml:space="preserve">U.S. </v>
      </c>
      <c r="F24" t="str">
        <f>F5</f>
        <v>EX-US</v>
      </c>
      <c r="I24" t="str">
        <f>I5</f>
        <v xml:space="preserve">U.S. </v>
      </c>
      <c r="J24" t="str">
        <f>J5</f>
        <v>EX-US</v>
      </c>
      <c r="M24" t="str">
        <f>M5</f>
        <v xml:space="preserve">U.S. </v>
      </c>
      <c r="N24" t="str">
        <f>N5</f>
        <v>EX-US</v>
      </c>
      <c r="Q24" t="str">
        <f>Q5</f>
        <v xml:space="preserve">U.S. </v>
      </c>
      <c r="R24" t="str">
        <f>R5</f>
        <v>EX-US</v>
      </c>
      <c r="U24" t="str">
        <f>U5</f>
        <v xml:space="preserve">U.S. </v>
      </c>
      <c r="V24" t="str">
        <f>V5</f>
        <v>EX-US</v>
      </c>
      <c r="Y24" t="str">
        <f>Y5</f>
        <v xml:space="preserve">U.S. </v>
      </c>
      <c r="Z24" t="str">
        <f>Z5</f>
        <v>EX-US</v>
      </c>
      <c r="AC24" t="str">
        <f>AC5</f>
        <v xml:space="preserve">U.S. </v>
      </c>
      <c r="AD24" t="str">
        <f>AD5</f>
        <v>EX-US</v>
      </c>
    </row>
    <row r="25">
      <c r="B25" t="str">
        <v>Per Scan Price</v>
      </c>
      <c r="E25">
        <v>30</v>
      </c>
      <c r="F25">
        <v>14</v>
      </c>
      <c r="I25">
        <v>30</v>
      </c>
      <c r="J25">
        <v>14</v>
      </c>
      <c r="M25">
        <v>30</v>
      </c>
      <c r="N25">
        <v>16</v>
      </c>
      <c r="Q25">
        <v>30</v>
      </c>
      <c r="R25">
        <v>16</v>
      </c>
      <c r="U25">
        <v>30</v>
      </c>
      <c r="V25">
        <v>16</v>
      </c>
      <c r="Y25">
        <v>30</v>
      </c>
      <c r="Z25">
        <v>16</v>
      </c>
      <c r="AC25">
        <v>30</v>
      </c>
      <c r="AD25">
        <v>16</v>
      </c>
    </row>
    <row r="26">
      <c r="B26" t="str">
        <v>Scans/Day</v>
      </c>
      <c r="E26">
        <v>2</v>
      </c>
      <c r="F26">
        <v>2</v>
      </c>
      <c r="I26">
        <v>3</v>
      </c>
      <c r="J26">
        <v>4</v>
      </c>
      <c r="M26">
        <v>3.3</v>
      </c>
      <c r="N26">
        <v>4</v>
      </c>
      <c r="Q26">
        <v>7</v>
      </c>
      <c r="R26">
        <v>7</v>
      </c>
      <c r="U26">
        <v>7</v>
      </c>
      <c r="V26">
        <v>7</v>
      </c>
      <c r="Y26">
        <v>7</v>
      </c>
      <c r="Z26">
        <v>7</v>
      </c>
      <c r="AC26">
        <v>7</v>
      </c>
      <c r="AD26">
        <v>7</v>
      </c>
    </row>
    <row r="27">
      <c r="B27" t="str">
        <v>Days/Month</v>
      </c>
      <c r="E27">
        <v>2</v>
      </c>
      <c r="F27">
        <v>2</v>
      </c>
      <c r="I27">
        <v>23</v>
      </c>
      <c r="J27">
        <v>23</v>
      </c>
      <c r="M27">
        <v>23</v>
      </c>
      <c r="N27">
        <v>23</v>
      </c>
      <c r="Q27">
        <v>23</v>
      </c>
      <c r="R27">
        <v>23</v>
      </c>
      <c r="U27">
        <v>23</v>
      </c>
      <c r="V27">
        <v>23</v>
      </c>
      <c r="Y27">
        <v>23</v>
      </c>
      <c r="Z27">
        <v>23</v>
      </c>
      <c r="AC27">
        <v>23</v>
      </c>
      <c r="AD27">
        <v>23</v>
      </c>
    </row>
    <row r="28">
      <c r="B28" t="str">
        <v>Instrument Revenue Per Month</v>
      </c>
      <c r="I28">
        <f>I25*I26*I27/1000</f>
        <v>2.07</v>
      </c>
      <c r="J28">
        <f>J25*J26*J27/1000</f>
        <v>1.288</v>
      </c>
      <c r="M28">
        <f>M25*M26*M27/1000</f>
        <v>2.277</v>
      </c>
      <c r="N28">
        <f>N25*N26*N27/1000</f>
        <v>1.472</v>
      </c>
      <c r="Q28">
        <f>Q25*Q26*Q27/1000</f>
        <v>4.83</v>
      </c>
      <c r="R28">
        <f>R25*R26*R27/1000</f>
        <v>2.576</v>
      </c>
      <c r="U28">
        <f>U25*U26*U27/1000</f>
        <v>4.83</v>
      </c>
      <c r="V28">
        <f>V25*V26*V27/1000</f>
        <v>2.576</v>
      </c>
      <c r="Y28">
        <f>Y25*Y26*Y27/1000</f>
        <v>4.83</v>
      </c>
      <c r="Z28">
        <f>Z25*Z26*Z27/1000</f>
        <v>2.576</v>
      </c>
      <c r="AC28">
        <f>AC25*AC26*AC27/1000</f>
        <v>4.83</v>
      </c>
      <c r="AD28">
        <f>AD25*AD26*AD27/1000</f>
        <v>2.576</v>
      </c>
    </row>
    <row r="29">
      <c r="B29" t="str">
        <v>Months per Year</v>
      </c>
      <c r="E29">
        <v>3</v>
      </c>
      <c r="F29">
        <v>3</v>
      </c>
      <c r="I29">
        <v>12</v>
      </c>
      <c r="J29">
        <v>12</v>
      </c>
      <c r="M29">
        <v>12</v>
      </c>
      <c r="N29">
        <v>12</v>
      </c>
      <c r="Q29">
        <v>12</v>
      </c>
      <c r="R29">
        <v>12</v>
      </c>
      <c r="U29">
        <v>12</v>
      </c>
      <c r="V29">
        <v>12</v>
      </c>
      <c r="Y29">
        <v>12</v>
      </c>
      <c r="Z29">
        <v>12</v>
      </c>
      <c r="AC29">
        <v>12</v>
      </c>
      <c r="AD29">
        <v>12</v>
      </c>
    </row>
    <row r="30">
      <c r="B30" t="str">
        <v>Per Instrument Recurring Revenue</v>
      </c>
      <c r="E30">
        <f>E25*E26*E27*E29/1000</f>
        <v>0.36</v>
      </c>
      <c r="F30">
        <f>F25*F26*F27*F29/1000</f>
        <v>0.168</v>
      </c>
      <c r="I30">
        <f>I25*I26*I27*I29/1000</f>
        <v>24.84</v>
      </c>
      <c r="J30">
        <f>J25*J26*J27*J29/1000</f>
        <v>15.456</v>
      </c>
      <c r="M30">
        <f>M25*M26*M27*M29/1000</f>
        <v>27.324</v>
      </c>
      <c r="N30">
        <f>N25*N26*N27*N29/1000</f>
        <v>17.664</v>
      </c>
      <c r="Q30">
        <f>Q25*Q26*Q27*Q29/1000</f>
        <v>57.96</v>
      </c>
      <c r="R30">
        <f>R25*R26*R27*R29/1000</f>
        <v>30.912</v>
      </c>
      <c r="U30">
        <f>U25*U26*U27*U29/1000</f>
        <v>57.96</v>
      </c>
      <c r="V30">
        <f>V25*V26*V27*V29/1000</f>
        <v>30.912</v>
      </c>
      <c r="Y30">
        <f>Y25*Y26*Y27*Y29/1000</f>
        <v>57.96</v>
      </c>
      <c r="Z30">
        <f>Z25*Z26*Z27*Z29/1000</f>
        <v>30.912</v>
      </c>
      <c r="AC30">
        <f>AC25*AC26*AC27*AC29/1000</f>
        <v>57.96</v>
      </c>
      <c r="AD30">
        <f>AD25*AD26*AD27*AD29/1000</f>
        <v>30.912</v>
      </c>
    </row>
    <row r="31">
      <c r="B31" t="str">
        <v>Subscription Revenue Revenue</v>
      </c>
      <c r="E31">
        <f>E30*E10</f>
        <v>0</v>
      </c>
      <c r="F31">
        <f>F30*F10</f>
        <v>0</v>
      </c>
      <c r="G31">
        <f>SUM(E31:F31)</f>
        <v>0</v>
      </c>
      <c r="I31">
        <f>AVERAGE(I10,E10)*I28*I29</f>
        <v>161.45999999999998</v>
      </c>
      <c r="J31">
        <f>AVERAGE(J10,F10)*J28*J29</f>
        <v>15.456</v>
      </c>
      <c r="K31">
        <f>SUM(I31:J31)</f>
        <v>176.91599999999997</v>
      </c>
      <c r="M31">
        <f>AVERAGE(M10,I10)*M28*M29</f>
        <v>1448.172</v>
      </c>
      <c r="N31">
        <f>AVERAGE(N10,J10)*N28*N29</f>
        <v>220.79999999999998</v>
      </c>
      <c r="O31">
        <f>SUM(M31:N31)</f>
        <v>1668.972</v>
      </c>
      <c r="Q31">
        <f>AVERAGE(Q10,M10)*Q28*Q29</f>
        <v>8578.08</v>
      </c>
      <c r="R31">
        <f>AVERAGE(R10,N10)*R28*R29</f>
        <v>1344.672</v>
      </c>
      <c r="S31">
        <f>SUM(Q31:R31)</f>
        <v>9922.752</v>
      </c>
      <c r="U31">
        <f>AVERAGE(U10,Q10)*U28*U29</f>
        <v>15823.079999999998</v>
      </c>
      <c r="V31">
        <f>AVERAGE(V10,R10)*V28*V29</f>
        <v>2921.184</v>
      </c>
      <c r="W31">
        <f>SUM(U31:V31)</f>
        <v>18744.264</v>
      </c>
      <c r="Y31">
        <f>AVERAGE(Y10,U10)*Y28*Y29</f>
        <v>24806.880000000005</v>
      </c>
      <c r="Z31">
        <f>AVERAGE(Z10,V10)*Z28*Z29</f>
        <v>5115.936000000001</v>
      </c>
      <c r="AA31">
        <f>SUM(Y31:Z31)</f>
        <v>29922.816000000006</v>
      </c>
      <c r="AC31">
        <f>AVERAGE(AC10,Y10)*AC28*AC29</f>
        <v>35529.479999999996</v>
      </c>
      <c r="AD31">
        <f>AVERAGE(AD10,Z10)*AD28*AD29</f>
        <v>7928.928</v>
      </c>
      <c r="AE31">
        <f>SUM(AC31:AD31)</f>
        <v>43458.407999999996</v>
      </c>
    </row>
    <row r="33">
      <c r="B33" t="str">
        <v>Per Instrument Price</v>
      </c>
      <c r="E33">
        <v>160</v>
      </c>
      <c r="F33">
        <v>160</v>
      </c>
      <c r="I33">
        <f>E33</f>
        <v>160</v>
      </c>
      <c r="J33">
        <f>F33</f>
        <v>160</v>
      </c>
      <c r="M33">
        <f>'Capex Price Weighted AVG.'!D5/1000</f>
        <v>127.37931034482757</v>
      </c>
      <c r="N33">
        <f>'Capex Price Weighted AVG.'!D9/1000</f>
        <v>143.55555555555557</v>
      </c>
      <c r="Q33">
        <f>'Capex Price Weighted AVG.'!H5/1000</f>
        <v>126.68571428571428</v>
      </c>
      <c r="R33">
        <f>'Capex Price Weighted AVG.'!H9/1000</f>
        <v>160</v>
      </c>
      <c r="U33">
        <f>'Capex Price Weighted AVG.'!L5/1000</f>
        <v>126.65853658536585</v>
      </c>
      <c r="V33">
        <f>'Capex Price Weighted AVG.'!L9/1000</f>
        <v>160</v>
      </c>
      <c r="Y33">
        <f>'Capex Price Weighted AVG.'!P5/1000</f>
        <v>126.63829787234042</v>
      </c>
      <c r="Z33">
        <f>'Capex Price Weighted AVG.'!P9/1000</f>
        <v>160</v>
      </c>
      <c r="AC33">
        <f>'Capex Price Weighted AVG.'!T5/1000</f>
        <v>126.62264150943396</v>
      </c>
      <c r="AD33">
        <f>'Capex Price Weighted AVG.'!T9/1000</f>
        <v>160</v>
      </c>
    </row>
    <row r="34">
      <c r="B34" t="str">
        <v>Capex Sales Revenue</v>
      </c>
      <c r="E34">
        <f>E33*E12</f>
        <v>0</v>
      </c>
      <c r="F34">
        <f>F33*F12</f>
        <v>0</v>
      </c>
      <c r="G34">
        <f>SUM(E34:F34)</f>
        <v>0</v>
      </c>
      <c r="I34">
        <f>I33*I12</f>
        <v>160</v>
      </c>
      <c r="J34">
        <f>J33*J12</f>
        <v>160</v>
      </c>
      <c r="K34">
        <f>SUM(I34:J34)</f>
        <v>320</v>
      </c>
      <c r="M34">
        <f>M33*M12</f>
        <v>18469.999999999996</v>
      </c>
      <c r="N34">
        <f>N33*N12</f>
        <v>7752.000000000001</v>
      </c>
      <c r="O34">
        <f>SUM(M34:N34)</f>
        <v>26221.999999999996</v>
      </c>
      <c r="Q34">
        <f>Q33*Q12</f>
        <v>22170</v>
      </c>
      <c r="R34">
        <f>R33*R12</f>
        <v>11840</v>
      </c>
      <c r="S34">
        <f>SUM(Q34:R34)</f>
        <v>34010</v>
      </c>
      <c r="U34">
        <f>U33*U12</f>
        <v>25965</v>
      </c>
      <c r="V34">
        <f>V33*V12</f>
        <v>15040</v>
      </c>
      <c r="W34">
        <f>SUM(U34:V34)</f>
        <v>41005</v>
      </c>
      <c r="Y34">
        <f>Y33*Y12</f>
        <v>29759.999999999996</v>
      </c>
      <c r="Z34">
        <f>Z33*Z12</f>
        <v>18240</v>
      </c>
      <c r="AA34">
        <f>SUM(Y34:Z34)</f>
        <v>48000</v>
      </c>
      <c r="AC34">
        <f>AC33*AC12</f>
        <v>33555</v>
      </c>
      <c r="AD34">
        <f>AD33*AD12</f>
        <v>21440</v>
      </c>
      <c r="AE34">
        <f>SUM(AC34:AD34)</f>
        <v>54995</v>
      </c>
    </row>
    <row r="35">
      <c r="S35">
        <f>SUM(Q35:R35)</f>
        <v>0</v>
      </c>
      <c r="W35">
        <f>SUM(U35:V35)</f>
        <v>0</v>
      </c>
      <c r="AA35">
        <f>SUM(Y35:Z35)</f>
        <v>0</v>
      </c>
      <c r="AE35">
        <f>SUM(AC35:AD35)</f>
        <v>0</v>
      </c>
    </row>
    <row r="36">
      <c r="B36" t="str">
        <v>Instrument Revenue</v>
      </c>
      <c r="E36">
        <f>SUM(E31,E34)</f>
        <v>0</v>
      </c>
      <c r="F36">
        <f>SUM(F31,F34)</f>
        <v>0</v>
      </c>
      <c r="G36">
        <f>SUM(E36:F36)</f>
        <v>0</v>
      </c>
      <c r="I36">
        <f>SUM(I31,I34,I23)</f>
        <v>321.46</v>
      </c>
      <c r="J36">
        <f>SUM(J31,J34,J23)</f>
        <v>175.456</v>
      </c>
      <c r="K36">
        <f>SUM(I36:J36)</f>
        <v>496.91599999999994</v>
      </c>
      <c r="M36">
        <f>SUM(M31,M34,M23)</f>
        <v>29638.560799999992</v>
      </c>
      <c r="N36">
        <f>SUM(N31,N34,N23)</f>
        <v>7972.800000000001</v>
      </c>
      <c r="O36">
        <f>SUM(M36:N36)</f>
        <v>37611.360799999995</v>
      </c>
      <c r="Q36">
        <f>SUM(Q31,Q34,Q23)</f>
        <v>59908.4688</v>
      </c>
      <c r="R36">
        <f>SUM(R31,R34,R23)</f>
        <v>13184.672</v>
      </c>
      <c r="S36">
        <f>SUM(Q36:R36)</f>
        <v>73093.14080000001</v>
      </c>
      <c r="U36">
        <f>SUM(U31,U34,U23)</f>
        <v>90388.4688</v>
      </c>
      <c r="V36">
        <f>SUM(V31,V34,V23)</f>
        <v>17961.184</v>
      </c>
      <c r="W36">
        <f>SUM(U36:V36)</f>
        <v>108349.65280000001</v>
      </c>
      <c r="Y36">
        <f>SUM(Y31,Y34,Y23)</f>
        <v>122607.2688</v>
      </c>
      <c r="Z36">
        <f>SUM(Z31,Z34,Z23)</f>
        <v>23355.936</v>
      </c>
      <c r="AA36">
        <f>SUM(Y36:Z36)</f>
        <v>145963.2048</v>
      </c>
      <c r="AC36">
        <f>SUM(AC31,AC34,AC23)</f>
        <v>156564.8688</v>
      </c>
      <c r="AD36">
        <f>SUM(AD31,AD34,AD23)</f>
        <v>29368.928</v>
      </c>
      <c r="AE36">
        <f>SUM(AC36:AD36)</f>
        <v>185933.7968</v>
      </c>
    </row>
    <row r="38">
      <c r="B38" t="str">
        <v>Maintaince/service Price</v>
      </c>
      <c r="E38">
        <v>18</v>
      </c>
      <c r="F38">
        <v>12</v>
      </c>
      <c r="I38">
        <v>18</v>
      </c>
      <c r="J38">
        <v>12</v>
      </c>
      <c r="M38">
        <v>18</v>
      </c>
      <c r="N38">
        <v>12</v>
      </c>
      <c r="Q38">
        <v>18</v>
      </c>
      <c r="R38">
        <v>12</v>
      </c>
      <c r="U38">
        <v>18</v>
      </c>
      <c r="V38">
        <v>12</v>
      </c>
      <c r="Y38">
        <v>18</v>
      </c>
      <c r="Z38">
        <v>12</v>
      </c>
      <c r="AC38">
        <v>18</v>
      </c>
      <c r="AD38">
        <v>12</v>
      </c>
    </row>
    <row r="39">
      <c r="B39" t="str">
        <v>Maintaince/service Revenue</v>
      </c>
      <c r="E39">
        <v>0</v>
      </c>
      <c r="F39">
        <v>0</v>
      </c>
      <c r="G39">
        <f>SUM(E39:F39)</f>
        <v>0</v>
      </c>
      <c r="I39">
        <f>I38*E10</f>
        <v>0</v>
      </c>
      <c r="J39">
        <f>J38*F10</f>
        <v>0</v>
      </c>
      <c r="K39">
        <f>SUM(I39:J39)</f>
        <v>0</v>
      </c>
      <c r="M39">
        <f>M38*I10</f>
        <v>234</v>
      </c>
      <c r="N39">
        <f>N38*J10</f>
        <v>24</v>
      </c>
      <c r="O39">
        <f>SUM(M39:N39)</f>
        <v>258</v>
      </c>
      <c r="Q39">
        <f>Q38*M10</f>
        <v>1674</v>
      </c>
      <c r="R39">
        <f>R38*N10</f>
        <v>276</v>
      </c>
      <c r="S39">
        <f>SUM(Q39:R39)</f>
        <v>1950</v>
      </c>
      <c r="U39">
        <f>U38*Q10</f>
        <v>3654</v>
      </c>
      <c r="V39">
        <f>V38*R10</f>
        <v>768</v>
      </c>
      <c r="W39">
        <f>SUM(U39:V39)</f>
        <v>4422</v>
      </c>
      <c r="Y39">
        <f>Y38*U10</f>
        <v>6174</v>
      </c>
      <c r="Z39">
        <f>Z38*V10</f>
        <v>1500</v>
      </c>
      <c r="AA39">
        <f>SUM(Y39:Z39)</f>
        <v>7674</v>
      </c>
      <c r="AC39">
        <f>AC38*Y10</f>
        <v>9234</v>
      </c>
      <c r="AD39">
        <f>AD38*Z10</f>
        <v>2472</v>
      </c>
      <c r="AE39">
        <f>SUM(AC39:AD39)</f>
        <v>11706</v>
      </c>
    </row>
    <row r="40">
      <c r="B40" t="str">
        <v>% Margin</v>
      </c>
      <c r="K40">
        <f>K39/K31</f>
        <v>0</v>
      </c>
      <c r="O40">
        <f>O39/O31</f>
        <v>0.1545861764008024</v>
      </c>
      <c r="S40">
        <f>S39/S31</f>
        <v>0.1965180627309843</v>
      </c>
      <c r="W40">
        <f>W39/W31</f>
        <v>0.23591217025112324</v>
      </c>
      <c r="AA40">
        <f>AA39/AA31</f>
        <v>0.25645981982444427</v>
      </c>
      <c r="AE40">
        <f>AE39/AE31</f>
        <v>0.2693609945398828</v>
      </c>
    </row>
    <row r="41">
      <c r="B41" t="str">
        <v>Connect</v>
      </c>
      <c r="E41">
        <v>0</v>
      </c>
      <c r="F41">
        <v>1000</v>
      </c>
      <c r="G41">
        <f>SUM(E41:F41)</f>
        <v>1000</v>
      </c>
      <c r="I41">
        <v>0</v>
      </c>
      <c r="J41">
        <v>0</v>
      </c>
      <c r="K41">
        <f>SUM(I41:J41)</f>
        <v>0</v>
      </c>
      <c r="M41">
        <v>0</v>
      </c>
      <c r="N41">
        <v>0</v>
      </c>
      <c r="O41">
        <f>SUM(M41:N41)</f>
        <v>0</v>
      </c>
      <c r="Q41">
        <v>0</v>
      </c>
      <c r="R41">
        <v>0</v>
      </c>
      <c r="S41">
        <f>SUM(Q41:R41)</f>
        <v>0</v>
      </c>
      <c r="U41">
        <v>0</v>
      </c>
      <c r="V41">
        <v>0</v>
      </c>
      <c r="W41">
        <f>SUM(U41:V41)</f>
        <v>0</v>
      </c>
      <c r="Y41">
        <v>0</v>
      </c>
      <c r="Z41">
        <v>0</v>
      </c>
      <c r="AA41">
        <f>SUM(Y41:Z41)</f>
        <v>0</v>
      </c>
      <c r="AC41">
        <v>0</v>
      </c>
      <c r="AD41">
        <v>0</v>
      </c>
      <c r="AE41">
        <f>SUM(AC41:AD41)</f>
        <v>0</v>
      </c>
    </row>
    <row r="42">
      <c r="B42" t="str">
        <v>% YoY Growth</v>
      </c>
    </row>
    <row r="43">
      <c r="B43" t="str">
        <v>OEM</v>
      </c>
      <c r="E43">
        <v>200</v>
      </c>
      <c r="F43">
        <v>0</v>
      </c>
      <c r="G43">
        <f>SUM(E43:F43)</f>
        <v>200</v>
      </c>
      <c r="I43">
        <v>345</v>
      </c>
      <c r="J43">
        <v>0</v>
      </c>
      <c r="K43">
        <f>SUM(I43:J43)</f>
        <v>345</v>
      </c>
      <c r="M43">
        <v>1208</v>
      </c>
      <c r="N43">
        <v>0</v>
      </c>
      <c r="O43">
        <f>SUM(M43:N43)</f>
        <v>1208</v>
      </c>
      <c r="Q43">
        <f>M43+2500</f>
        <v>3708</v>
      </c>
      <c r="R43">
        <f>N43*(1+R44)</f>
        <v>0</v>
      </c>
      <c r="S43">
        <f>SUM(Q43:R43)</f>
        <v>3708</v>
      </c>
      <c r="U43">
        <f>Q43+2500</f>
        <v>6208</v>
      </c>
      <c r="V43">
        <f>R43*(1+V44)</f>
        <v>0</v>
      </c>
      <c r="W43">
        <f>SUM(U43:V43)</f>
        <v>6208</v>
      </c>
      <c r="Y43">
        <f>U43+2500</f>
        <v>8708</v>
      </c>
      <c r="Z43">
        <f>V43*(1+Z44)</f>
        <v>0</v>
      </c>
      <c r="AA43">
        <f>SUM(Y43:Z43)</f>
        <v>8708</v>
      </c>
      <c r="AC43">
        <f>Y43+2500</f>
        <v>11208</v>
      </c>
      <c r="AD43">
        <f>Z43*(1+AD44)</f>
        <v>0</v>
      </c>
      <c r="AE43">
        <f>SUM(AC43:AD43)</f>
        <v>11208</v>
      </c>
    </row>
    <row r="44">
      <c r="B44" t="str">
        <v>% YoY Growth</v>
      </c>
      <c r="Q44">
        <v>0.2</v>
      </c>
      <c r="R44">
        <v>0.05</v>
      </c>
      <c r="U44">
        <v>0.2</v>
      </c>
      <c r="V44">
        <v>0.05</v>
      </c>
      <c r="Y44">
        <v>0.2</v>
      </c>
      <c r="Z44">
        <v>0.05</v>
      </c>
      <c r="AC44">
        <v>0.2</v>
      </c>
      <c r="AD44">
        <v>0.05</v>
      </c>
    </row>
    <row r="45">
      <c r="B45" t="str">
        <v>Second Opinion</v>
      </c>
      <c r="E45">
        <v>100</v>
      </c>
      <c r="F45">
        <v>0</v>
      </c>
      <c r="G45">
        <f>SUM(E45:F45)</f>
        <v>100</v>
      </c>
      <c r="I45">
        <v>100</v>
      </c>
      <c r="J45">
        <v>0</v>
      </c>
      <c r="K45">
        <f>SUM(I45:J45)</f>
        <v>100</v>
      </c>
      <c r="M45">
        <v>300</v>
      </c>
      <c r="O45">
        <f>SUM(M45:N45)</f>
        <v>300</v>
      </c>
      <c r="Q45">
        <f>M45*(1+Q46)</f>
        <v>525</v>
      </c>
      <c r="R45">
        <f>N45*(1+R46)</f>
        <v>0</v>
      </c>
      <c r="S45">
        <f>SUM(Q45:R45)</f>
        <v>525</v>
      </c>
      <c r="U45">
        <f>Q45*(1+U46)</f>
        <v>918.75</v>
      </c>
      <c r="V45">
        <f>R45*(1+V46)</f>
        <v>0</v>
      </c>
      <c r="W45">
        <f>SUM(U45:V45)</f>
        <v>918.75</v>
      </c>
      <c r="Y45">
        <f>U45*(1+Y46)</f>
        <v>1607.8125</v>
      </c>
      <c r="Z45">
        <f>V45*(1+Z46)</f>
        <v>0</v>
      </c>
      <c r="AA45">
        <f>SUM(Y45:Z45)</f>
        <v>1607.8125</v>
      </c>
      <c r="AC45">
        <f>Y45*(1+AC46)</f>
        <v>2813.671875</v>
      </c>
      <c r="AD45">
        <f>Z45*(1+AD46)</f>
        <v>0</v>
      </c>
      <c r="AE45">
        <f>SUM(AC45:AD45)</f>
        <v>2813.671875</v>
      </c>
    </row>
    <row r="46">
      <c r="B46" t="str">
        <v>% YoY Growth</v>
      </c>
      <c r="Q46">
        <v>0.75</v>
      </c>
      <c r="R46">
        <v>0.2</v>
      </c>
      <c r="U46">
        <v>0.75</v>
      </c>
      <c r="V46">
        <v>0.2</v>
      </c>
      <c r="Y46">
        <v>0.75</v>
      </c>
      <c r="Z46">
        <v>0.2</v>
      </c>
      <c r="AC46">
        <v>0.75</v>
      </c>
      <c r="AD46">
        <v>0.2</v>
      </c>
    </row>
    <row r="47">
      <c r="B47" t="str">
        <v>Data Monetization</v>
      </c>
      <c r="E47">
        <v>200</v>
      </c>
      <c r="F47">
        <v>0</v>
      </c>
      <c r="G47">
        <f>SUM(E47:F47)</f>
        <v>200</v>
      </c>
      <c r="J47">
        <v>0</v>
      </c>
      <c r="K47">
        <f>SUM(I47:J47)</f>
        <v>0</v>
      </c>
      <c r="M47">
        <f>+I47*2</f>
        <v>0</v>
      </c>
      <c r="O47">
        <f>SUM(M47:N47)</f>
        <v>0</v>
      </c>
      <c r="Q47">
        <f>M47*(1+Q48)</f>
        <v>0</v>
      </c>
      <c r="R47">
        <f>N47*(1+R48)</f>
        <v>0</v>
      </c>
      <c r="S47">
        <f>SUM(Q47:R47)</f>
        <v>0</v>
      </c>
      <c r="U47">
        <f>Q47*(1+U48)</f>
        <v>0</v>
      </c>
      <c r="V47">
        <f>R47*(1+V48)</f>
        <v>0</v>
      </c>
      <c r="W47">
        <f>SUM(U47:V47)</f>
        <v>0</v>
      </c>
      <c r="Y47">
        <f>U47*(1+Y48)</f>
        <v>0</v>
      </c>
      <c r="Z47">
        <f>V47*(1+Z48)</f>
        <v>0</v>
      </c>
      <c r="AA47">
        <f>SUM(Y47:Z47)</f>
        <v>0</v>
      </c>
      <c r="AC47">
        <f>Y47*(1+AC48)</f>
        <v>0</v>
      </c>
      <c r="AD47">
        <f>Z47*(1+AD48)</f>
        <v>0</v>
      </c>
      <c r="AE47">
        <f>SUM(AC47:AD47)</f>
        <v>0</v>
      </c>
    </row>
    <row r="48">
      <c r="B48" t="str">
        <v>% YoY Growth</v>
      </c>
      <c r="Q48">
        <v>0.2</v>
      </c>
      <c r="R48">
        <v>0.2</v>
      </c>
      <c r="U48">
        <v>0.2</v>
      </c>
      <c r="V48">
        <v>0.2</v>
      </c>
      <c r="Y48">
        <v>0.2</v>
      </c>
      <c r="Z48">
        <v>0.2</v>
      </c>
      <c r="AC48">
        <v>0.2</v>
      </c>
      <c r="AD48">
        <v>0.2</v>
      </c>
    </row>
    <row r="49">
      <c r="B49" t="str">
        <v xml:space="preserve">Other revenue </v>
      </c>
      <c r="E49">
        <f>SUM(E41,E43,E45,E47)</f>
        <v>500</v>
      </c>
      <c r="F49">
        <f>SUM(F41,F43,F45,F47)</f>
        <v>1000</v>
      </c>
      <c r="G49">
        <f>SUM(E49:F49)</f>
        <v>1500</v>
      </c>
      <c r="I49">
        <f>SUM(I41,I43,I45,I47)</f>
        <v>445</v>
      </c>
      <c r="J49">
        <f>SUM(J41,J43,J45,J47)</f>
        <v>0</v>
      </c>
      <c r="K49">
        <f>SUM(I49:J49)</f>
        <v>445</v>
      </c>
      <c r="M49">
        <f>SUM(M41,M43,M45,M47)</f>
        <v>1508</v>
      </c>
      <c r="N49">
        <f>SUM(N41,N43,N45,N47)</f>
        <v>0</v>
      </c>
      <c r="O49">
        <f>SUM(M49:N49)</f>
        <v>1508</v>
      </c>
      <c r="Q49">
        <f>SUM(Q41,Q43,Q45,Q47)</f>
        <v>4233</v>
      </c>
      <c r="R49">
        <f>SUM(R41,R43,R45,R47)</f>
        <v>0</v>
      </c>
      <c r="S49">
        <f>SUM(Q49:R49)</f>
        <v>4233</v>
      </c>
      <c r="U49">
        <f>SUM(U41,U43,U45,U47)</f>
        <v>7126.75</v>
      </c>
      <c r="V49">
        <f>SUM(V41,V43,V45,V47)</f>
        <v>0</v>
      </c>
      <c r="W49">
        <f>SUM(U49:V49)</f>
        <v>7126.75</v>
      </c>
      <c r="Y49">
        <f>SUM(Y41,Y43,Y45,Y47)</f>
        <v>10315.8125</v>
      </c>
      <c r="Z49">
        <f>SUM(Z41,Z43,Z45,Z47)</f>
        <v>0</v>
      </c>
      <c r="AA49">
        <f>SUM(Y49:Z49)</f>
        <v>10315.8125</v>
      </c>
      <c r="AC49">
        <f>SUM(AC41,AC43,AC45,AC47)</f>
        <v>14021.671875</v>
      </c>
      <c r="AD49">
        <f>SUM(AD41,AD43,AD45,AD47)</f>
        <v>0</v>
      </c>
      <c r="AE49">
        <f>SUM(AC49:AD49)</f>
        <v>14021.671875</v>
      </c>
    </row>
    <row r="51">
      <c r="B51" t="str">
        <v>AI</v>
      </c>
      <c r="E51">
        <v>1250</v>
      </c>
      <c r="F51">
        <v>0</v>
      </c>
      <c r="G51">
        <f>SUM(E51:F51)</f>
        <v>1250</v>
      </c>
      <c r="I51">
        <v>798</v>
      </c>
      <c r="J51">
        <v>0</v>
      </c>
      <c r="K51">
        <f>SUM(I51:J51)</f>
        <v>798</v>
      </c>
      <c r="M51">
        <f>3483</f>
        <v>3483</v>
      </c>
      <c r="O51">
        <f>SUM(M51:N51)</f>
        <v>3483</v>
      </c>
      <c r="Q51">
        <f>M51+2500</f>
        <v>5983</v>
      </c>
      <c r="S51">
        <f>SUM(Q51:R51)</f>
        <v>5983</v>
      </c>
      <c r="U51">
        <f>Q51+2500</f>
        <v>8483</v>
      </c>
      <c r="W51">
        <f>SUM(U51:V51)</f>
        <v>8483</v>
      </c>
      <c r="Y51">
        <f>U51+2500</f>
        <v>10983</v>
      </c>
      <c r="AA51">
        <f>SUM(Y51:Z51)</f>
        <v>10983</v>
      </c>
      <c r="AC51">
        <f>Y51+2500</f>
        <v>13483</v>
      </c>
      <c r="AE51">
        <f>SUM(AC51:AD51)</f>
        <v>13483</v>
      </c>
    </row>
    <row r="53">
      <c r="B53" t="str">
        <v>AI- [Acquisition]</v>
      </c>
      <c r="F53">
        <v>0</v>
      </c>
      <c r="G53">
        <f>SUM(E53:F53)</f>
        <v>0</v>
      </c>
      <c r="J53">
        <v>0</v>
      </c>
      <c r="K53">
        <f>SUM(I53:J53)</f>
        <v>0</v>
      </c>
      <c r="M53">
        <v>4333</v>
      </c>
      <c r="O53">
        <f>SUM(M53:N53)</f>
        <v>4333</v>
      </c>
      <c r="Q53">
        <f>M53+1000</f>
        <v>5333</v>
      </c>
      <c r="S53">
        <f>SUM(Q53:R53)</f>
        <v>5333</v>
      </c>
      <c r="U53">
        <f>Q53+1000</f>
        <v>6333</v>
      </c>
      <c r="W53">
        <f>SUM(U53:V53)</f>
        <v>6333</v>
      </c>
      <c r="Y53">
        <f>U53+1000</f>
        <v>7333</v>
      </c>
      <c r="AA53">
        <f>SUM(Y53:Z53)</f>
        <v>7333</v>
      </c>
      <c r="AC53">
        <f>Y53+1000</f>
        <v>8333</v>
      </c>
      <c r="AE53">
        <f>SUM(AC53:AD53)</f>
        <v>8333</v>
      </c>
    </row>
    <row r="55">
      <c r="B55" t="str">
        <v>Teleradiology</v>
      </c>
      <c r="E55">
        <v>10500</v>
      </c>
      <c r="F55">
        <v>0</v>
      </c>
      <c r="G55">
        <f>SUM(E55:F55)</f>
        <v>10500</v>
      </c>
      <c r="I55">
        <f>9676+756</f>
        <v>10432</v>
      </c>
      <c r="J55">
        <v>0</v>
      </c>
      <c r="K55">
        <f>SUM(I55:J55)</f>
        <v>10432</v>
      </c>
      <c r="M55">
        <f>1000+11373</f>
        <v>12373</v>
      </c>
      <c r="N55">
        <v>0</v>
      </c>
      <c r="O55">
        <f>SUM(M55:N55)</f>
        <v>12373</v>
      </c>
      <c r="Q55">
        <f>M55+1000</f>
        <v>13373</v>
      </c>
      <c r="R55">
        <v>0</v>
      </c>
      <c r="S55">
        <f>SUM(Q55:R55)</f>
        <v>13373</v>
      </c>
      <c r="U55">
        <f>Q55+1000</f>
        <v>14373</v>
      </c>
      <c r="V55">
        <v>0</v>
      </c>
      <c r="W55">
        <f>SUM(U55:V55)</f>
        <v>14373</v>
      </c>
      <c r="Y55">
        <f>U55+1000</f>
        <v>15373</v>
      </c>
      <c r="Z55">
        <v>0</v>
      </c>
      <c r="AA55">
        <f>SUM(Y55:Z55)</f>
        <v>15373</v>
      </c>
      <c r="AC55">
        <f>Y55+1000</f>
        <v>16373</v>
      </c>
      <c r="AD55">
        <v>0</v>
      </c>
      <c r="AE55">
        <f>SUM(AC55:AD55)</f>
        <v>16373</v>
      </c>
    </row>
    <row r="57">
      <c r="B57" t="str">
        <v xml:space="preserve">Total Revenue </v>
      </c>
      <c r="E57">
        <f>SUM(E36,E39,E49,E51,E55)</f>
        <v>12250</v>
      </c>
      <c r="F57">
        <f>SUM(F36,F39,F49,F51,F55)</f>
        <v>1000</v>
      </c>
      <c r="G57">
        <f>SUM(E57:F57)</f>
        <v>13250</v>
      </c>
      <c r="I57">
        <f>SUM(I36,I39,I49,I51,I55,I53)</f>
        <v>11996.46</v>
      </c>
      <c r="J57">
        <f>SUM(J36,J39,J49,J51,J55,J53)</f>
        <v>175.456</v>
      </c>
      <c r="K57">
        <f>SUM(I57:J57)</f>
        <v>12171.916</v>
      </c>
      <c r="M57">
        <f>SUM(M36,M39,M49,M51,M55,M53)</f>
        <v>51569.56079999999</v>
      </c>
      <c r="N57">
        <f>SUM(N36,N39,N49,N51,N55,N53)</f>
        <v>7996.800000000001</v>
      </c>
      <c r="O57">
        <f>SUM(M57:N57)</f>
        <v>59566.360799999995</v>
      </c>
      <c r="Q57">
        <f>SUM(Q36,Q39,Q49,Q51,Q55,Q53)</f>
        <v>90504.4688</v>
      </c>
      <c r="R57">
        <f>SUM(R36,R39,R49,R51,R55,R53)</f>
        <v>13460.672</v>
      </c>
      <c r="S57">
        <f>SUM(Q57:R57)</f>
        <v>103965.14080000001</v>
      </c>
      <c r="U57">
        <f>SUM(U36,U39,U49,U51,U55,U53)</f>
        <v>130358.2188</v>
      </c>
      <c r="V57">
        <f>SUM(V36,V39,V49,V51,V55,V53)</f>
        <v>18729.184</v>
      </c>
      <c r="W57">
        <f>SUM(U57:V57)</f>
        <v>149087.4028</v>
      </c>
      <c r="Y57">
        <f>SUM(Y36,Y39,Y49,Y51,Y55,Y53)</f>
        <v>172786.08130000002</v>
      </c>
      <c r="Z57">
        <f>SUM(Z36,Z39,Z49,Z51,Z55,Z53)</f>
        <v>24855.936</v>
      </c>
      <c r="AA57">
        <f>SUM(Y57:Z57)</f>
        <v>197642.0173</v>
      </c>
      <c r="AC57">
        <f>SUM(AC36,AC39,AC49,AC51,AC55,AC53)</f>
        <v>218009.540675</v>
      </c>
      <c r="AD57">
        <f>SUM(AD36,AD39,AD49,AD51,AD55,AD53)</f>
        <v>31840.928</v>
      </c>
      <c r="AE57">
        <f>SUM(AC57:AD57)</f>
        <v>249850.468675</v>
      </c>
    </row>
    <row r="59">
      <c r="B59" t="str">
        <v>Recurring Revenue</v>
      </c>
      <c r="G59">
        <f>SUM(G31,G39,G51)</f>
        <v>1250</v>
      </c>
      <c r="K59">
        <f>SUM(K31,K39,K51,K23)</f>
        <v>974.9159999999999</v>
      </c>
      <c r="O59">
        <f>SUM(O31,O39,O51,O23)</f>
        <v>15130.360799999999</v>
      </c>
      <c r="S59">
        <f>SUM(S31,S39,S51,S23)</f>
        <v>47016.1408</v>
      </c>
      <c r="W59">
        <f>SUM(W31,W39,W51,W23)</f>
        <v>80249.6528</v>
      </c>
      <c r="AA59">
        <f>SUM(AA31,AA39,AA51,AA23)</f>
        <v>116620.2048</v>
      </c>
      <c r="AE59">
        <f>SUM(AE31,AE39,AE51,AE23)</f>
        <v>156127.7968</v>
      </c>
    </row>
    <row r="60">
      <c r="B60" t="str">
        <v>% of Total Revenue</v>
      </c>
      <c r="G60">
        <f>G59/G57</f>
        <v>0.09433962264150944</v>
      </c>
      <c r="K60">
        <f>K59/K57</f>
        <v>0.0800955248130204</v>
      </c>
      <c r="O60">
        <f>O59/O57</f>
        <v>0.25400848057180625</v>
      </c>
      <c r="S60">
        <f>S59/S57</f>
        <v>0.4522298574138996</v>
      </c>
      <c r="W60">
        <f>W59/W57</f>
        <v>0.5382725253296853</v>
      </c>
      <c r="AA60">
        <f>AA59/AA57</f>
        <v>0.5900577538782286</v>
      </c>
      <c r="AE60">
        <f>AE59/AE57</f>
        <v>0.6248849466962082</v>
      </c>
    </row>
    <row r="84">
      <c r="AA84" t="str">
        <v>2024E Capex</v>
      </c>
      <c r="AB84">
        <v>3500</v>
      </c>
    </row>
    <row r="85">
      <c r="AA85" t="str">
        <v>System Cost</v>
      </c>
      <c r="AB85">
        <v>80</v>
      </c>
    </row>
    <row r="86">
      <c r="AA86" t="str">
        <v>To Purchase 2024</v>
      </c>
      <c r="AB86">
        <f>AB84/AB85</f>
        <v>43.75</v>
      </c>
    </row>
    <row r="87">
      <c r="AA87" t="str">
        <v>Advance Purchase 2023</v>
      </c>
      <c r="AB87">
        <f>G9-AB86</f>
        <v>-43.75</v>
      </c>
    </row>
    <row r="89">
      <c r="AA89" t="str">
        <v>Product NPV</v>
      </c>
    </row>
    <row r="91">
      <c r="AA91" t="str">
        <v>$ in '000s</v>
      </c>
    </row>
    <row r="92">
      <c r="AI92" t="str">
        <v>Discount</v>
      </c>
    </row>
    <row r="93">
      <c r="AA93" t="str">
        <v>Year</v>
      </c>
      <c r="AB93">
        <v>1</v>
      </c>
      <c r="AC93">
        <f>+AB93+1</f>
        <v>2</v>
      </c>
      <c r="AD93">
        <f>+AC93+1</f>
        <v>3</v>
      </c>
      <c r="AE93">
        <f>+AD93+1</f>
        <v>4</v>
      </c>
      <c r="AF93">
        <f>+AE93+1</f>
        <v>5</v>
      </c>
      <c r="AI93">
        <v>0.2</v>
      </c>
    </row>
    <row r="94">
      <c r="AA94" t="str">
        <v>Revenue</v>
      </c>
      <c r="AB94">
        <v>58</v>
      </c>
      <c r="AC94">
        <v>58</v>
      </c>
      <c r="AD94">
        <v>58</v>
      </c>
      <c r="AE94">
        <v>58</v>
      </c>
      <c r="AF94">
        <v>58</v>
      </c>
    </row>
    <row r="95">
      <c r="AB95">
        <v>0.5</v>
      </c>
      <c r="AC95">
        <f>+AB95+1</f>
        <v>1.5</v>
      </c>
      <c r="AD95">
        <f>+AC95+1</f>
        <v>2.5</v>
      </c>
      <c r="AE95">
        <f>+AD95+1</f>
        <v>3.5</v>
      </c>
      <c r="AF95">
        <f>+AE95+1</f>
        <v>4.5</v>
      </c>
    </row>
    <row r="96">
      <c r="AB96">
        <f>(1-$AI$93)^AB95</f>
        <v>0.8944271909999159</v>
      </c>
      <c r="AC96">
        <f>(1-$AI$93)^AC95</f>
        <v>0.7155417527999327</v>
      </c>
      <c r="AD96">
        <f>(1-$AI$93)^AD95</f>
        <v>0.5724334022399462</v>
      </c>
      <c r="AE96">
        <f>(1-$AI$93)^AE95</f>
        <v>0.457946721791957</v>
      </c>
      <c r="AF96">
        <f>(1-$AI$93)^AF95</f>
        <v>0.3663573774335656</v>
      </c>
      <c r="AI96" t="str">
        <v>NPV</v>
      </c>
    </row>
    <row r="97">
      <c r="AB97">
        <f>AB94*AB96</f>
        <v>51.87677707799512</v>
      </c>
      <c r="AC97">
        <f>AC94*AC96</f>
        <v>41.5014216623961</v>
      </c>
      <c r="AD97">
        <f>AD94*AD96</f>
        <v>33.20113732991688</v>
      </c>
      <c r="AE97">
        <f>AE94*AE96</f>
        <v>26.560909863933507</v>
      </c>
      <c r="AF97">
        <f>AF94*AF96</f>
        <v>21.248727891146807</v>
      </c>
      <c r="AI97">
        <f>SUM(AB97:AF97)</f>
        <v>174.38897382538843</v>
      </c>
    </row>
  </sheetData>
  <mergeCells count="7">
    <mergeCell ref="Y3:AA3"/>
    <mergeCell ref="AC3:AE3"/>
    <mergeCell ref="E3:G3"/>
    <mergeCell ref="I3:K3"/>
    <mergeCell ref="M3:O3"/>
    <mergeCell ref="Q3:S3"/>
    <mergeCell ref="U3:W3"/>
  </mergeCells>
  <pageMargins left="0.7" right="0.7" top="0.75" bottom="0.75" header="0.3" footer="0.3"/>
  <ignoredErrors>
    <ignoredError numberStoredAsText="1" sqref="B1:AI97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B216"/>
  <sheetViews>
    <sheetView workbookViewId="0" rightToLeft="0"/>
  </sheetViews>
  <sheetData>
    <row r="1">
      <c r="A1" t="str">
        <v>Inflation</v>
      </c>
      <c r="B1">
        <v>0.02</v>
      </c>
      <c r="D1" t="str">
        <v>Fully Loaded</v>
      </c>
      <c r="T1" t="str">
        <v>Stubbed for 2024</v>
      </c>
    </row>
    <row r="2">
      <c r="D2">
        <v>0.25</v>
      </c>
      <c r="J2" t="str">
        <v>Inflation</v>
      </c>
      <c r="L2">
        <v>1</v>
      </c>
      <c r="M2">
        <f>+L$2*(1+$B$1)</f>
        <v>1.02</v>
      </c>
      <c r="N2">
        <f>+M$2*(1+$B$1)</f>
        <v>1.0404</v>
      </c>
      <c r="O2">
        <f>+N$2*(1+$B$1)</f>
        <v>1.061208</v>
      </c>
      <c r="P2">
        <f>+O$2*(1+$B$1)</f>
        <v>1.08243216</v>
      </c>
      <c r="Q2">
        <f>+P$2*(1+$B$1)</f>
        <v>1.1040808032</v>
      </c>
      <c r="R2">
        <f>+Q$2*(1+$B$1)</f>
        <v>1.126162419264</v>
      </c>
      <c r="T2">
        <v>0.75</v>
      </c>
    </row>
    <row r="3">
      <c r="C3" t="str">
        <v>Salary w/Benefits</v>
      </c>
      <c r="D3" t="str">
        <v>Fully Loaded</v>
      </c>
      <c r="L3">
        <v>2024</v>
      </c>
      <c r="M3">
        <v>2025</v>
      </c>
      <c r="N3">
        <v>2026</v>
      </c>
      <c r="O3">
        <v>2027</v>
      </c>
      <c r="P3">
        <v>2028</v>
      </c>
      <c r="Q3">
        <v>2029</v>
      </c>
      <c r="R3">
        <v>2030</v>
      </c>
    </row>
    <row r="4">
      <c r="H4" t="str">
        <v>x</v>
      </c>
      <c r="J4" t="str">
        <v>S&amp;M</v>
      </c>
    </row>
    <row r="5">
      <c r="J5" t="str">
        <v>Sales &amp; Customer Success</v>
      </c>
      <c r="T5" t="str">
        <v>% of US instruments sold by in-house reps</v>
      </c>
    </row>
    <row r="6">
      <c r="C6">
        <f>D6/(1+$D$2)</f>
        <v>164000</v>
      </c>
      <c r="D6">
        <v>205000</v>
      </c>
      <c r="I6" t="str">
        <v>y</v>
      </c>
      <c r="J6" t="str">
        <v>US Salespeople</v>
      </c>
      <c r="L6">
        <v>4</v>
      </c>
      <c r="M6">
        <v>7</v>
      </c>
      <c r="N6">
        <v>9</v>
      </c>
      <c r="O6">
        <f>N6+2</f>
        <v>11</v>
      </c>
      <c r="P6">
        <f>O6+2</f>
        <v>13</v>
      </c>
      <c r="Q6">
        <f>P6+2</f>
        <v>15</v>
      </c>
      <c r="R6">
        <f>Q6+2</f>
        <v>17</v>
      </c>
      <c r="T6">
        <v>0.75</v>
      </c>
    </row>
    <row r="7">
      <c r="C7">
        <f>D7/(1+$D$2)</f>
        <v>118898.4</v>
      </c>
      <c r="D7">
        <v>148623</v>
      </c>
      <c r="I7" t="str">
        <v>y</v>
      </c>
      <c r="J7" t="str">
        <v>OUS Salespeople</v>
      </c>
      <c r="L7">
        <v>2</v>
      </c>
      <c r="M7">
        <f>3+1</f>
        <v>4</v>
      </c>
      <c r="N7">
        <v>5</v>
      </c>
      <c r="O7">
        <f>N7+1</f>
        <v>6</v>
      </c>
      <c r="P7">
        <f>O7+1</f>
        <v>7</v>
      </c>
      <c r="Q7">
        <f>P7+1</f>
        <v>8</v>
      </c>
      <c r="R7">
        <f>Q7+1</f>
        <v>9</v>
      </c>
    </row>
    <row r="8">
      <c r="C8">
        <v>127032</v>
      </c>
      <c r="D8">
        <f>C8*(1+D2)</f>
        <v>158790</v>
      </c>
      <c r="J8" t="str">
        <v>[Acquisition] Salespeople</v>
      </c>
      <c r="N8">
        <v>5</v>
      </c>
      <c r="O8">
        <f>N8+1</f>
        <v>6</v>
      </c>
      <c r="P8">
        <f>O8+1</f>
        <v>7</v>
      </c>
      <c r="Q8">
        <f>P8+1</f>
        <v>8</v>
      </c>
      <c r="R8">
        <f>Q8+1</f>
        <v>9</v>
      </c>
    </row>
    <row r="9">
      <c r="C9">
        <f>D9/(1+$D$2)</f>
        <v>140800</v>
      </c>
      <c r="D9">
        <v>176000</v>
      </c>
      <c r="J9" t="str">
        <v>AI - Customer Success</v>
      </c>
      <c r="M9">
        <v>1</v>
      </c>
      <c r="N9">
        <v>2</v>
      </c>
      <c r="O9">
        <f>N9+1</f>
        <v>3</v>
      </c>
      <c r="P9">
        <f>O9+1</f>
        <v>4</v>
      </c>
      <c r="Q9">
        <f>P9+1</f>
        <v>5</v>
      </c>
      <c r="R9">
        <f>Q9+1</f>
        <v>6</v>
      </c>
    </row>
    <row r="10">
      <c r="C10">
        <f>D10/(1+$D$2)</f>
        <v>100609.6</v>
      </c>
      <c r="D10">
        <v>125762</v>
      </c>
      <c r="I10" t="str">
        <v>y</v>
      </c>
      <c r="J10" t="str">
        <v>Product - Customer Success</v>
      </c>
      <c r="L10">
        <v>0</v>
      </c>
      <c r="M10">
        <v>2</v>
      </c>
      <c r="N10">
        <v>26</v>
      </c>
      <c r="O10">
        <f>N10+3</f>
        <v>29</v>
      </c>
      <c r="P10">
        <f>O10+3</f>
        <v>32</v>
      </c>
      <c r="Q10">
        <f>P10+3</f>
        <v>35</v>
      </c>
      <c r="R10">
        <f>Q10+3</f>
        <v>38</v>
      </c>
    </row>
    <row r="11">
      <c r="J11" t="str">
        <f>"Total "&amp;J5&amp;" Headcount"</f>
        <v>Total Sales &amp; Customer Success Headcount</v>
      </c>
      <c r="L11">
        <f>SUM(L6:L10)</f>
        <v>6</v>
      </c>
      <c r="M11">
        <f>SUM(M6:M10)</f>
        <v>14</v>
      </c>
      <c r="N11">
        <f>SUM(N6:N10)</f>
        <v>47</v>
      </c>
      <c r="O11">
        <f>SUM(O6:O10)</f>
        <v>55</v>
      </c>
      <c r="P11">
        <f>SUM(P6:P10)</f>
        <v>63</v>
      </c>
      <c r="Q11">
        <f>SUM(Q6:Q10)</f>
        <v>71</v>
      </c>
      <c r="R11">
        <f>SUM(R6:R10)</f>
        <v>79</v>
      </c>
    </row>
    <row r="13">
      <c r="J13" t="str">
        <v>Marketing</v>
      </c>
    </row>
    <row r="14">
      <c r="C14">
        <f>D14/(1+$D$2)</f>
        <v>113860</v>
      </c>
      <c r="D14">
        <v>142325</v>
      </c>
      <c r="I14" t="str">
        <v>y</v>
      </c>
      <c r="J14" t="str">
        <v>Marketing - Communications and Trade Shows</v>
      </c>
      <c r="L14">
        <v>3</v>
      </c>
      <c r="M14">
        <v>3</v>
      </c>
      <c r="N14">
        <v>5</v>
      </c>
      <c r="O14">
        <f>+N14+1</f>
        <v>6</v>
      </c>
      <c r="P14">
        <f>+O14+1</f>
        <v>7</v>
      </c>
      <c r="Q14">
        <f>+P14+1</f>
        <v>8</v>
      </c>
      <c r="R14">
        <f>+Q14+1</f>
        <v>9</v>
      </c>
    </row>
    <row r="15">
      <c r="J15" t="str">
        <f>"Total "&amp;J13&amp;" Headcount"</f>
        <v>Total Marketing Headcount</v>
      </c>
      <c r="L15">
        <f>SUM(L14:L14)</f>
        <v>3</v>
      </c>
      <c r="M15">
        <f>SUM(M14:M14)</f>
        <v>3</v>
      </c>
      <c r="N15">
        <f>SUM(N14:N14)</f>
        <v>5</v>
      </c>
      <c r="O15">
        <f>SUM(O14:O14)</f>
        <v>6</v>
      </c>
      <c r="P15">
        <f>SUM(P14:P14)</f>
        <v>7</v>
      </c>
      <c r="Q15">
        <f>SUM(Q14:Q14)</f>
        <v>8</v>
      </c>
      <c r="R15">
        <f>SUM(R14:R14)</f>
        <v>9</v>
      </c>
    </row>
    <row r="17">
      <c r="I17" t="str">
        <v>y</v>
      </c>
      <c r="J17" t="str">
        <f>J5</f>
        <v>Sales &amp; Customer Success</v>
      </c>
      <c r="L17">
        <f>SUMPRODUCT($D6:$D10,L6:L10)/10^6*L$2</f>
        <v>1.117246</v>
      </c>
      <c r="M17">
        <f>SUMPRODUCT($D6:$D10,M6:M10)/10^6*M$2</f>
        <v>2.50615632</v>
      </c>
      <c r="N17">
        <f>SUMPRODUCT($D6:$D10,N6:N10)/10^6*N$2</f>
        <v>7.2868336308</v>
      </c>
      <c r="O17">
        <f>SUMPRODUCT($D6:$D10,O6:O10)/10^6*O$2</f>
        <v>8.781046247808</v>
      </c>
      <c r="P17">
        <f>SUMPRODUCT($D6:$D10,P6:P10)/10^6*P$2</f>
        <v>10.332112636044</v>
      </c>
      <c r="Q17">
        <f>SUMPRODUCT($D6:$D10,Q6:Q10)/10^6*Q$2</f>
        <v>11.941709261310317</v>
      </c>
      <c r="R17">
        <f>SUMPRODUCT($D6:$D10,R6:R10)/10^6*R$2</f>
        <v>13.611556906532869</v>
      </c>
    </row>
    <row r="18">
      <c r="I18" t="str">
        <v>y</v>
      </c>
      <c r="J18" t="str">
        <f>J13</f>
        <v>Marketing</v>
      </c>
      <c r="L18">
        <f>SUMPRODUCT($D14:$D14,L14:L14)/10^6*L$2/2</f>
        <v>0.2134875</v>
      </c>
      <c r="M18">
        <f>SUMPRODUCT($D14:$D14,M14:M14)/10^6*M$2</f>
        <v>0.4355145</v>
      </c>
      <c r="N18">
        <f>SUMPRODUCT($D14:$D14,N14:N14)/10^6*N$2</f>
        <v>0.7403746499999999</v>
      </c>
      <c r="O18">
        <f>SUMPRODUCT($D14:$D14,O14:O14)/10^6*O$2</f>
        <v>0.9062185716</v>
      </c>
      <c r="P18">
        <f>SUMPRODUCT($D14:$D14,P14:P14)/10^6*P$2</f>
        <v>1.078400100204</v>
      </c>
      <c r="Q18">
        <f>SUMPRODUCT($D14:$D14,Q14:Q14)/10^6*Q$2</f>
        <v>1.2571064025235201</v>
      </c>
      <c r="R18">
        <f>SUMPRODUCT($D14:$D14,R14:R14)/10^6*R$2</f>
        <v>1.4425295968957395</v>
      </c>
    </row>
    <row r="19">
      <c r="J19" t="str">
        <v>Total S&amp;M Salary Costs</v>
      </c>
      <c r="L19">
        <f>SUM(L17:L18)</f>
        <v>1.3307335</v>
      </c>
      <c r="M19">
        <f>SUM(M17:M18)</f>
        <v>2.94167082</v>
      </c>
      <c r="N19">
        <f>SUM(N17:N18)</f>
        <v>8.0272082808</v>
      </c>
      <c r="O19">
        <f>SUM(O17:O18)</f>
        <v>9.687264819408</v>
      </c>
      <c r="P19">
        <f>SUM(P17:P18)</f>
        <v>11.410512736248</v>
      </c>
      <c r="Q19">
        <f>SUM(Q17:Q18)</f>
        <v>13.198815663833837</v>
      </c>
      <c r="R19">
        <f>SUM(R17:R18)</f>
        <v>15.054086503428607</v>
      </c>
    </row>
    <row r="20">
      <c r="J20" t="str">
        <v>Stubbing for 2Q-4Q 2024</v>
      </c>
      <c r="L20">
        <f>L19*$T$2</f>
        <v>0.998050125</v>
      </c>
    </row>
    <row r="21">
      <c r="D21">
        <f>+L$3</f>
        <v>2024</v>
      </c>
      <c r="E21">
        <f>+M$3</f>
        <v>2025</v>
      </c>
      <c r="F21">
        <f>+N$3</f>
        <v>2026</v>
      </c>
      <c r="G21">
        <f>+O$3</f>
        <v>2027</v>
      </c>
      <c r="J21" t="str">
        <v>Non-Salary Expenses</v>
      </c>
    </row>
    <row r="22">
      <c r="D22">
        <v>3.5</v>
      </c>
      <c r="E22">
        <v>1</v>
      </c>
      <c r="F22">
        <v>1</v>
      </c>
      <c r="G22">
        <v>1</v>
      </c>
      <c r="I22" t="str">
        <v>y</v>
      </c>
      <c r="J22" t="str">
        <v>US In-house Sales Bonus</v>
      </c>
      <c r="L22">
        <f>L6*$C$6/12*D22/10^6*L$2</f>
        <v>0.19133333333333333</v>
      </c>
      <c r="M22">
        <f>M6*$C$6/12*E22/10^6*M$2</f>
        <v>0.09758000000000001</v>
      </c>
      <c r="N22">
        <f>N6*$C$6/12*F22/10^6*N$2</f>
        <v>0.1279692</v>
      </c>
      <c r="O22">
        <f>O6*$C$6/12*$G$22/10^6*O$2</f>
        <v>0.15953493600000002</v>
      </c>
      <c r="P22">
        <f>P6*$C$6/12*$G$22/10^6*P$2</f>
        <v>0.19231211376</v>
      </c>
      <c r="Q22">
        <f>Q6*$C$6/12*$G$22/10^6*Q$2</f>
        <v>0.226336564656</v>
      </c>
      <c r="R22">
        <f>R6*$C$6/12*$G$22/10^6*R$2</f>
        <v>0.261645068742336</v>
      </c>
    </row>
    <row r="23">
      <c r="E23">
        <v>0.1</v>
      </c>
      <c r="F23">
        <v>0.1</v>
      </c>
      <c r="G23">
        <v>0.1</v>
      </c>
      <c r="I23" t="str">
        <v>y</v>
      </c>
      <c r="J23" t="str">
        <v>US Sales Commissions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T23">
        <v>0.16</v>
      </c>
      <c r="U23" t="str">
        <v>Instrument Value</v>
      </c>
    </row>
    <row r="24">
      <c r="D24">
        <v>3</v>
      </c>
      <c r="E24">
        <v>1</v>
      </c>
      <c r="F24">
        <v>1</v>
      </c>
      <c r="G24">
        <v>1</v>
      </c>
      <c r="I24" t="str">
        <v>y</v>
      </c>
      <c r="J24" t="str">
        <v>OUS Salespeople Bonus</v>
      </c>
      <c r="L24">
        <f>L7*$C$7/12*D24/10^6*L$2</f>
        <v>0.059449199999999994</v>
      </c>
      <c r="M24">
        <f>M7*$C$7/12*E24/10^6*M$2</f>
        <v>0.040425456</v>
      </c>
      <c r="N24">
        <f>N7*$C$7/12*F24/10^6*N$2</f>
        <v>0.0515424564</v>
      </c>
      <c r="O24">
        <f>O7*$C$7/12*$G$24/10^6*O$2</f>
        <v>0.06308796663359999</v>
      </c>
      <c r="P24">
        <f>P7*$C$7/12*$G$24/10^6*P$2</f>
        <v>0.075074680293984</v>
      </c>
      <c r="Q24">
        <f>Q7*$C$7/12*$G$24/10^6*Q$2</f>
        <v>0.08751562731412992</v>
      </c>
      <c r="R24">
        <f>R7*$C$7/12*$G$24/10^6*R$2</f>
        <v>0.10042418234296407</v>
      </c>
    </row>
    <row r="25">
      <c r="D25">
        <v>2.5</v>
      </c>
      <c r="E25">
        <v>1</v>
      </c>
      <c r="F25">
        <v>1</v>
      </c>
      <c r="G25">
        <v>1</v>
      </c>
      <c r="J25" t="str">
        <v>Other Bonuses</v>
      </c>
      <c r="L25">
        <f>(SUMPRODUCT($C10:$C10,L10:L10)+$C14*L14)/12*D25/10^6*L$2</f>
        <v>0.0711625</v>
      </c>
      <c r="M25">
        <f>(SUMPRODUCT($C10:$C10,M10:M10)+$C14*M14)/12*E25/10^6*M$2</f>
        <v>0.04613793199999999</v>
      </c>
      <c r="N25">
        <f>(SUMPRODUCT($C8:$C10,N8:N10)+$C14*N14)/12*F25/10^6*N$2</f>
        <v>0.35563556232</v>
      </c>
      <c r="O25">
        <f>(SUMPRODUCT($C10:$C10,O10:O10)+$C14*O14)/12*$G$25/10^6*O$2</f>
        <v>0.3184365430656</v>
      </c>
      <c r="P25">
        <f>(SUMPRODUCT($C10:$C10,P10:P10)+$C14*P14)/12*$G$25/10^6*P$2</f>
        <v>0.36230151773289604</v>
      </c>
      <c r="Q25">
        <f>(SUMPRODUCT($C10:$C10,Q10:Q10)+$C14*Q14)/12*$G$25/10^6*Q$2</f>
        <v>0.4077937167696576</v>
      </c>
      <c r="R25">
        <f>(SUMPRODUCT($C10:$C10,R10:R10)+$C14*R14)/12*$G$25/10^6*R$2</f>
        <v>0.4549606831607966</v>
      </c>
    </row>
    <row r="26">
      <c r="F26">
        <v>0.04</v>
      </c>
      <c r="J26" t="str">
        <v>Travel</v>
      </c>
      <c r="L26">
        <f>$F$26*SUM(L19,L22,L24:L25)</f>
        <v>0.06610714133333334</v>
      </c>
      <c r="M26">
        <v>0.337</v>
      </c>
      <c r="N26">
        <v>0.457</v>
      </c>
      <c r="O26">
        <f>$F$26*SUM(O19,O22,O24:O25)</f>
        <v>0.409132970604288</v>
      </c>
      <c r="P26">
        <f>$F$26*SUM(P19,P22,P24:P25)</f>
        <v>0.48160804192139517</v>
      </c>
      <c r="Q26">
        <f>$F$26*SUM(Q19,Q22,Q24:Q25)</f>
        <v>0.556818462902945</v>
      </c>
      <c r="R26">
        <f>$F$26*SUM(R19,R22,R24:R25)</f>
        <v>0.6348446575069882</v>
      </c>
    </row>
    <row r="27">
      <c r="D27">
        <v>250000</v>
      </c>
      <c r="F27" t="str">
        <v>Annual Increase</v>
      </c>
      <c r="G27">
        <v>0.05</v>
      </c>
      <c r="J27" t="str">
        <v>Subcontractors</v>
      </c>
      <c r="L27">
        <f>+$D$27*L$2/10^6</f>
        <v>0.25</v>
      </c>
      <c r="M27">
        <v>1.237</v>
      </c>
      <c r="N27">
        <v>2.167</v>
      </c>
      <c r="O27">
        <f>N27*(1+$G$27)</f>
        <v>2.27535</v>
      </c>
      <c r="P27">
        <f>O27*(1+$G$27)</f>
        <v>2.3891175000000002</v>
      </c>
      <c r="Q27">
        <f>P27*(1+$G$27)</f>
        <v>2.5085733750000005</v>
      </c>
      <c r="R27">
        <f>Q27*(1+$G$27)</f>
        <v>2.6340020437500007</v>
      </c>
    </row>
    <row r="28">
      <c r="F28">
        <v>0.03</v>
      </c>
      <c r="J28" t="str">
        <v>Channel Fees</v>
      </c>
      <c r="L28">
        <v>0.00001512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>
      <c r="D29">
        <v>750000</v>
      </c>
      <c r="F29" t="str">
        <v>Annual Increase</v>
      </c>
      <c r="G29">
        <v>0.05</v>
      </c>
      <c r="J29" t="str">
        <v>Product Marketing &amp; Conferences</v>
      </c>
      <c r="L29">
        <v>1</v>
      </c>
      <c r="M29">
        <v>0.949</v>
      </c>
      <c r="N29">
        <v>1.151</v>
      </c>
      <c r="O29">
        <f>N29*(1+$G$27)</f>
        <v>1.20855</v>
      </c>
      <c r="P29">
        <f>O29*(1+$G$27)</f>
        <v>1.2689775</v>
      </c>
      <c r="Q29">
        <f>P29*(1+$G$27)</f>
        <v>1.332426375</v>
      </c>
      <c r="R29">
        <f>Q29*(1+$G$27)</f>
        <v>1.39904769375</v>
      </c>
    </row>
    <row r="30">
      <c r="J30" t="str">
        <v>Other</v>
      </c>
      <c r="L30">
        <v>0</v>
      </c>
      <c r="M30">
        <v>0.156</v>
      </c>
      <c r="N30">
        <v>0.303</v>
      </c>
      <c r="O30">
        <f>N30*(1+$G$27)</f>
        <v>0.31815</v>
      </c>
      <c r="P30">
        <f>O30*(1+$G$27)</f>
        <v>0.3340575</v>
      </c>
      <c r="Q30">
        <f>P30*(1+$G$27)</f>
        <v>0.350760375</v>
      </c>
      <c r="R30">
        <f>Q30*(1+$G$27)</f>
        <v>0.36829839375</v>
      </c>
    </row>
    <row r="31">
      <c r="J31" t="str">
        <v>Overhead</v>
      </c>
      <c r="L31">
        <v>0</v>
      </c>
      <c r="M31">
        <v>0.187</v>
      </c>
      <c r="N31">
        <v>0.165</v>
      </c>
      <c r="O31">
        <f>+N31*(1+10%)*O$2</f>
        <v>0.192609252</v>
      </c>
      <c r="P31">
        <f>+O31*(1+10%)*P$2</f>
        <v>0.2293350935461788</v>
      </c>
      <c r="Q31">
        <f>+P31*(1+10%)*Q$2</f>
        <v>0.2785249217128534</v>
      </c>
      <c r="R31">
        <f>+Q31*(1+10%)*R$2</f>
        <v>0.3450307296276096</v>
      </c>
    </row>
    <row r="32">
      <c r="J32" t="str">
        <v>Amortization of Intangible Assets</v>
      </c>
      <c r="L32">
        <v>0.388</v>
      </c>
      <c r="M32">
        <f>+L32</f>
        <v>0.388</v>
      </c>
      <c r="N32">
        <f>+M32</f>
        <v>0.388</v>
      </c>
      <c r="O32">
        <f>+N32</f>
        <v>0.388</v>
      </c>
      <c r="P32">
        <f>+O32</f>
        <v>0.388</v>
      </c>
      <c r="Q32">
        <f>+P32</f>
        <v>0.388</v>
      </c>
      <c r="R32">
        <f>+Q32</f>
        <v>0.388</v>
      </c>
    </row>
    <row r="33">
      <c r="J33" t="str">
        <v>Depreciation</v>
      </c>
      <c r="L33">
        <v>0.03018</v>
      </c>
      <c r="M33">
        <f>+L33</f>
        <v>0.03018</v>
      </c>
      <c r="N33">
        <f>+M33</f>
        <v>0.03018</v>
      </c>
      <c r="O33">
        <f>+N33</f>
        <v>0.03018</v>
      </c>
      <c r="P33">
        <f>+O33</f>
        <v>0.03018</v>
      </c>
      <c r="Q33">
        <f>+P33</f>
        <v>0.03018</v>
      </c>
      <c r="R33">
        <f>+Q33</f>
        <v>0.03018</v>
      </c>
    </row>
    <row r="34">
      <c r="J34" t="str">
        <v>Stock Based Compensation</v>
      </c>
      <c r="L34">
        <v>0.584</v>
      </c>
      <c r="M34">
        <f>M211*M11</f>
        <v>1.2926666666666664</v>
      </c>
      <c r="N34">
        <f>N211*N11</f>
        <v>4.104666666666666</v>
      </c>
      <c r="O34">
        <f>O211*O11</f>
        <v>4.528333333333332</v>
      </c>
      <c r="P34">
        <f>P211*P11</f>
        <v>4.871999999999998</v>
      </c>
      <c r="Q34">
        <f>Q211*Q11</f>
        <v>5.135666666666665</v>
      </c>
      <c r="R34">
        <f>R211*R11</f>
        <v>5.319333333333331</v>
      </c>
    </row>
    <row r="35">
      <c r="J35" t="str">
        <v>Total Non-Salary Expenses</v>
      </c>
      <c r="L35">
        <f>SUM(L22:L34)</f>
        <v>2.640247294666667</v>
      </c>
      <c r="M35">
        <f>SUM(M22:M34)</f>
        <v>4.760990054666666</v>
      </c>
      <c r="N35">
        <f>SUM(N22:N34)</f>
        <v>9.300993885386665</v>
      </c>
      <c r="O35">
        <f>SUM(O22:O34)</f>
        <v>9.89136500163682</v>
      </c>
      <c r="P35">
        <f>SUM(P22:P34)</f>
        <v>10.622963947254451</v>
      </c>
      <c r="Q35">
        <f>SUM(Q22:Q34)</f>
        <v>11.302596085022252</v>
      </c>
      <c r="R35">
        <f>SUM(R22:R34)</f>
        <v>11.935766785964026</v>
      </c>
    </row>
    <row r="36">
      <c r="J36" t="str">
        <v>Ex Commissions, Bonus &amp; SBC</v>
      </c>
      <c r="L36">
        <f>SUM(L26:L33)</f>
        <v>1.7343022613333332</v>
      </c>
      <c r="M36">
        <f>SUM(M26:M33)</f>
        <v>3.28418</v>
      </c>
      <c r="N36">
        <f>SUM(N26:N33)</f>
        <v>4.661179999999999</v>
      </c>
      <c r="O36">
        <f>SUM(O26:O33)</f>
        <v>4.821972222604288</v>
      </c>
      <c r="P36">
        <f>SUM(P26:P33)</f>
        <v>5.1212756354675735</v>
      </c>
      <c r="Q36">
        <f>SUM(Q26:Q33)</f>
        <v>5.445283509615799</v>
      </c>
      <c r="R36">
        <f>SUM(R26:R33)</f>
        <v>5.799403518384598</v>
      </c>
    </row>
    <row r="37">
      <c r="J37" t="str">
        <v>Stubbing for 2Q-4Q 2024</v>
      </c>
      <c r="L37">
        <f>L35*stub1h24</f>
        <v>1.9801854710000004</v>
      </c>
    </row>
    <row r="38">
      <c r="J38" t="str">
        <v>1Q 2024</v>
      </c>
      <c r="L38">
        <v>0.8</v>
      </c>
    </row>
    <row r="39">
      <c r="J39" t="str">
        <v>Adjustment</v>
      </c>
      <c r="M39">
        <v>-0.3</v>
      </c>
      <c r="N39">
        <v>-0.8</v>
      </c>
    </row>
    <row r="40">
      <c r="H40" t="str">
        <v>x</v>
      </c>
      <c r="J40" t="str">
        <v>Total S&amp;M</v>
      </c>
      <c r="L40">
        <f>SUM(L37,L20)+L38</f>
        <v>3.778235596</v>
      </c>
      <c r="M40">
        <f>SUM(M35,M19,M39)</f>
        <v>7.402660874666666</v>
      </c>
      <c r="N40">
        <f>SUM(N35,N19,N39)</f>
        <v>16.528202166186663</v>
      </c>
      <c r="O40">
        <f>SUM(O35,O19,O39)</f>
        <v>19.57862982104482</v>
      </c>
      <c r="P40">
        <f>SUM(P35,P19,P39)</f>
        <v>22.03347668350245</v>
      </c>
      <c r="Q40">
        <f>SUM(Q35,Q19,Q39)</f>
        <v>24.50141174885609</v>
      </c>
      <c r="R40">
        <f>SUM(R35,R19,R39)</f>
        <v>26.989853289392634</v>
      </c>
    </row>
    <row r="42">
      <c r="H42" t="str">
        <v>x</v>
      </c>
      <c r="J42" t="str">
        <v>R&amp;D</v>
      </c>
    </row>
    <row r="43">
      <c r="C43">
        <f>D43/(1+$D$2)</f>
        <v>126930.4</v>
      </c>
      <c r="D43">
        <v>158663</v>
      </c>
      <c r="J43" t="str">
        <v>Product - R&amp;D, SW, Algo, V&amp;V, Mechanical</v>
      </c>
      <c r="L43">
        <v>28</v>
      </c>
      <c r="M43">
        <f>L43</f>
        <v>28</v>
      </c>
      <c r="N43">
        <v>30</v>
      </c>
      <c r="O43">
        <f>N43+1</f>
        <v>31</v>
      </c>
      <c r="P43">
        <f>O43</f>
        <v>31</v>
      </c>
      <c r="Q43">
        <f>P43</f>
        <v>31</v>
      </c>
      <c r="R43">
        <f>Q43</f>
        <v>31</v>
      </c>
    </row>
    <row r="44">
      <c r="C44">
        <f>D44/(1+$D$2)</f>
        <v>142740</v>
      </c>
      <c r="D44">
        <v>178425</v>
      </c>
      <c r="J44" t="str">
        <v>Product - Product</v>
      </c>
      <c r="L44">
        <v>2</v>
      </c>
      <c r="M44">
        <v>1</v>
      </c>
      <c r="N44">
        <v>1</v>
      </c>
      <c r="O44">
        <f>N44+1</f>
        <v>2</v>
      </c>
      <c r="P44">
        <f>O44</f>
        <v>2</v>
      </c>
      <c r="Q44">
        <f>P44+1</f>
        <v>3</v>
      </c>
      <c r="R44">
        <f>Q44</f>
        <v>3</v>
      </c>
    </row>
    <row r="45">
      <c r="C45">
        <f>D45/(1+$D$2)</f>
        <v>96920.8</v>
      </c>
      <c r="D45">
        <v>121151</v>
      </c>
      <c r="J45" t="str">
        <v>Product - RA/QA</v>
      </c>
      <c r="L45">
        <v>3</v>
      </c>
      <c r="M45">
        <v>5</v>
      </c>
      <c r="N45">
        <v>6</v>
      </c>
      <c r="O45">
        <f>N45</f>
        <v>6</v>
      </c>
      <c r="P45">
        <f>O45</f>
        <v>6</v>
      </c>
      <c r="Q45">
        <f>P45</f>
        <v>6</v>
      </c>
      <c r="R45">
        <f>Q45</f>
        <v>6</v>
      </c>
    </row>
    <row r="46">
      <c r="C46">
        <f>D46/(1+$D$2)</f>
        <v>181621.6</v>
      </c>
      <c r="D46">
        <v>227027</v>
      </c>
      <c r="J46" t="str">
        <v>Product - Medical</v>
      </c>
      <c r="L46">
        <v>1</v>
      </c>
      <c r="M46">
        <v>0</v>
      </c>
      <c r="N46">
        <v>0</v>
      </c>
      <c r="O46">
        <f>N46</f>
        <v>0</v>
      </c>
      <c r="P46">
        <f>O46</f>
        <v>0</v>
      </c>
      <c r="Q46">
        <f>P46</f>
        <v>0</v>
      </c>
      <c r="R46">
        <f>Q46</f>
        <v>0</v>
      </c>
    </row>
    <row r="47">
      <c r="C47">
        <f>D47/(1+$D$2)</f>
        <v>145822.4</v>
      </c>
      <c r="D47">
        <v>182278</v>
      </c>
      <c r="J47" t="str">
        <v>Clinical</v>
      </c>
      <c r="L47">
        <v>4</v>
      </c>
      <c r="M47">
        <v>3</v>
      </c>
      <c r="N47">
        <v>4</v>
      </c>
      <c r="O47">
        <f>N47</f>
        <v>4</v>
      </c>
      <c r="P47">
        <f>O47</f>
        <v>4</v>
      </c>
      <c r="Q47">
        <f>P47</f>
        <v>4</v>
      </c>
      <c r="R47">
        <f>Q47</f>
        <v>4</v>
      </c>
    </row>
    <row r="48">
      <c r="C48">
        <f>D48/(1+$D$2)</f>
        <v>96800</v>
      </c>
      <c r="D48">
        <v>121000</v>
      </c>
      <c r="J48" t="str">
        <v>Tech &amp; OEM Technician</v>
      </c>
      <c r="L48">
        <v>3</v>
      </c>
      <c r="M48">
        <v>3</v>
      </c>
      <c r="N48">
        <v>4</v>
      </c>
      <c r="O48">
        <f>N48</f>
        <v>4</v>
      </c>
      <c r="P48">
        <f>+O48+1</f>
        <v>5</v>
      </c>
      <c r="Q48">
        <f>P48</f>
        <v>5</v>
      </c>
      <c r="R48">
        <f>Q48</f>
        <v>5</v>
      </c>
    </row>
    <row r="49">
      <c r="C49">
        <f>D49/(1+$D$2)</f>
        <v>238004.8</v>
      </c>
      <c r="D49">
        <v>297506</v>
      </c>
      <c r="J49" t="str">
        <v>AI - Marketplace</v>
      </c>
      <c r="L49">
        <v>1</v>
      </c>
      <c r="M49">
        <v>1</v>
      </c>
      <c r="N49">
        <v>1</v>
      </c>
      <c r="O49">
        <f>N49</f>
        <v>1</v>
      </c>
      <c r="P49">
        <f>O49</f>
        <v>1</v>
      </c>
      <c r="Q49">
        <f>P49</f>
        <v>1</v>
      </c>
      <c r="R49">
        <f>Q49</f>
        <v>1</v>
      </c>
    </row>
    <row r="50">
      <c r="C50">
        <f>D50/(1+$D$2)</f>
        <v>122374.4</v>
      </c>
      <c r="D50">
        <v>152968</v>
      </c>
      <c r="J50" t="str">
        <v>AI - R&amp;D, Data Analytics, Research Enigineering, SW, DevOps</v>
      </c>
      <c r="L50">
        <v>20</v>
      </c>
      <c r="M50">
        <v>18</v>
      </c>
      <c r="N50">
        <v>18</v>
      </c>
      <c r="O50">
        <f>N50+2</f>
        <v>20</v>
      </c>
      <c r="P50">
        <f>O50</f>
        <v>20</v>
      </c>
      <c r="Q50">
        <f>P50</f>
        <v>20</v>
      </c>
      <c r="R50">
        <f>Q50</f>
        <v>20</v>
      </c>
    </row>
    <row r="51">
      <c r="C51">
        <f>D51/(1+$D$2)</f>
        <v>108934</v>
      </c>
      <c r="D51">
        <v>136167.5</v>
      </c>
      <c r="J51" t="str">
        <v>AI - Product, UI/UX</v>
      </c>
      <c r="L51">
        <v>4</v>
      </c>
      <c r="M51">
        <f>+L51</f>
        <v>4</v>
      </c>
      <c r="N51">
        <v>4</v>
      </c>
      <c r="O51">
        <f>N51</f>
        <v>4</v>
      </c>
      <c r="P51">
        <f>O51</f>
        <v>4</v>
      </c>
      <c r="Q51">
        <f>P51</f>
        <v>4</v>
      </c>
      <c r="R51">
        <f>Q51</f>
        <v>4</v>
      </c>
    </row>
    <row r="52">
      <c r="C52">
        <f>D52/(1+$D$2)</f>
        <v>77695.2</v>
      </c>
      <c r="D52">
        <v>97119</v>
      </c>
      <c r="J52" t="str">
        <v>AI - RA/QA</v>
      </c>
      <c r="L52">
        <v>2</v>
      </c>
      <c r="M52">
        <f>+L52</f>
        <v>2</v>
      </c>
      <c r="N52">
        <v>2</v>
      </c>
      <c r="O52">
        <f>N52</f>
        <v>2</v>
      </c>
      <c r="P52">
        <f>O52</f>
        <v>2</v>
      </c>
      <c r="Q52">
        <f>P52</f>
        <v>2</v>
      </c>
      <c r="R52">
        <f>Q52</f>
        <v>2</v>
      </c>
    </row>
    <row r="53">
      <c r="J53" t="str">
        <v>Total R&amp;D Headcount</v>
      </c>
      <c r="L53">
        <f>SUM(L43:L52)</f>
        <v>68</v>
      </c>
      <c r="M53">
        <f>SUM(M43:M52)</f>
        <v>65</v>
      </c>
      <c r="N53">
        <f>SUM(N43:N52)</f>
        <v>70</v>
      </c>
      <c r="O53">
        <f>SUM(O43:O52)</f>
        <v>74</v>
      </c>
      <c r="P53">
        <f>SUM(P43:P52)</f>
        <v>75</v>
      </c>
      <c r="Q53">
        <f>SUM(Q43:Q52)</f>
        <v>76</v>
      </c>
      <c r="R53">
        <f>SUM(R43:R52)</f>
        <v>76</v>
      </c>
    </row>
    <row r="54">
      <c r="J54" t="str">
        <v>Total R&amp;D Salary Costs</v>
      </c>
      <c r="L54">
        <f>SUMPRODUCT($D43:$D52,L43:L52)/10^6*L$2</f>
        <v>10.57778</v>
      </c>
      <c r="M54">
        <f>SUMPRODUCT($D43:$D52,M43:M52)/10^6*M$2</f>
        <v>10.124944319999999</v>
      </c>
      <c r="N54">
        <f>SUMPRODUCT($D43:$D52,N43:N52)/10^6*N$2</f>
        <v>11.0991651084</v>
      </c>
      <c r="O54">
        <f>SUMPRODUCT($D43:$D52,O43:O52)/10^6*O$2</f>
        <v>12.00353062356</v>
      </c>
      <c r="P54">
        <f>SUMPRODUCT($D43:$D52,P43:P52)/10^6*P$2</f>
        <v>12.3745755273912</v>
      </c>
      <c r="Q54">
        <f>SUMPRODUCT($D43:$D52,Q43:Q52)/10^6*Q$2</f>
        <v>12.819062655249985</v>
      </c>
      <c r="R54">
        <f>SUMPRODUCT($D43:$D52,R43:R52)/10^6*R$2</f>
        <v>13.075443908354986</v>
      </c>
    </row>
    <row r="55">
      <c r="D55">
        <v>1</v>
      </c>
      <c r="E55">
        <v>1</v>
      </c>
      <c r="F55">
        <v>1</v>
      </c>
      <c r="G55">
        <v>1</v>
      </c>
      <c r="J55" t="str">
        <v>Bonus</v>
      </c>
      <c r="L55">
        <f>SUMPRODUCT($C43:$C52,L43:L52)/12*D55/10^6*L$2</f>
        <v>0.7051853333333331</v>
      </c>
      <c r="M55">
        <f>SUMPRODUCT($C43:$C52,M43:M52)/12*E55/10^6*M$2</f>
        <v>0.6749962879999999</v>
      </c>
      <c r="N55">
        <f>SUMPRODUCT($C43:$C52,N43:N52)/12*F55/10^6*N$2</f>
        <v>0.7399443405599999</v>
      </c>
      <c r="O55">
        <f>SUMPRODUCT($C43:$C52,O43:O52)/12*$G$55/10^6*O$2</f>
        <v>0.8002353749039999</v>
      </c>
      <c r="P55">
        <f>SUMPRODUCT($C43:$C52,P43:P52)/12*$G$55/10^6*P$2</f>
        <v>0.82497170182608</v>
      </c>
      <c r="Q55">
        <f>SUMPRODUCT($C43:$C52,Q43:Q52)/12*$G$55/10^6*Q$2</f>
        <v>0.8546041770166657</v>
      </c>
      <c r="R55">
        <f>SUMPRODUCT($C43:$C52,R43:R52)/12*$G$55/10^6*R$2</f>
        <v>0.871696260556999</v>
      </c>
    </row>
    <row r="56">
      <c r="J56" t="str">
        <v>Adjustment</v>
      </c>
      <c r="N56">
        <v>0.6</v>
      </c>
    </row>
    <row r="57">
      <c r="J57" t="str">
        <v>Total R&amp;D Compensation</v>
      </c>
      <c r="L57">
        <f>SUM(L54:L55)</f>
        <v>11.282965333333333</v>
      </c>
      <c r="M57">
        <f>SUM(M54:M55)</f>
        <v>10.799940607999998</v>
      </c>
      <c r="N57">
        <f>SUM(N54:N56)</f>
        <v>12.439109448959998</v>
      </c>
      <c r="O57">
        <f>SUM(O54:O55)</f>
        <v>12.803765998464</v>
      </c>
      <c r="P57">
        <f>SUM(P54:P55)</f>
        <v>13.199547229217279</v>
      </c>
      <c r="Q57">
        <f>SUM(Q54:Q55)</f>
        <v>13.673666832266651</v>
      </c>
      <c r="R57">
        <f>SUM(R54:R55)</f>
        <v>13.947140168911984</v>
      </c>
    </row>
    <row r="58">
      <c r="J58" t="str">
        <v>Stubbing for 2Q-4Q 2024</v>
      </c>
      <c r="L58">
        <f>L57*stub1h24</f>
        <v>8.462223999999999</v>
      </c>
    </row>
    <row r="59">
      <c r="J59" t="str">
        <v>Non-Salary Expenses</v>
      </c>
    </row>
    <row r="60">
      <c r="C60">
        <v>0.28</v>
      </c>
      <c r="J60" t="str">
        <v>Contract Labor</v>
      </c>
      <c r="L60">
        <f>$C60*L$57</f>
        <v>3.1592302933333336</v>
      </c>
      <c r="M60">
        <v>3.37</v>
      </c>
      <c r="N60">
        <v>3.338</v>
      </c>
      <c r="O60">
        <f>$C60*O$57</f>
        <v>3.58505447956992</v>
      </c>
      <c r="P60">
        <f>$C60*P$57</f>
        <v>3.6958732241808385</v>
      </c>
      <c r="Q60">
        <f>$C60*Q$57</f>
        <v>3.8286267130346627</v>
      </c>
      <c r="R60">
        <f>$C60*R$57</f>
        <v>3.905199247295356</v>
      </c>
    </row>
    <row r="61">
      <c r="C61">
        <v>0.03</v>
      </c>
      <c r="J61" t="str">
        <v>Professional Fee</v>
      </c>
      <c r="L61">
        <f>$C61*L$57</f>
        <v>0.33848896</v>
      </c>
      <c r="M61">
        <v>0.159</v>
      </c>
      <c r="N61">
        <v>0.346</v>
      </c>
      <c r="O61">
        <f>$C61*O$57</f>
        <v>0.38411297995391996</v>
      </c>
      <c r="P61">
        <f>$C61*P$57</f>
        <v>0.39598641687651837</v>
      </c>
      <c r="Q61">
        <f>$C61*Q$57</f>
        <v>0.41021000496799953</v>
      </c>
      <c r="R61">
        <f>$C61*R$57</f>
        <v>0.4184142050673595</v>
      </c>
    </row>
    <row r="62">
      <c r="C62">
        <v>0</v>
      </c>
      <c r="J62" t="str">
        <v>R&amp;D Production</v>
      </c>
      <c r="L62">
        <f>$C62*L$57</f>
        <v>0</v>
      </c>
      <c r="M62">
        <f>$C62*M$57</f>
        <v>0</v>
      </c>
      <c r="N62">
        <f>$C62*N$57</f>
        <v>0</v>
      </c>
      <c r="O62">
        <f>$C62*O$57</f>
        <v>0</v>
      </c>
      <c r="P62">
        <f>$C62*P$57</f>
        <v>0</v>
      </c>
      <c r="Q62">
        <f>$C62*Q$57</f>
        <v>0</v>
      </c>
      <c r="R62">
        <f>$C62*R$57</f>
        <v>0</v>
      </c>
    </row>
    <row r="63">
      <c r="C63">
        <v>0.09</v>
      </c>
      <c r="J63" t="str">
        <v>Overhead</v>
      </c>
      <c r="L63">
        <f>$C63*L$57</f>
        <v>1.01546688</v>
      </c>
      <c r="M63">
        <v>0.758</v>
      </c>
      <c r="N63">
        <v>0.824</v>
      </c>
      <c r="O63">
        <f>+N63*(1+10%)*O$2</f>
        <v>0.9618789311999999</v>
      </c>
      <c r="P63">
        <f>+O63*(1+10%)*P$2</f>
        <v>1.1452855580730381</v>
      </c>
      <c r="Q63">
        <f>+P63*(1+10%)*Q$2</f>
        <v>1.3909365787357044</v>
      </c>
      <c r="R63">
        <f>+Q63*(1+10%)*R$2</f>
        <v>1.7230625528069716</v>
      </c>
    </row>
    <row r="64">
      <c r="C64">
        <v>0.055</v>
      </c>
      <c r="J64" t="str">
        <v>Software and IT Expense</v>
      </c>
      <c r="L64">
        <f>$C64*L$57</f>
        <v>0.6205630933333334</v>
      </c>
      <c r="M64">
        <v>0.392</v>
      </c>
      <c r="N64">
        <v>0.41</v>
      </c>
      <c r="O64">
        <f>$C64*O$57</f>
        <v>0.70420712991552</v>
      </c>
      <c r="P64">
        <f>$C64*P$57</f>
        <v>0.7259750976069503</v>
      </c>
      <c r="Q64">
        <f>$C64*Q$57</f>
        <v>0.7520516757746658</v>
      </c>
      <c r="R64">
        <f>$C64*R$57</f>
        <v>0.7670927092901592</v>
      </c>
    </row>
    <row r="65">
      <c r="C65">
        <v>0.03</v>
      </c>
      <c r="J65" t="str">
        <v>Travel &amp; Other Expenses (incl. Insurance)</v>
      </c>
      <c r="L65">
        <f>$C65*L$57</f>
        <v>0.33848896</v>
      </c>
      <c r="M65">
        <v>0.17</v>
      </c>
      <c r="N65">
        <v>0.356</v>
      </c>
      <c r="O65">
        <f>$C65*O$57</f>
        <v>0.38411297995391996</v>
      </c>
      <c r="P65">
        <f>$C65*P$57</f>
        <v>0.39598641687651837</v>
      </c>
      <c r="Q65">
        <f>$C65*Q$57</f>
        <v>0.41021000496799953</v>
      </c>
      <c r="R65">
        <f>$C65*R$57</f>
        <v>0.4184142050673595</v>
      </c>
    </row>
    <row r="66">
      <c r="J66" t="str">
        <v>Clinical Trials &amp; Regulatory expenses</v>
      </c>
      <c r="L66">
        <v>0.1</v>
      </c>
      <c r="M66">
        <v>1.316</v>
      </c>
      <c r="N66">
        <v>2.735</v>
      </c>
      <c r="O66">
        <f>N66</f>
        <v>2.735</v>
      </c>
      <c r="P66">
        <f>O66-0.5</f>
        <v>2.235</v>
      </c>
      <c r="Q66">
        <f>P66-0.5</f>
        <v>1.7349999999999999</v>
      </c>
      <c r="R66">
        <f>Q66</f>
        <v>1.7349999999999999</v>
      </c>
    </row>
    <row r="67">
      <c r="J67" t="str">
        <v>Depreciation</v>
      </c>
      <c r="L67">
        <v>1.06176228</v>
      </c>
      <c r="M67">
        <f>+L67</f>
        <v>1.06176228</v>
      </c>
      <c r="N67">
        <f>+M67</f>
        <v>1.06176228</v>
      </c>
      <c r="O67">
        <f>+N67</f>
        <v>1.06176228</v>
      </c>
      <c r="P67">
        <f>+O67</f>
        <v>1.06176228</v>
      </c>
      <c r="Q67">
        <f>+P67</f>
        <v>1.06176228</v>
      </c>
      <c r="R67">
        <f>+Q67</f>
        <v>1.06176228</v>
      </c>
    </row>
    <row r="68">
      <c r="J68" t="str">
        <v>Stock Based Compensation</v>
      </c>
      <c r="L68">
        <v>2.356</v>
      </c>
      <c r="M68">
        <f>+L68</f>
        <v>2.356</v>
      </c>
      <c r="N68">
        <f>+M68</f>
        <v>2.356</v>
      </c>
      <c r="O68">
        <f>+N68</f>
        <v>2.356</v>
      </c>
      <c r="P68">
        <f>+O68</f>
        <v>2.356</v>
      </c>
      <c r="Q68">
        <f>+P68</f>
        <v>2.356</v>
      </c>
      <c r="R68">
        <f>+Q68</f>
        <v>2.356</v>
      </c>
    </row>
    <row r="69">
      <c r="J69" t="str">
        <v>Grants</v>
      </c>
      <c r="L69">
        <v>-1.571</v>
      </c>
      <c r="M69">
        <v>0.09</v>
      </c>
      <c r="N69">
        <v>0</v>
      </c>
      <c r="O69">
        <v>0</v>
      </c>
      <c r="P69">
        <v>0</v>
      </c>
      <c r="Q69">
        <v>0</v>
      </c>
      <c r="R69">
        <v>0</v>
      </c>
    </row>
    <row r="70">
      <c r="J70" t="str">
        <v>Total Non-Salary Expenses</v>
      </c>
      <c r="L70">
        <f>SUM(L60:L69)</f>
        <v>7.419000466666667</v>
      </c>
      <c r="M70">
        <f>SUM(M60:M69)</f>
        <v>9.67276228</v>
      </c>
      <c r="N70">
        <f>SUM(N60:N69)</f>
        <v>11.42676228</v>
      </c>
      <c r="O70">
        <f>SUM(O60:O69)</f>
        <v>12.17212878059328</v>
      </c>
      <c r="P70">
        <f>SUM(P60:P69)</f>
        <v>12.011868993613863</v>
      </c>
      <c r="Q70">
        <f>SUM(Q60:Q69)</f>
        <v>11.944797257481033</v>
      </c>
      <c r="R70">
        <f>SUM(R60:R69)</f>
        <v>12.384945199527206</v>
      </c>
    </row>
    <row r="71">
      <c r="J71" t="str">
        <v>Stubbing for 2Q-4Q 2024</v>
      </c>
      <c r="L71">
        <f>L70*stub1h24</f>
        <v>5.56425035</v>
      </c>
    </row>
    <row r="72">
      <c r="J72" t="str">
        <v>1Q 2024</v>
      </c>
      <c r="L72">
        <v>5.22</v>
      </c>
    </row>
    <row r="73">
      <c r="J73" t="str">
        <v>Adjustment</v>
      </c>
      <c r="N73">
        <v>-0.5</v>
      </c>
    </row>
    <row r="74">
      <c r="C74" t="str">
        <v>Shutting down [Company Name] Korea?</v>
      </c>
      <c r="H74" t="str">
        <v>x</v>
      </c>
      <c r="J74" t="str">
        <v>Total R&amp;D Expense</v>
      </c>
      <c r="L74">
        <f>SUM(L71,L58,L72)</f>
        <v>19.24647435</v>
      </c>
      <c r="M74">
        <f>SUM(M57,M70,M73)</f>
        <v>20.472702888</v>
      </c>
      <c r="N74">
        <f>SUM(N57,N70,N73)</f>
        <v>23.36587172896</v>
      </c>
      <c r="O74">
        <f>SUM(O57,O70,O73)</f>
        <v>24.975894779057278</v>
      </c>
      <c r="P74">
        <f>SUM(P57,P70,P73)</f>
        <v>25.21141622283114</v>
      </c>
      <c r="Q74">
        <f>SUM(Q57,Q70,Q73)</f>
        <v>25.618464089747683</v>
      </c>
      <c r="R74">
        <f>SUM(R57,R70,R73)</f>
        <v>26.332085368439188</v>
      </c>
    </row>
    <row r="75">
      <c r="C75">
        <v>0</v>
      </c>
      <c r="D75" t="str">
        <v>0: No; 1: Yes</v>
      </c>
      <c r="J75" t="str">
        <v>Shuttering of [Company Name] Korea</v>
      </c>
      <c r="M75">
        <f>IF($C$75=1,-3,0)</f>
        <v>0</v>
      </c>
      <c r="N75">
        <f>IF($C$75=1,-5,0)</f>
        <v>0</v>
      </c>
      <c r="O75">
        <f>IF($C$75=1,-5,0)</f>
        <v>0</v>
      </c>
      <c r="P75">
        <f>IF($C$75=1,-5,0)</f>
        <v>0</v>
      </c>
      <c r="Q75">
        <f>IF($C$75=1,-5,0)</f>
        <v>0</v>
      </c>
      <c r="R75">
        <f>IF($C$75=1,-5,0)</f>
        <v>0</v>
      </c>
    </row>
    <row r="76">
      <c r="J76" t="str">
        <v>PF R&amp;D Expense</v>
      </c>
      <c r="L76">
        <f>L74+L75</f>
        <v>19.24647435</v>
      </c>
      <c r="M76">
        <f>M74+M75</f>
        <v>20.472702888</v>
      </c>
      <c r="N76">
        <f>N74+N75</f>
        <v>23.36587172896</v>
      </c>
      <c r="O76">
        <f>O74+O75</f>
        <v>24.975894779057278</v>
      </c>
      <c r="P76">
        <f>P74+P75</f>
        <v>25.21141622283114</v>
      </c>
      <c r="Q76">
        <f>Q74+Q75</f>
        <v>25.618464089747683</v>
      </c>
      <c r="R76">
        <f>R74+R75</f>
        <v>26.332085368439188</v>
      </c>
    </row>
    <row r="78">
      <c r="H78" t="str">
        <v>x</v>
      </c>
      <c r="J78" t="str">
        <v>G&amp;A</v>
      </c>
    </row>
    <row r="80">
      <c r="C80">
        <f>D80/(1+$D$2)</f>
        <v>345612</v>
      </c>
      <c r="D80">
        <v>432015</v>
      </c>
      <c r="J80" t="str">
        <v>Executive Management</v>
      </c>
      <c r="L80">
        <v>8</v>
      </c>
      <c r="M80">
        <v>5</v>
      </c>
      <c r="N80">
        <f>M80</f>
        <v>5</v>
      </c>
      <c r="O80">
        <f>+N80</f>
        <v>5</v>
      </c>
      <c r="P80">
        <f>+O80</f>
        <v>5</v>
      </c>
      <c r="Q80">
        <f>+P80</f>
        <v>5</v>
      </c>
      <c r="R80">
        <f>+Q80</f>
        <v>5</v>
      </c>
    </row>
    <row r="81">
      <c r="C81">
        <f>D81/(1+$D$2)</f>
        <v>215300</v>
      </c>
      <c r="D81">
        <v>269125</v>
      </c>
      <c r="J81" t="str">
        <v>USARAD Management</v>
      </c>
      <c r="L81">
        <v>2</v>
      </c>
      <c r="M81">
        <f>+L81</f>
        <v>2</v>
      </c>
      <c r="N81">
        <f>+M81</f>
        <v>2</v>
      </c>
      <c r="O81">
        <f>+N81</f>
        <v>2</v>
      </c>
      <c r="P81">
        <f>+O81</f>
        <v>2</v>
      </c>
      <c r="Q81">
        <f>+P81</f>
        <v>2</v>
      </c>
      <c r="R81">
        <f>+Q81</f>
        <v>2</v>
      </c>
    </row>
    <row r="82">
      <c r="C82">
        <f>D82/(1+$D$2)</f>
        <v>237619.2</v>
      </c>
      <c r="D82">
        <v>297024</v>
      </c>
      <c r="J82" t="str">
        <v>[Company Name] Korea Chairman</v>
      </c>
      <c r="L82">
        <v>1</v>
      </c>
      <c r="M82">
        <v>0</v>
      </c>
      <c r="N82">
        <v>0</v>
      </c>
      <c r="O82">
        <v>0</v>
      </c>
      <c r="P82">
        <f>IF($C$75=1,0,M82)</f>
        <v>0</v>
      </c>
      <c r="Q82">
        <f>IF($C$75=1,0,N82)</f>
        <v>0</v>
      </c>
      <c r="R82">
        <f>IF($C$75=1,0,O82)</f>
        <v>0</v>
      </c>
    </row>
    <row r="83">
      <c r="C83">
        <f>D83/(1+$D$2)</f>
        <v>60464.8</v>
      </c>
      <c r="D83">
        <v>75581</v>
      </c>
      <c r="J83" t="str">
        <v>Admin</v>
      </c>
      <c r="L83">
        <v>3</v>
      </c>
      <c r="M83">
        <v>3</v>
      </c>
      <c r="N83">
        <f>+M83</f>
        <v>3</v>
      </c>
      <c r="O83">
        <f>N83+1</f>
        <v>4</v>
      </c>
      <c r="P83">
        <f>+O83</f>
        <v>4</v>
      </c>
      <c r="Q83">
        <f>+P83</f>
        <v>4</v>
      </c>
      <c r="R83">
        <f>+Q83</f>
        <v>4</v>
      </c>
    </row>
    <row r="84">
      <c r="C84">
        <f>D84/(1+$D$2)</f>
        <v>29513.6</v>
      </c>
      <c r="D84">
        <v>36892</v>
      </c>
      <c r="J84" t="str">
        <v>[Company Name] Korea Admin</v>
      </c>
      <c r="L84">
        <v>1</v>
      </c>
      <c r="M84">
        <v>0</v>
      </c>
      <c r="N84">
        <v>0</v>
      </c>
      <c r="O84">
        <v>0</v>
      </c>
      <c r="P84">
        <f>IF($C$75=1,0,M84)</f>
        <v>0</v>
      </c>
      <c r="Q84">
        <f>IF($C$75=1,0,N84)</f>
        <v>0</v>
      </c>
      <c r="R84">
        <f>IF($C$75=1,0,O84)</f>
        <v>0</v>
      </c>
    </row>
    <row r="85">
      <c r="J85" t="str">
        <v>Finance</v>
      </c>
    </row>
    <row r="86">
      <c r="C86">
        <f>D86/(1+$D$2)</f>
        <v>71513.46666666666</v>
      </c>
      <c r="D86">
        <f>+D87</f>
        <v>89391.83333333333</v>
      </c>
      <c r="J86" t="str">
        <v>FP&amp;A</v>
      </c>
      <c r="L86">
        <v>1</v>
      </c>
      <c r="M86">
        <f>+L86</f>
        <v>1</v>
      </c>
      <c r="N86">
        <v>1</v>
      </c>
      <c r="O86">
        <f>+N86+1</f>
        <v>2</v>
      </c>
      <c r="P86">
        <f>+O86+1</f>
        <v>3</v>
      </c>
      <c r="Q86">
        <f>P86</f>
        <v>3</v>
      </c>
      <c r="R86">
        <f>Q86</f>
        <v>3</v>
      </c>
    </row>
    <row r="87">
      <c r="C87">
        <f>D87/(1+$D$2)</f>
        <v>71513.46666666666</v>
      </c>
      <c r="D87">
        <v>89391.83333333333</v>
      </c>
      <c r="J87" t="str">
        <v>Accountant and Payroll Controller</v>
      </c>
      <c r="L87">
        <v>3</v>
      </c>
      <c r="M87">
        <v>4</v>
      </c>
      <c r="N87">
        <v>4</v>
      </c>
      <c r="O87">
        <f>+N87+1</f>
        <v>5</v>
      </c>
      <c r="P87">
        <f>+O87+1</f>
        <v>6</v>
      </c>
      <c r="Q87">
        <f>P87</f>
        <v>6</v>
      </c>
      <c r="R87">
        <f>Q87</f>
        <v>6</v>
      </c>
    </row>
    <row r="88">
      <c r="C88">
        <f>D88/(1+$D$2)</f>
        <v>71513.46666666666</v>
      </c>
      <c r="D88">
        <v>89391.83333333333</v>
      </c>
      <c r="J88" t="str">
        <v>Controller</v>
      </c>
      <c r="L88">
        <v>3</v>
      </c>
      <c r="M88">
        <v>2</v>
      </c>
      <c r="N88">
        <f>+M88</f>
        <v>2</v>
      </c>
      <c r="O88">
        <f>+N88</f>
        <v>2</v>
      </c>
      <c r="P88">
        <f>+O88</f>
        <v>2</v>
      </c>
      <c r="Q88">
        <f>+P88</f>
        <v>2</v>
      </c>
      <c r="R88">
        <f>+Q88</f>
        <v>2</v>
      </c>
    </row>
    <row r="89">
      <c r="C89">
        <f>D89/(1+$D$2)</f>
        <v>88800</v>
      </c>
      <c r="D89">
        <v>111000</v>
      </c>
      <c r="J89" t="str">
        <v>USARAD Finance</v>
      </c>
      <c r="L89">
        <v>2</v>
      </c>
      <c r="M89">
        <v>3</v>
      </c>
      <c r="N89">
        <v>5</v>
      </c>
      <c r="O89">
        <f>+N89</f>
        <v>5</v>
      </c>
      <c r="P89">
        <f>+O89</f>
        <v>5</v>
      </c>
      <c r="Q89">
        <f>+P89</f>
        <v>5</v>
      </c>
      <c r="R89">
        <f>+Q89</f>
        <v>5</v>
      </c>
    </row>
    <row r="90">
      <c r="C90">
        <f>D90/(1+$D$2)</f>
        <v>77441.6</v>
      </c>
      <c r="D90">
        <v>96802</v>
      </c>
      <c r="J90" t="str">
        <v>[Company Name] Korea</v>
      </c>
      <c r="L90">
        <v>3</v>
      </c>
      <c r="M90">
        <v>0</v>
      </c>
      <c r="N90">
        <f>+M90</f>
        <v>0</v>
      </c>
      <c r="O90">
        <f>+N90</f>
        <v>0</v>
      </c>
      <c r="P90">
        <f>+O90</f>
        <v>0</v>
      </c>
      <c r="Q90">
        <f>+P90</f>
        <v>0</v>
      </c>
      <c r="R90">
        <f>+Q90</f>
        <v>0</v>
      </c>
    </row>
    <row r="91">
      <c r="J91" t="str">
        <v>Legal</v>
      </c>
    </row>
    <row r="92">
      <c r="C92">
        <f>D92/(1+$D$2)</f>
        <v>114415.2</v>
      </c>
      <c r="D92">
        <v>143019</v>
      </c>
      <c r="J92" t="str">
        <v>Counsel</v>
      </c>
      <c r="L92">
        <v>1</v>
      </c>
      <c r="M92">
        <f>+L92</f>
        <v>1</v>
      </c>
      <c r="N92">
        <v>1</v>
      </c>
      <c r="O92">
        <f>+N92+1</f>
        <v>2</v>
      </c>
      <c r="P92">
        <f>O92</f>
        <v>2</v>
      </c>
      <c r="Q92">
        <f>P92</f>
        <v>2</v>
      </c>
      <c r="R92">
        <f>+Q92+1</f>
        <v>3</v>
      </c>
    </row>
    <row r="93">
      <c r="J93" t="str">
        <v>HR</v>
      </c>
    </row>
    <row r="94">
      <c r="C94">
        <f>D94/(1+$D$2)</f>
        <v>130096.8</v>
      </c>
      <c r="D94">
        <v>162621</v>
      </c>
      <c r="J94" t="str">
        <v>HR Manager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</row>
    <row r="95">
      <c r="C95">
        <f>D95/(1+$D$2)</f>
        <v>65932.8</v>
      </c>
      <c r="D95">
        <v>82416</v>
      </c>
      <c r="J95" t="str">
        <v>Recruiter</v>
      </c>
      <c r="L95">
        <v>1</v>
      </c>
      <c r="M95">
        <v>1</v>
      </c>
      <c r="N95">
        <v>1</v>
      </c>
      <c r="O95">
        <f>+N95+1</f>
        <v>2</v>
      </c>
      <c r="P95">
        <f>O95</f>
        <v>2</v>
      </c>
      <c r="Q95">
        <f>P95</f>
        <v>2</v>
      </c>
      <c r="R95">
        <f>Q95</f>
        <v>2</v>
      </c>
    </row>
    <row r="96">
      <c r="C96">
        <f>D96/(1+$D$2)</f>
        <v>75148</v>
      </c>
      <c r="D96">
        <v>93935</v>
      </c>
      <c r="J96" t="str">
        <v>HR Admin</v>
      </c>
      <c r="M96">
        <v>2</v>
      </c>
      <c r="N96">
        <f>M96</f>
        <v>2</v>
      </c>
      <c r="O96">
        <f>N96</f>
        <v>2</v>
      </c>
      <c r="P96">
        <f>O96</f>
        <v>2</v>
      </c>
      <c r="Q96">
        <f>P96</f>
        <v>2</v>
      </c>
      <c r="R96">
        <f>Q96</f>
        <v>2</v>
      </c>
    </row>
    <row r="97">
      <c r="C97">
        <f>D97/(1+$D$2)</f>
        <v>49769.6</v>
      </c>
      <c r="D97">
        <v>62212</v>
      </c>
      <c r="J97" t="str">
        <v>[Company Name] Korea</v>
      </c>
      <c r="L97">
        <v>1</v>
      </c>
      <c r="M97">
        <v>0</v>
      </c>
      <c r="N97">
        <f>+M97</f>
        <v>0</v>
      </c>
      <c r="O97">
        <f>+N97</f>
        <v>0</v>
      </c>
      <c r="P97">
        <f>+O97</f>
        <v>0</v>
      </c>
      <c r="Q97">
        <f>+P97</f>
        <v>0</v>
      </c>
      <c r="R97">
        <f>+Q97</f>
        <v>0</v>
      </c>
    </row>
    <row r="98">
      <c r="J98" t="str">
        <v>IT &amp; Cyber</v>
      </c>
    </row>
    <row r="99">
      <c r="C99">
        <f>D99/(1+$D$2)</f>
        <v>108311.28</v>
      </c>
      <c r="D99">
        <v>135389.1</v>
      </c>
      <c r="J99" t="str">
        <v>Director of IT</v>
      </c>
      <c r="L99">
        <v>1</v>
      </c>
      <c r="M99">
        <v>0</v>
      </c>
      <c r="N99">
        <f>+M99</f>
        <v>0</v>
      </c>
      <c r="O99">
        <f>+N99</f>
        <v>0</v>
      </c>
      <c r="P99">
        <f>+O99</f>
        <v>0</v>
      </c>
      <c r="Q99">
        <f>+P99</f>
        <v>0</v>
      </c>
      <c r="R99">
        <f>+Q99</f>
        <v>0</v>
      </c>
    </row>
    <row r="100">
      <c r="C100">
        <f>D100/(1+$D$2)</f>
        <v>84242.10666666666</v>
      </c>
      <c r="D100">
        <v>105302.63333333332</v>
      </c>
      <c r="J100" t="str">
        <v>Apps Manager</v>
      </c>
      <c r="L100">
        <v>3</v>
      </c>
      <c r="M100">
        <v>0</v>
      </c>
      <c r="N100">
        <v>0</v>
      </c>
      <c r="O100">
        <f>+N100+1</f>
        <v>1</v>
      </c>
      <c r="P100">
        <f>+O100+1</f>
        <v>2</v>
      </c>
      <c r="Q100">
        <f>P100</f>
        <v>2</v>
      </c>
      <c r="R100">
        <f>Q100</f>
        <v>2</v>
      </c>
    </row>
    <row r="101">
      <c r="C101">
        <f>D101/(1+$D$2)</f>
        <v>96000</v>
      </c>
      <c r="D101">
        <v>120000</v>
      </c>
      <c r="J101" t="str">
        <v>IT Support Specialist</v>
      </c>
      <c r="L101">
        <v>0</v>
      </c>
      <c r="M101">
        <v>4</v>
      </c>
      <c r="N101">
        <f>+M101+1</f>
        <v>5</v>
      </c>
      <c r="O101">
        <f>+N101+1</f>
        <v>6</v>
      </c>
      <c r="P101">
        <f>O101</f>
        <v>6</v>
      </c>
      <c r="Q101">
        <f>P101</f>
        <v>6</v>
      </c>
      <c r="R101">
        <f>Q101</f>
        <v>6</v>
      </c>
    </row>
    <row r="102">
      <c r="C102">
        <f>D102/(1+$D$2)</f>
        <v>52800</v>
      </c>
      <c r="D102">
        <v>66000</v>
      </c>
      <c r="J102" t="str">
        <v>USARAD Tech Support</v>
      </c>
      <c r="L102">
        <v>2</v>
      </c>
      <c r="M102">
        <f>+L102</f>
        <v>2</v>
      </c>
      <c r="N102">
        <v>2</v>
      </c>
      <c r="O102">
        <f>+N102</f>
        <v>2</v>
      </c>
      <c r="P102">
        <f>+O102</f>
        <v>2</v>
      </c>
      <c r="Q102">
        <f>+P102</f>
        <v>2</v>
      </c>
      <c r="R102">
        <f>+Q102</f>
        <v>2</v>
      </c>
    </row>
    <row r="103">
      <c r="J103" t="str">
        <v>Operations &amp; Unallocated Production</v>
      </c>
    </row>
    <row r="104">
      <c r="C104">
        <f>D104/(1+$D$2)</f>
        <v>100877.76</v>
      </c>
      <c r="D104">
        <v>126097.2</v>
      </c>
      <c r="J104" t="str">
        <v>Product - Operation</v>
      </c>
      <c r="L104">
        <v>5</v>
      </c>
    </row>
    <row r="105">
      <c r="C105">
        <f>D105/(1+$D$2)</f>
        <v>40488</v>
      </c>
      <c r="D105">
        <v>50610</v>
      </c>
      <c r="J105" t="str">
        <v>USARAD - Operations</v>
      </c>
      <c r="L105">
        <v>12</v>
      </c>
    </row>
    <row r="106">
      <c r="C106">
        <f>D106/(1+$D$2)</f>
        <v>40954.4</v>
      </c>
      <c r="D106">
        <v>51193</v>
      </c>
      <c r="J106" t="str">
        <v>USARAD - Credentialing</v>
      </c>
      <c r="L106">
        <v>3</v>
      </c>
      <c r="M106">
        <v>4</v>
      </c>
      <c r="N106">
        <v>4</v>
      </c>
      <c r="O106">
        <f>+N106+1</f>
        <v>5</v>
      </c>
      <c r="P106">
        <f>O106</f>
        <v>5</v>
      </c>
      <c r="Q106">
        <f>+P106+1</f>
        <v>6</v>
      </c>
      <c r="R106">
        <f>+Q106+1</f>
        <v>7</v>
      </c>
    </row>
    <row r="107">
      <c r="J107" t="str">
        <v>Total G&amp;A Headcount</v>
      </c>
      <c r="L107">
        <f>SUM(L80:L106)</f>
        <v>57</v>
      </c>
      <c r="M107">
        <f>SUM(M80:M106)</f>
        <v>35</v>
      </c>
      <c r="N107">
        <f>SUM(N80:N106)</f>
        <v>38</v>
      </c>
      <c r="O107">
        <f>SUM(O80:O106)</f>
        <v>46</v>
      </c>
      <c r="P107">
        <f>SUM(P80:P106)</f>
        <v>49</v>
      </c>
      <c r="Q107">
        <f>SUM(Q80:Q106)</f>
        <v>50</v>
      </c>
      <c r="R107">
        <f>SUM(R80:R106)</f>
        <v>52</v>
      </c>
    </row>
    <row r="108">
      <c r="J108" t="str">
        <v>Total G&amp;A Salary Costs</v>
      </c>
      <c r="L108">
        <f>SUMPRODUCT($D80:$D106,L80:L106)*L$2/10^6</f>
        <v>8.118127833333332</v>
      </c>
      <c r="M108">
        <f>SUMPRODUCT($D80:$D106,M80:M106)*M$2/10^6</f>
        <v>5.382039010000001</v>
      </c>
      <c r="N108">
        <f>SUMPRODUCT($D80:$D106,N80:N106)*N$2/10^6</f>
        <v>5.845496590200001</v>
      </c>
      <c r="O108">
        <f>SUMPRODUCT($D80:$D106,O80:O106)*O$2/10^6</f>
        <v>6.7649931447264</v>
      </c>
      <c r="P108">
        <f>SUMPRODUCT($D80:$D106,P80:P106)*P$2/10^6</f>
        <v>7.207797154956335</v>
      </c>
      <c r="Q108">
        <f>SUMPRODUCT($D80:$D106,Q80:Q106)*Q$2/10^6</f>
        <v>7.40847430661368</v>
      </c>
      <c r="R108">
        <f>SUMPRODUCT($D80:$D106,R80:R106)*R$2/10^6</f>
        <v>7.775358048516054</v>
      </c>
    </row>
    <row r="109">
      <c r="D109">
        <v>1</v>
      </c>
      <c r="E109">
        <v>1</v>
      </c>
      <c r="F109">
        <v>1</v>
      </c>
      <c r="G109">
        <v>1</v>
      </c>
      <c r="J109" t="str">
        <v>Bonus</v>
      </c>
      <c r="L109">
        <f>SUMPRODUCT($C80:$C106,L80:L106)/12*D109*L$2/10^6</f>
        <v>0.5412085222222222</v>
      </c>
      <c r="M109">
        <f>SUMPRODUCT($C80:$C106,M80:M106)/12*E109*M$2/10^6</f>
        <v>0.35880260066666664</v>
      </c>
      <c r="N109">
        <f>SUMPRODUCT($C80:$C106,N80:N106)/12*F109*N$2/10^6</f>
        <v>0.38969977267999995</v>
      </c>
      <c r="O109">
        <f>SUMPRODUCT($C80:$C106,O80:O106)/12*$G$109*O$2/10^6</f>
        <v>0.45099954298176</v>
      </c>
      <c r="P109">
        <f>SUMPRODUCT($C80:$C106,P80:P106)/12*$G$109*P$2/10^6</f>
        <v>0.4805198103304223</v>
      </c>
      <c r="Q109">
        <f>SUMPRODUCT($C80:$C106,Q80:Q106)/12*$G$109*Q$2/10^6</f>
        <v>0.49389828710757866</v>
      </c>
      <c r="R109">
        <f>SUMPRODUCT($C80:$C106,R80:R106)/12*$G$109*R$2/10^6</f>
        <v>0.5183572032344035</v>
      </c>
    </row>
    <row r="110">
      <c r="J110" t="str">
        <v>Total G&amp;A Compensation</v>
      </c>
      <c r="L110">
        <f>SUM(L108:L109)</f>
        <v>8.659336355555554</v>
      </c>
      <c r="M110">
        <f>SUM(M108:M109)</f>
        <v>5.740841610666667</v>
      </c>
      <c r="N110">
        <f>SUM(N108:N109)</f>
        <v>6.235196362880001</v>
      </c>
      <c r="O110">
        <f>SUM(O108:O109)</f>
        <v>7.215992687708161</v>
      </c>
      <c r="P110">
        <f>SUM(P108:P109)</f>
        <v>7.688316965286758</v>
      </c>
      <c r="Q110">
        <f>SUM(Q108:Q109)</f>
        <v>7.9023725937212586</v>
      </c>
      <c r="R110">
        <f>SUM(R108:R109)</f>
        <v>8.293715251750458</v>
      </c>
    </row>
    <row r="111">
      <c r="J111" t="str">
        <v>Stubbing for 2Q-4Q 2024</v>
      </c>
      <c r="L111">
        <f>L110*stub1h24</f>
        <v>6.494502266666666</v>
      </c>
    </row>
    <row r="112">
      <c r="D112">
        <v>0.05</v>
      </c>
      <c r="E112" t="str">
        <v>Annual Increase</v>
      </c>
      <c r="J112" t="str">
        <v>Directors and Officers' Insurance</v>
      </c>
      <c r="L112">
        <v>2.5</v>
      </c>
      <c r="M112">
        <v>0.819</v>
      </c>
      <c r="N112">
        <v>0.644</v>
      </c>
      <c r="O112">
        <f>N112*(1+$D112)</f>
        <v>0.6762</v>
      </c>
      <c r="P112">
        <f>O112*(1+$D112)</f>
        <v>0.71001</v>
      </c>
      <c r="Q112">
        <f>P112*(1+$D112)</f>
        <v>0.7455105000000001</v>
      </c>
      <c r="R112">
        <f>Q112*(1+$D112)</f>
        <v>0.7827860250000002</v>
      </c>
    </row>
    <row r="113">
      <c r="C113">
        <v>0.30000000000000004</v>
      </c>
      <c r="D113">
        <v>0.05</v>
      </c>
      <c r="E113" t="str">
        <v>Annual Increase</v>
      </c>
      <c r="J113" t="str">
        <v>Professional Fees</v>
      </c>
      <c r="L113">
        <f>$C113*L$110</f>
        <v>2.5978009066666665</v>
      </c>
      <c r="M113">
        <v>2.934</v>
      </c>
      <c r="N113">
        <v>4.212</v>
      </c>
      <c r="O113">
        <f>N113*(1+$D113)</f>
        <v>4.4226</v>
      </c>
      <c r="P113">
        <f>O113*(1+$D113)</f>
        <v>4.643730000000001</v>
      </c>
      <c r="Q113">
        <f>P113*(1+$D113)</f>
        <v>4.875916500000001</v>
      </c>
      <c r="R113">
        <f>Q113*(1+$D113)</f>
        <v>5.119712325000001</v>
      </c>
    </row>
    <row r="114">
      <c r="C114">
        <v>0.02</v>
      </c>
      <c r="D114">
        <v>0.05</v>
      </c>
      <c r="E114" t="str">
        <v>Annual Increase</v>
      </c>
      <c r="J114" t="str">
        <v>Subscription</v>
      </c>
      <c r="L114">
        <f>$C114*L$110</f>
        <v>0.1731867271111111</v>
      </c>
      <c r="M114">
        <v>0.182</v>
      </c>
      <c r="N114">
        <v>0.306</v>
      </c>
      <c r="O114">
        <f>N114*(1+$D114)</f>
        <v>0.32130000000000003</v>
      </c>
      <c r="P114">
        <f>O114*(1+$D114)</f>
        <v>0.337365</v>
      </c>
      <c r="Q114">
        <f>P114*(1+$D114)</f>
        <v>0.35423325000000006</v>
      </c>
      <c r="R114">
        <f>Q114*(1+$D114)</f>
        <v>0.37194491250000006</v>
      </c>
    </row>
    <row r="115">
      <c r="C115">
        <v>0.035</v>
      </c>
      <c r="D115">
        <v>0.05</v>
      </c>
      <c r="E115" t="str">
        <v>Annual Increase</v>
      </c>
      <c r="J115" t="str">
        <v>Travel</v>
      </c>
      <c r="L115">
        <f>$C115*L$110</f>
        <v>0.3030767724444444</v>
      </c>
      <c r="M115">
        <v>0.318</v>
      </c>
      <c r="N115">
        <v>0.075</v>
      </c>
      <c r="O115">
        <f>N115*(1+$D115)</f>
        <v>0.07875</v>
      </c>
      <c r="P115">
        <f>O115*(1+$D115)</f>
        <v>0.08268750000000001</v>
      </c>
      <c r="Q115">
        <f>P115*(1+$D115)</f>
        <v>0.08682187500000002</v>
      </c>
      <c r="R115">
        <f>Q115*(1+$D115)</f>
        <v>0.09116296875000003</v>
      </c>
    </row>
    <row r="116">
      <c r="D116">
        <v>0.05</v>
      </c>
      <c r="E116" t="str">
        <v>Annual Increase</v>
      </c>
      <c r="J116" t="str">
        <v>Rent and Maintenance</v>
      </c>
      <c r="L116">
        <v>1.58786056</v>
      </c>
      <c r="M116">
        <v>0.445</v>
      </c>
      <c r="N116">
        <v>0.344</v>
      </c>
      <c r="O116">
        <f>+N116*(1+10%)*O$2</f>
        <v>0.4015611072</v>
      </c>
      <c r="P116">
        <f>+O116*(1+10%)*P$2</f>
        <v>0.47812892230233633</v>
      </c>
      <c r="Q116">
        <f>+P116*(1+10%)*Q$2</f>
        <v>0.5806822610255854</v>
      </c>
      <c r="R116">
        <f>+Q116*(1+10%)*R$2</f>
        <v>0.7193367938902892</v>
      </c>
    </row>
    <row r="117">
      <c r="A117">
        <v>1000000</v>
      </c>
      <c r="B117" t="str">
        <v>Basis+ 20% recruitment US</v>
      </c>
      <c r="C117" t="str">
        <v>Annual Increase</v>
      </c>
      <c r="D117">
        <v>0.2</v>
      </c>
      <c r="E117">
        <f>D117+5%</f>
        <v>0.25</v>
      </c>
      <c r="F117">
        <f>E117+5%</f>
        <v>0.3</v>
      </c>
      <c r="G117">
        <f>F117+5%</f>
        <v>0.35</v>
      </c>
      <c r="J117" t="str">
        <v>HR &amp; Recruiting</v>
      </c>
      <c r="L117">
        <v>0</v>
      </c>
      <c r="M117">
        <v>0.962</v>
      </c>
      <c r="N117">
        <v>1.986</v>
      </c>
      <c r="O117">
        <f>$A$117*(1+D117)/1000000+(20%*(O6-N6)*D6+20%*(O10-N10)*D10)/1000000</f>
        <v>1.3574572</v>
      </c>
      <c r="P117">
        <f>$A$117*(1+E117)/1000000+(20%*(P6-O6)*E6+20%*(P10-O10)*E10)/1000000</f>
        <v>1.25</v>
      </c>
      <c r="Q117">
        <f>$A$117*(1+F117)/1000000+(20%*(Q6-P6)*F6+20%*(Q10-P10)*F10)/1000000</f>
        <v>1.3</v>
      </c>
      <c r="R117">
        <f>$A$117*(1+G117)/1000000+(20%*(R6-Q6)*G6+20%*(R10-Q10)*G10)/1000000</f>
        <v>1.35</v>
      </c>
    </row>
    <row r="118">
      <c r="C118">
        <v>0.055</v>
      </c>
      <c r="J118" t="str">
        <v>Office Expense</v>
      </c>
      <c r="L118">
        <f>$C118*L$110</f>
        <v>0.4762634995555555</v>
      </c>
      <c r="M118">
        <v>0.283</v>
      </c>
      <c r="N118">
        <v>0.352</v>
      </c>
      <c r="O118">
        <f>$C118*O$110</f>
        <v>0.3968795978239488</v>
      </c>
      <c r="P118">
        <f>$C118*P$110</f>
        <v>0.4228574330907717</v>
      </c>
      <c r="Q118">
        <f>$C118*Q$110</f>
        <v>0.43463049265466924</v>
      </c>
      <c r="R118">
        <f>$C118*R$110</f>
        <v>0.45615433884627515</v>
      </c>
    </row>
    <row r="119">
      <c r="C119">
        <v>0.05</v>
      </c>
      <c r="J119" t="str">
        <v>Software and IT Expense</v>
      </c>
      <c r="L119">
        <f>$C119*L$110</f>
        <v>0.43296681777777773</v>
      </c>
      <c r="M119">
        <v>1.063</v>
      </c>
      <c r="N119">
        <v>1.349</v>
      </c>
      <c r="O119">
        <f>N119*(1+$C$119)</f>
        <v>1.41645</v>
      </c>
      <c r="P119">
        <f>O119*(1+$C$119)</f>
        <v>1.4872725</v>
      </c>
      <c r="Q119">
        <f>P119*(1+$C$119)</f>
        <v>1.5616361250000002</v>
      </c>
      <c r="R119">
        <f>Q119*(1+$C$119)</f>
        <v>1.6397179312500003</v>
      </c>
    </row>
    <row r="120">
      <c r="C120">
        <v>0.1</v>
      </c>
      <c r="J120" t="str">
        <v>Legal Fees</v>
      </c>
      <c r="L120">
        <f>$C120*L$110</f>
        <v>0.8659336355555555</v>
      </c>
      <c r="M120">
        <v>0.65</v>
      </c>
      <c r="N120">
        <v>0.953</v>
      </c>
      <c r="O120">
        <f>N120*(1+$C$119)</f>
        <v>1.00065</v>
      </c>
      <c r="P120">
        <f>O120*(1+$C$119)</f>
        <v>1.0506825000000002</v>
      </c>
      <c r="Q120">
        <f>P120*(1+$C$119)</f>
        <v>1.1032166250000002</v>
      </c>
      <c r="R120">
        <f>Q120*(1+$C$119)</f>
        <v>1.1583774562500002</v>
      </c>
    </row>
    <row r="121">
      <c r="C121">
        <v>0.065</v>
      </c>
      <c r="J121" t="str">
        <v>Insurance &amp; Bank Fees</v>
      </c>
      <c r="L121">
        <f>$C121*L$110</f>
        <v>0.562856863111111</v>
      </c>
      <c r="M121">
        <v>0.596</v>
      </c>
      <c r="N121">
        <v>0.814</v>
      </c>
      <c r="O121">
        <f>N121*(1+$C$119)</f>
        <v>0.8547</v>
      </c>
      <c r="P121">
        <f>O121*(1+$C$119)</f>
        <v>0.8974350000000001</v>
      </c>
      <c r="Q121">
        <f>P121*(1+$C$119)</f>
        <v>0.9423067500000002</v>
      </c>
      <c r="R121">
        <f>Q121*(1+$C$119)</f>
        <v>0.9894220875000003</v>
      </c>
    </row>
    <row r="122">
      <c r="C122" t="str">
        <v>Annual Increase</v>
      </c>
      <c r="D122">
        <v>0.05</v>
      </c>
      <c r="E122">
        <v>0.05</v>
      </c>
      <c r="F122">
        <v>0.1</v>
      </c>
      <c r="G122">
        <v>0.1</v>
      </c>
      <c r="J122" t="str">
        <v>Other Expenses</v>
      </c>
      <c r="L122">
        <v>1</v>
      </c>
      <c r="M122">
        <v>0.098</v>
      </c>
      <c r="N122">
        <v>0.344</v>
      </c>
      <c r="O122">
        <f>N122*(1+$G$122)</f>
        <v>0.3784</v>
      </c>
      <c r="P122">
        <f>O122*(1+$G$122)</f>
        <v>0.41624000000000005</v>
      </c>
      <c r="Q122">
        <f>P122*(1+$G$122)</f>
        <v>0.4578640000000001</v>
      </c>
      <c r="R122">
        <f>Q122*(1+$G$122)</f>
        <v>0.5036504000000002</v>
      </c>
    </row>
    <row r="123">
      <c r="C123" t="str">
        <v>Annual Increase</v>
      </c>
      <c r="D123">
        <v>0</v>
      </c>
      <c r="E123">
        <v>0.025</v>
      </c>
      <c r="F123">
        <v>0.05</v>
      </c>
      <c r="G123">
        <v>0.05</v>
      </c>
      <c r="J123" t="str">
        <v>Director Fee</v>
      </c>
      <c r="L123">
        <v>0.238</v>
      </c>
      <c r="M123">
        <v>0.307</v>
      </c>
      <c r="N123">
        <v>0.305</v>
      </c>
      <c r="O123">
        <f>N123*(1+$G$123)</f>
        <v>0.32025</v>
      </c>
      <c r="P123">
        <f>O123*(1+$G$123)</f>
        <v>0.3362625</v>
      </c>
      <c r="Q123">
        <f>P123*(1+$G$123)</f>
        <v>0.35307562500000006</v>
      </c>
      <c r="R123">
        <f>Q123*(1+$G$123)</f>
        <v>0.37072940625000006</v>
      </c>
    </row>
    <row r="124">
      <c r="J124" t="str">
        <v>Depreciation</v>
      </c>
      <c r="L124">
        <v>0.016</v>
      </c>
      <c r="M124">
        <f>+L124</f>
        <v>0.016</v>
      </c>
      <c r="N124">
        <f>+M124</f>
        <v>0.016</v>
      </c>
      <c r="O124">
        <f>+N124</f>
        <v>0.016</v>
      </c>
      <c r="P124">
        <f>+O124</f>
        <v>0.016</v>
      </c>
      <c r="Q124">
        <f>+P124</f>
        <v>0.016</v>
      </c>
      <c r="R124">
        <f>+Q124</f>
        <v>0.016</v>
      </c>
    </row>
    <row r="125">
      <c r="J125" t="str">
        <v>Stock Based Compensation</v>
      </c>
      <c r="L125">
        <v>2.756</v>
      </c>
      <c r="M125">
        <f>+L125</f>
        <v>2.756</v>
      </c>
      <c r="N125">
        <f>+M125</f>
        <v>2.756</v>
      </c>
      <c r="O125">
        <f>+N125</f>
        <v>2.756</v>
      </c>
      <c r="P125">
        <f>+O125</f>
        <v>2.756</v>
      </c>
      <c r="Q125">
        <f>+P125</f>
        <v>2.756</v>
      </c>
      <c r="R125">
        <f>+Q125</f>
        <v>2.756</v>
      </c>
    </row>
    <row r="126">
      <c r="J126" t="str">
        <v>Total Non-employee Costs</v>
      </c>
      <c r="L126">
        <f>SUM(L112:L125)</f>
        <v>13.509945782222221</v>
      </c>
      <c r="M126">
        <f>SUM(M112:M125)</f>
        <v>11.429000000000002</v>
      </c>
      <c r="N126">
        <f>SUM(N112:N125)</f>
        <v>14.456</v>
      </c>
      <c r="O126">
        <f>SUM(O112:O125)</f>
        <v>14.397197905023948</v>
      </c>
      <c r="P126">
        <f>SUM(P112:P125)</f>
        <v>14.88467135539311</v>
      </c>
      <c r="Q126">
        <f>SUM(Q112:Q125)</f>
        <v>15.567894003680257</v>
      </c>
      <c r="R126">
        <f>SUM(R112:R125)</f>
        <v>16.324994645236565</v>
      </c>
    </row>
    <row r="127">
      <c r="J127" t="str">
        <v>Stubbing for 2Q-4Q 2024</v>
      </c>
      <c r="L127">
        <f>L126*stub1h24</f>
        <v>10.132459336666667</v>
      </c>
    </row>
    <row r="128">
      <c r="J128" t="str">
        <v>1Q 2024</v>
      </c>
      <c r="L128">
        <v>5.042</v>
      </c>
    </row>
    <row r="129">
      <c r="H129" t="str">
        <v>x</v>
      </c>
      <c r="J129" t="str">
        <v>Total G&amp;A Expense</v>
      </c>
      <c r="L129">
        <f>SUM(L111,L127,L128)</f>
        <v>21.668961603333337</v>
      </c>
      <c r="M129">
        <f>SUM(M110,M126)</f>
        <v>17.16984161066667</v>
      </c>
      <c r="N129">
        <f>SUM(N110,N126)</f>
        <v>20.69119636288</v>
      </c>
      <c r="O129">
        <f>SUM(O110,O126)</f>
        <v>21.61319059273211</v>
      </c>
      <c r="P129">
        <f>SUM(P110,P126)</f>
        <v>22.57298832067987</v>
      </c>
      <c r="Q129">
        <f>SUM(Q110,Q126)</f>
        <v>23.470266597401515</v>
      </c>
      <c r="R129">
        <f>SUM(R110,R126)</f>
        <v>24.61870989698702</v>
      </c>
    </row>
    <row r="131">
      <c r="J131" t="str">
        <v>Total OPEX Headcount</v>
      </c>
      <c r="L131">
        <f>SUM(L11,L15,L53,L107)</f>
        <v>134</v>
      </c>
      <c r="M131">
        <f>SUM(M11,M15,M53,M107)</f>
        <v>117</v>
      </c>
      <c r="N131">
        <f>SUM(N11,N15,N53,N107)</f>
        <v>160</v>
      </c>
      <c r="O131">
        <f>SUM(O11,O15,O53,O107)</f>
        <v>181</v>
      </c>
      <c r="P131">
        <f>SUM(P11,P15,P53,P107)</f>
        <v>194</v>
      </c>
      <c r="Q131">
        <f>SUM(Q11,Q15,Q53,Q107)</f>
        <v>205</v>
      </c>
      <c r="R131">
        <f>SUM(R11,R15,R53,R107)</f>
        <v>216</v>
      </c>
    </row>
    <row r="134">
      <c r="J134" t="str">
        <v>Total OPEX</v>
      </c>
      <c r="L134">
        <f>SUM(L129,L76,L40)</f>
        <v>44.69367154933334</v>
      </c>
      <c r="M134">
        <f>SUM(M129,M76,M40)</f>
        <v>45.04520537333333</v>
      </c>
      <c r="N134">
        <f>SUM(N129,N76,N40)</f>
        <v>60.585270258026654</v>
      </c>
      <c r="O134">
        <f>SUM(O129,O76,O40)</f>
        <v>66.16771519283421</v>
      </c>
      <c r="P134">
        <f>SUM(P129,P76,P40)</f>
        <v>69.81788122701346</v>
      </c>
      <c r="Q134">
        <f>SUM(Q129,Q76,Q40)</f>
        <v>73.59014243600528</v>
      </c>
      <c r="R134">
        <f>SUM(R129,R76,R40)</f>
        <v>77.94064855481884</v>
      </c>
    </row>
    <row r="135">
      <c r="M135">
        <f>M134-M125-M124-M68-M67-M34-M32</f>
        <v>37.17477642666667</v>
      </c>
      <c r="N135">
        <f>N134-N125-N124-N68-N67-N34-N32</f>
        <v>49.90284131135999</v>
      </c>
    </row>
    <row r="136">
      <c r="J136" t="str">
        <v>Memo:</v>
      </c>
    </row>
    <row r="137">
      <c r="H137" t="str">
        <v>x</v>
      </c>
      <c r="J137" t="str">
        <v>COGS</v>
      </c>
    </row>
    <row r="139">
      <c r="C139">
        <f>D139/(1+$D$2)</f>
        <v>134400</v>
      </c>
      <c r="D139">
        <v>168000</v>
      </c>
      <c r="J139" t="str">
        <v>AI - Delivery Headcount</v>
      </c>
      <c r="L139">
        <v>0</v>
      </c>
      <c r="M139">
        <v>0</v>
      </c>
      <c r="N139">
        <v>1</v>
      </c>
      <c r="O139">
        <v>4</v>
      </c>
      <c r="P139">
        <v>4</v>
      </c>
      <c r="Q139">
        <v>4</v>
      </c>
      <c r="R139">
        <v>4</v>
      </c>
    </row>
    <row r="141">
      <c r="J141" t="str">
        <v>AI - Delivery Salary</v>
      </c>
      <c r="L141">
        <f>$D139*L139/10^6*L$2</f>
        <v>0</v>
      </c>
      <c r="M141">
        <f>$D139*M139/10^6*M$2</f>
        <v>0</v>
      </c>
      <c r="N141">
        <f>$D139*N139/10^6*N$2</f>
        <v>0.1747872</v>
      </c>
      <c r="O141">
        <f>$D139*O139/10^6*O$2</f>
        <v>0.713131776</v>
      </c>
      <c r="P141">
        <f>$D139*P139/10^6*P$2</f>
        <v>0.7273944115200001</v>
      </c>
      <c r="Q141">
        <f>$D139*Q139/10^6*Q$2</f>
        <v>0.7419422997504</v>
      </c>
      <c r="R141">
        <f>$D139*R139/10^6*R$2</f>
        <v>0.7567811457454081</v>
      </c>
    </row>
    <row r="142">
      <c r="D142">
        <v>1</v>
      </c>
      <c r="E142">
        <v>1</v>
      </c>
      <c r="F142">
        <v>1</v>
      </c>
      <c r="G142">
        <v>1</v>
      </c>
      <c r="J142" t="str">
        <v>Bonus</v>
      </c>
      <c r="L142">
        <f>$D139/12*D142*L139*L$2/10^6</f>
        <v>0</v>
      </c>
      <c r="M142">
        <f>$D139/12*E142*M139*M$2/10^6</f>
        <v>0</v>
      </c>
      <c r="N142">
        <f>$D139/12*F142*N139*N$2/10^6</f>
        <v>0.0145656</v>
      </c>
      <c r="O142">
        <f>$D139/12*$G$142*O139*O$2/10^6</f>
        <v>0.05942764799999999</v>
      </c>
      <c r="P142">
        <f>$D139/12*$G$142*P139*P$2/10^6</f>
        <v>0.060616200960000005</v>
      </c>
      <c r="Q142">
        <f>$D139/12*$G$142*Q139*Q$2/10^6</f>
        <v>0.0618285249792</v>
      </c>
      <c r="R142">
        <f>$D139/12*$G$142*R139*R$2/10^6</f>
        <v>0.063065095478784</v>
      </c>
    </row>
    <row r="143">
      <c r="J143" t="str">
        <v>AI - Delivery Compensation</v>
      </c>
      <c r="L143">
        <f>SUM(L141:L142)</f>
        <v>0</v>
      </c>
      <c r="M143">
        <f>SUM(M141:M142)</f>
        <v>0</v>
      </c>
      <c r="N143">
        <f>SUM(N141:N142)</f>
        <v>0.18935280000000002</v>
      </c>
      <c r="O143">
        <f>SUM(O141:O142)</f>
        <v>0.772559424</v>
      </c>
      <c r="P143">
        <f>SUM(P141:P142)</f>
        <v>0.78801061248</v>
      </c>
      <c r="Q143">
        <f>SUM(Q141:Q142)</f>
        <v>0.8037708247296</v>
      </c>
      <c r="R143">
        <f>SUM(R141:R142)</f>
        <v>0.8198462412241921</v>
      </c>
    </row>
    <row r="144">
      <c r="J144" t="str">
        <v>AI COGS Non-employee Costs</v>
      </c>
      <c r="M144">
        <f>M145-M143</f>
        <v>0</v>
      </c>
      <c r="N144">
        <f>N145-N143</f>
        <v>-0.010352800000000023</v>
      </c>
      <c r="O144">
        <f>O145-O143</f>
        <v>-0.17425942400000016</v>
      </c>
      <c r="P144">
        <f>P145-P143</f>
        <v>0.06028938751999979</v>
      </c>
      <c r="Q144">
        <f>Q145-Q143</f>
        <v>0.2945291752703998</v>
      </c>
      <c r="R144">
        <f>R145-R143</f>
        <v>0.5284537587758077</v>
      </c>
    </row>
    <row r="145">
      <c r="J145" t="str">
        <v>AI COGS Total</v>
      </c>
      <c r="M145">
        <v>0</v>
      </c>
      <c r="N145">
        <v>0.179</v>
      </c>
      <c r="O145">
        <f>O147*(1-O146)</f>
        <v>0.5982999999999998</v>
      </c>
      <c r="P145">
        <f>P147*(1-P146)</f>
        <v>0.8482999999999998</v>
      </c>
      <c r="Q145">
        <f>Q147*(1-Q146)</f>
        <v>1.0982999999999998</v>
      </c>
      <c r="R145">
        <f>R147*(1-R146)</f>
        <v>1.3482999999999998</v>
      </c>
    </row>
    <row r="146">
      <c r="J146" t="str">
        <v>AI GM.</v>
      </c>
      <c r="M146">
        <f>(M147-M145)/M147</f>
        <v>1</v>
      </c>
      <c r="N146">
        <f>(N147-N145)/N147</f>
        <v>0.9486075222509331</v>
      </c>
      <c r="O146">
        <v>0.9</v>
      </c>
      <c r="P146">
        <v>0.9</v>
      </c>
      <c r="Q146">
        <v>0.9</v>
      </c>
      <c r="R146">
        <v>0.9</v>
      </c>
    </row>
    <row r="147">
      <c r="J147" t="str">
        <v>AI Rev.</v>
      </c>
      <c r="M147">
        <f>'Company Name Rev Build'!K51/1000</f>
        <v>0.798</v>
      </c>
      <c r="N147">
        <f>'Company Name Rev Build'!O51/1000</f>
        <v>3.483</v>
      </c>
      <c r="O147">
        <f>'Company Name Rev Build'!S51/1000</f>
        <v>5.983</v>
      </c>
      <c r="P147">
        <f>'Company Name Rev Build'!W51/1000</f>
        <v>8.483</v>
      </c>
      <c r="Q147">
        <f>'Company Name Rev Build'!AA51/1000</f>
        <v>10.983</v>
      </c>
      <c r="R147">
        <f>'Company Name Rev Build'!AE51/1000</f>
        <v>13.483</v>
      </c>
    </row>
    <row r="149">
      <c r="C149">
        <v>87857</v>
      </c>
      <c r="D149">
        <f>C149*(1+D2)</f>
        <v>109821.25</v>
      </c>
      <c r="J149" t="str">
        <v>[Acquisition] - Customer Support Headcount</v>
      </c>
      <c r="L149">
        <v>0</v>
      </c>
      <c r="M149">
        <v>0</v>
      </c>
      <c r="N149">
        <v>6</v>
      </c>
      <c r="O149">
        <v>4</v>
      </c>
      <c r="P149">
        <v>4</v>
      </c>
      <c r="Q149">
        <v>4</v>
      </c>
      <c r="R149">
        <v>4</v>
      </c>
    </row>
    <row r="151">
      <c r="J151" t="str">
        <v>[Acquisition] - Customer Support</v>
      </c>
      <c r="L151">
        <f>$D149*L149/10^6*L$2</f>
        <v>0</v>
      </c>
      <c r="M151">
        <f>$D149*M149/10^6*M$2</f>
        <v>0</v>
      </c>
      <c r="N151">
        <f>$D149*N149/10^6*N$2</f>
        <v>0.685548171</v>
      </c>
      <c r="O151">
        <f>$D149*O149/10^6*O$2</f>
        <v>0.46617275627999993</v>
      </c>
      <c r="P151">
        <f>$D149*P149/10^6*P$2</f>
        <v>0.47549621140559994</v>
      </c>
      <c r="Q151">
        <f>$D149*Q149/10^6*Q$2</f>
        <v>0.485006135633712</v>
      </c>
      <c r="R151">
        <f>$D149*R149/10^6*R$2</f>
        <v>0.49470625834638626</v>
      </c>
    </row>
    <row r="152">
      <c r="D152">
        <v>1</v>
      </c>
      <c r="E152">
        <v>1</v>
      </c>
      <c r="F152">
        <v>1</v>
      </c>
      <c r="G152">
        <v>1</v>
      </c>
      <c r="J152" t="str">
        <v>Bonus</v>
      </c>
      <c r="L152">
        <f>$D149/12*D152*L149*L$2/10^6</f>
        <v>0</v>
      </c>
      <c r="M152">
        <f>$D149/12*E152*M149*M$2/10^6</f>
        <v>0</v>
      </c>
      <c r="N152">
        <f>$D149/12*F152*N149*N$2/10^6</f>
        <v>0.05712901425</v>
      </c>
      <c r="O152">
        <f>$D149/12*$G$152*O149*O$2/10^6</f>
        <v>0.03884772969</v>
      </c>
      <c r="P152">
        <f>$D149/12*$G$152*P149*P$2/10^6</f>
        <v>0.0396246842838</v>
      </c>
      <c r="Q152">
        <f>$D149/12*$G$152*Q149*Q$2/10^6</f>
        <v>0.040417177969476005</v>
      </c>
      <c r="R152">
        <f>$D149/12*$G$152*R149*R$2/10^6</f>
        <v>0.04122552152886552</v>
      </c>
    </row>
    <row r="153">
      <c r="J153" t="str">
        <v>[Acquisition] - Customer Support Compensation</v>
      </c>
      <c r="L153">
        <f>SUM(L151:L152)</f>
        <v>0</v>
      </c>
      <c r="M153">
        <f>SUM(M151:M152)</f>
        <v>0</v>
      </c>
      <c r="N153">
        <f>SUM(N151:N152)</f>
        <v>0.74267718525</v>
      </c>
      <c r="O153">
        <f>SUM(O151:O152)</f>
        <v>0.5050204859699999</v>
      </c>
      <c r="P153">
        <f>SUM(P151:P152)</f>
        <v>0.5151208956893999</v>
      </c>
      <c r="Q153">
        <f>SUM(Q151:Q152)</f>
        <v>0.525423313603188</v>
      </c>
      <c r="R153">
        <f>SUM(R151:R152)</f>
        <v>0.5359317798752518</v>
      </c>
    </row>
    <row r="154">
      <c r="J154" t="str">
        <v>[Acquisition] Non-employee Costs</v>
      </c>
      <c r="M154">
        <f>M155-M153</f>
        <v>0</v>
      </c>
      <c r="N154">
        <f>N155-N153</f>
        <v>1.64332281475</v>
      </c>
      <c r="O154">
        <f>O155-O153</f>
        <v>2.1920030312236305</v>
      </c>
      <c r="P154">
        <f>P155-P153</f>
        <v>2.3746008421365863</v>
      </c>
      <c r="Q154">
        <f>Q155-Q153</f>
        <v>2.4218960538096894</v>
      </c>
      <c r="R154">
        <f>R155-R153</f>
        <v>2.3149375256636344</v>
      </c>
    </row>
    <row r="155">
      <c r="J155" t="str">
        <v>[Acquisition] COGS Total</v>
      </c>
      <c r="M155">
        <v>0</v>
      </c>
      <c r="N155">
        <v>2.386</v>
      </c>
      <c r="O155">
        <f>O157*(1-O156)</f>
        <v>2.6970235171936303</v>
      </c>
      <c r="P155">
        <f>P157*(1-P156)</f>
        <v>2.8897217378259863</v>
      </c>
      <c r="Q155">
        <f>Q157*(1-Q156)</f>
        <v>2.9473193674128773</v>
      </c>
      <c r="R155">
        <f>R157*(1-R156)</f>
        <v>2.850869305538886</v>
      </c>
    </row>
    <row r="156">
      <c r="D156" t="str">
        <v>GM. Improvement</v>
      </c>
      <c r="E156">
        <v>0.1</v>
      </c>
      <c r="J156" t="str">
        <v>[Acquisition] GM.</v>
      </c>
      <c r="M156">
        <f>IFERROR((M157-M155)/M157,0)</f>
        <v>0</v>
      </c>
      <c r="N156">
        <f>(N157-N155)/N157</f>
        <v>0.4493422570966997</v>
      </c>
      <c r="O156">
        <f>N156*(1+$E$182)</f>
        <v>0.49427648280636977</v>
      </c>
      <c r="P156">
        <f>O156*(1+$E$182)</f>
        <v>0.5437041310870068</v>
      </c>
      <c r="Q156">
        <f>P156*(1+$E$182)</f>
        <v>0.5980745441957075</v>
      </c>
      <c r="R156">
        <f>Q156*(1+$E$182)</f>
        <v>0.6578819986152783</v>
      </c>
    </row>
    <row r="157">
      <c r="J157" t="str">
        <v>[Acquisition] Rev.</v>
      </c>
      <c r="M157">
        <f>'Company Name Rev Build'!K53/1000</f>
        <v>0</v>
      </c>
      <c r="N157">
        <f>'Company Name Rev Build'!O53/1000</f>
        <v>4.333</v>
      </c>
      <c r="O157">
        <f>'Company Name Rev Build'!S53/1000</f>
        <v>5.333</v>
      </c>
      <c r="P157">
        <f>'Company Name Rev Build'!W53/1000</f>
        <v>6.333</v>
      </c>
      <c r="Q157">
        <f>'Company Name Rev Build'!AA53/1000</f>
        <v>7.333</v>
      </c>
      <c r="R157">
        <f>'Company Name Rev Build'!AE53/1000</f>
        <v>8.333</v>
      </c>
    </row>
    <row r="159">
      <c r="C159">
        <f>D159/(1+$D$2)</f>
        <v>106370.4</v>
      </c>
      <c r="D159">
        <v>132963</v>
      </c>
      <c r="J159" t="str">
        <v>Product - Customer Support Headcount</v>
      </c>
      <c r="L159">
        <v>2</v>
      </c>
      <c r="M159">
        <v>3</v>
      </c>
      <c r="N159">
        <v>4</v>
      </c>
      <c r="O159">
        <v>4</v>
      </c>
      <c r="P159">
        <v>4</v>
      </c>
      <c r="Q159">
        <v>4</v>
      </c>
      <c r="R159">
        <v>4</v>
      </c>
    </row>
    <row r="161">
      <c r="J161" t="str">
        <v>Product - Customer Support Salary</v>
      </c>
      <c r="L161">
        <f>$D159*L159/10^6*L$2</f>
        <v>0.265926</v>
      </c>
      <c r="M161">
        <f>$D159*M159/10^6*M$2</f>
        <v>0.40686678</v>
      </c>
      <c r="N161">
        <f>$D159*N159/10^6*N$2</f>
        <v>0.5533388208</v>
      </c>
      <c r="O161">
        <f>$D159*O159/10^6*O$2</f>
        <v>0.5644055972159999</v>
      </c>
      <c r="P161">
        <f>$D159*P159/10^6*P$2</f>
        <v>0.57569370916032</v>
      </c>
      <c r="Q161">
        <f>$D159*Q159/10^6*Q$2</f>
        <v>0.5872075833435264</v>
      </c>
      <c r="R161">
        <f>$D159*R159/10^6*R$2</f>
        <v>0.598951735010397</v>
      </c>
    </row>
    <row r="162">
      <c r="D162">
        <v>1</v>
      </c>
      <c r="E162">
        <v>1</v>
      </c>
      <c r="F162">
        <v>1</v>
      </c>
      <c r="G162">
        <v>1</v>
      </c>
      <c r="J162" t="str">
        <v>Bonus</v>
      </c>
      <c r="L162">
        <f>$D159/12*D162*L159*L$2/10^6</f>
        <v>0.0221605</v>
      </c>
      <c r="M162">
        <f>$D159/12*E162*M159*M$2/10^6</f>
        <v>0.033905565000000006</v>
      </c>
      <c r="N162">
        <f>$D159/12*F162*N159*N$2/10^6</f>
        <v>0.0461115684</v>
      </c>
      <c r="O162">
        <f>$D159/12*$G$162*O159*O$2/10^6</f>
        <v>0.047033799768</v>
      </c>
      <c r="P162">
        <f>$D159/12*$G$162*P159*P$2/10^6</f>
        <v>0.04797447576336</v>
      </c>
      <c r="Q162">
        <f>$D159/12*$G$162*Q159*Q$2/10^6</f>
        <v>0.0489339652786272</v>
      </c>
      <c r="R162">
        <f>$D159/12*$G$162*R159*R$2/10^6</f>
        <v>0.04991264458419975</v>
      </c>
    </row>
    <row r="163">
      <c r="J163" t="str">
        <v>Product - Customer Support Compensation</v>
      </c>
      <c r="L163">
        <f>SUM(L161:L162)</f>
        <v>0.2880865</v>
      </c>
      <c r="M163">
        <f>SUM(M161:M162)</f>
        <v>0.440772345</v>
      </c>
      <c r="N163">
        <f>SUM(N161:N162)</f>
        <v>0.5994503891999999</v>
      </c>
      <c r="O163">
        <f>SUM(O161:O162)</f>
        <v>0.611439396984</v>
      </c>
      <c r="P163">
        <f>SUM(P161:P162)</f>
        <v>0.62366818492368</v>
      </c>
      <c r="Q163">
        <f>SUM(Q161:Q162)</f>
        <v>0.6361415486221536</v>
      </c>
      <c r="R163">
        <f>SUM(R161:R162)</f>
        <v>0.6488643795945968</v>
      </c>
    </row>
    <row r="165">
      <c r="C165">
        <f>D165/(1+$D$2)</f>
        <v>118950.4</v>
      </c>
      <c r="D165">
        <v>148688</v>
      </c>
      <c r="J165" t="str">
        <v>Product - Operations Headcount</v>
      </c>
      <c r="L165">
        <v>2</v>
      </c>
      <c r="M165">
        <v>9</v>
      </c>
      <c r="N165">
        <v>16</v>
      </c>
      <c r="O165">
        <f>N165</f>
        <v>16</v>
      </c>
      <c r="P165">
        <f>O165</f>
        <v>16</v>
      </c>
      <c r="Q165">
        <f>P165</f>
        <v>16</v>
      </c>
      <c r="R165">
        <f>Q165</f>
        <v>16</v>
      </c>
    </row>
    <row r="167">
      <c r="J167" t="str">
        <v>Product - Operations Salary</v>
      </c>
      <c r="L167">
        <f>$D165*L165/10^6*L$2</f>
        <v>0.297376</v>
      </c>
      <c r="M167">
        <f>$D165*M165/10^6*M$2</f>
        <v>1.3649558400000001</v>
      </c>
      <c r="N167">
        <f>$D165*N165/10^6*N$2</f>
        <v>2.4751199232</v>
      </c>
      <c r="O167">
        <f>$D165*O165/10^6*O$2</f>
        <v>2.524622321664</v>
      </c>
      <c r="P167">
        <f>$D165*P165/10^6*P$2</f>
        <v>2.5751147680972797</v>
      </c>
      <c r="Q167">
        <f>$D165*Q165/10^6*Q$2</f>
        <v>2.6266170634592254</v>
      </c>
      <c r="R167">
        <f>$D165*R165/10^6*R$2</f>
        <v>2.67914940472841</v>
      </c>
    </row>
    <row r="168">
      <c r="D168">
        <v>1</v>
      </c>
      <c r="E168">
        <v>1</v>
      </c>
      <c r="F168">
        <v>1</v>
      </c>
      <c r="G168">
        <v>1</v>
      </c>
      <c r="J168" t="str">
        <v>Bonus</v>
      </c>
      <c r="L168">
        <f>$D165/12*D168*L165*L$2/10^6</f>
        <v>0.024781333333333332</v>
      </c>
      <c r="M168">
        <f>$D165/12*E168*M165*M$2/10^6</f>
        <v>0.11374632000000001</v>
      </c>
      <c r="N168">
        <f>$D165/12*F168*N165*N$2/10^6</f>
        <v>0.2062599936</v>
      </c>
      <c r="O168">
        <f>$D165/12*$G$168*O165*O$2/10^6</f>
        <v>0.210385193472</v>
      </c>
      <c r="P168">
        <f>$D165/12*$G$168*P165*P$2/10^6</f>
        <v>0.21459289734144</v>
      </c>
      <c r="Q168">
        <f>$D165/12*$G$168*Q165*Q$2/10^6</f>
        <v>0.21888475528826878</v>
      </c>
      <c r="R168">
        <f>$D165/12*$G$168*R165*R$2/10^6</f>
        <v>0.2232624503940342</v>
      </c>
    </row>
    <row r="169">
      <c r="J169" t="str">
        <v>Product - Operations Compensation</v>
      </c>
      <c r="L169">
        <f>SUM(L167:L168)</f>
        <v>0.3221573333333333</v>
      </c>
      <c r="M169">
        <f>SUM(M167:M168)</f>
        <v>1.47870216</v>
      </c>
      <c r="N169">
        <f>SUM(N167:N168)</f>
        <v>2.6813799167999997</v>
      </c>
      <c r="O169">
        <f>SUM(O167:O168)</f>
        <v>2.7350075151359996</v>
      </c>
      <c r="P169">
        <f>SUM(P167:P168)</f>
        <v>2.7897076654387196</v>
      </c>
      <c r="Q169">
        <f>SUM(Q167:Q168)</f>
        <v>2.8455018187474943</v>
      </c>
      <c r="R169">
        <f>SUM(R167:R168)</f>
        <v>2.9024118551224443</v>
      </c>
    </row>
    <row r="171">
      <c r="E171">
        <v>30</v>
      </c>
      <c r="J171" t="str">
        <v>[Division 1] Image Read fee per read</v>
      </c>
      <c r="M171">
        <v>0</v>
      </c>
      <c r="N171">
        <f>(AVERAGE('Company Name Rev Build'!M7,'Company Name Rev Build'!I7)*('Company Name Rev Build'!M18*'Company Name Rev Build'!M19)*12*'Company Name COGS+OPEX Build'!$E$171)/1000000</f>
        <v>1.6200647999999995</v>
      </c>
      <c r="O171">
        <f>(AVERAGE('Company Name Rev Build'!M7,'Company Name Rev Build'!Q7)*('Company Name Rev Build'!Q18*'Company Name Rev Build'!Q19)*12*'Company Name COGS+OPEX Build'!$E$171)/1000000</f>
        <v>4.8600648</v>
      </c>
      <c r="P171">
        <f>(AVERAGE('Company Name Rev Build'!Q7,'Company Name Rev Build'!U7)*('Company Name Rev Build'!U18*'Company Name Rev Build'!U19)*12*'Company Name COGS+OPEX Build'!$E$171)/1000000</f>
        <v>8.1000648</v>
      </c>
      <c r="Q171">
        <f>(AVERAGE('Company Name Rev Build'!U7,'Company Name Rev Build'!Y7)*('Company Name Rev Build'!Y18*'Company Name Rev Build'!Y19)*12*'Company Name COGS+OPEX Build'!$E$171)/1000000</f>
        <v>11.3400648</v>
      </c>
      <c r="R171">
        <f>(AVERAGE('Company Name Rev Build'!Y7,'Company Name Rev Build'!AC7)*('Company Name Rev Build'!AC18*'Company Name Rev Build'!AC19)*12*'Company Name COGS+OPEX Build'!$E$171)/1000000</f>
        <v>14.5800648</v>
      </c>
    </row>
    <row r="172">
      <c r="D172">
        <v>0.67</v>
      </c>
      <c r="E172">
        <v>20000</v>
      </c>
      <c r="J172" t="str">
        <v>[Division 1] Buildout (Construction, shielding, Physicist)</v>
      </c>
      <c r="M172">
        <v>0</v>
      </c>
      <c r="N172">
        <f>$E$172*'Company Name Rev Build'!M6*'Company Name COGS+OPEX Build'!$D$172/1000000</f>
        <v>0.67</v>
      </c>
      <c r="O172">
        <f>$E$172*'Company Name Rev Build'!Q6*'Company Name COGS+OPEX Build'!$D$172/1000000</f>
        <v>0.67</v>
      </c>
      <c r="P172">
        <f>$E$172*'Company Name Rev Build'!U6*'Company Name COGS+OPEX Build'!$D$172/1000000</f>
        <v>0.67</v>
      </c>
      <c r="Q172">
        <f>$E$172*'Company Name Rev Build'!Y6*'Company Name COGS+OPEX Build'!$D$172/1000000</f>
        <v>0.67</v>
      </c>
      <c r="R172">
        <f>$E$172*'Company Name Rev Build'!AC6*'Company Name COGS+OPEX Build'!$D$172/1000000</f>
        <v>0.67</v>
      </c>
    </row>
    <row r="173">
      <c r="E173">
        <v>0.01</v>
      </c>
      <c r="J173" t="str">
        <v>Installations of [Company Name] Subscription Revenue Systems</v>
      </c>
      <c r="M173">
        <v>0.1</v>
      </c>
      <c r="N173">
        <f>('Company Name Rev Build'!O23+'Company Name Rev Build'!O31)*$E$173/1000</f>
        <v>0.11389360799999998</v>
      </c>
      <c r="O173">
        <f>('Company Name Rev Build'!S23+'Company Name Rev Build'!S31)*$E$173/1000</f>
        <v>0.390831408</v>
      </c>
      <c r="P173">
        <f>('Company Name Rev Build'!W23+'Company Name Rev Build'!W31)*$E$173/1000</f>
        <v>0.6734465279999999</v>
      </c>
      <c r="Q173">
        <f>('Company Name Rev Build'!AA23+'Company Name Rev Build'!AA31)*$E$173/1000</f>
        <v>0.979632048</v>
      </c>
      <c r="R173">
        <f>('Company Name Rev Build'!AE23+'Company Name Rev Build'!AE31)*$E$173/1000</f>
        <v>1.309387968</v>
      </c>
    </row>
    <row r="174">
      <c r="E174">
        <v>8500</v>
      </c>
      <c r="J174" t="str">
        <v>Installations of [Company Name] Capex Systems</v>
      </c>
      <c r="M174">
        <v>0.8</v>
      </c>
      <c r="N174">
        <f>$E$174*'Company Name Rev Build'!O12/1000000</f>
        <v>1.6915</v>
      </c>
      <c r="O174">
        <f>$E$174*'Company Name Rev Build'!S12/1000000</f>
        <v>2.1165</v>
      </c>
      <c r="P174">
        <f>$E$174*'Company Name Rev Build'!W12/1000000</f>
        <v>2.5415</v>
      </c>
      <c r="Q174">
        <f>$E$174*'Company Name Rev Build'!AA12/1000000</f>
        <v>2.9665</v>
      </c>
      <c r="R174">
        <f>$E$174*'Company Name Rev Build'!AE12/1000000</f>
        <v>3.3915</v>
      </c>
    </row>
    <row r="175">
      <c r="D175" t="str">
        <v>2026 Cost</v>
      </c>
      <c r="E175" t="str">
        <v>2027 &amp; Beyond Cost</v>
      </c>
      <c r="J175" t="str">
        <v>Depreciation of [Company Name] Subscription Revenue Systems</v>
      </c>
      <c r="M175">
        <v>0.159</v>
      </c>
      <c r="N175">
        <f>('Company Name Rev Build'!I10*87000/7+AVERAGE('Company Name Rev Build'!M9,'Company Name Rev Build'!M6)*'Company Name COGS+OPEX Build'!D176/7)/1000000</f>
        <v>0.8440714285714286</v>
      </c>
      <c r="O175">
        <f>('Company Name Rev Build'!M10*D176/7+AVERAGE('Company Name Rev Build'!Q9,'Company Name Rev Build'!Q6)*E176/7)/1000000</f>
        <v>1.6622142857142856</v>
      </c>
      <c r="P175">
        <f>('Company Name Rev Build'!Q10*E176/7+AVERAGE('Company Name Rev Build'!U9,'Company Name Rev Build'!U6)*E176/7)/1000000</f>
        <v>2.5542857142857147</v>
      </c>
      <c r="Q175">
        <f>('Company Name Rev Build'!U10*E176/7+AVERAGE('Company Name Rev Build'!Y9,'Company Name Rev Build'!Y6)*E176/7)/1000000</f>
        <v>3.8828571428571426</v>
      </c>
      <c r="R175">
        <f>('Company Name Rev Build'!Y10*E176/7+AVERAGE('Company Name Rev Build'!AC9,'Company Name Rev Build'!AC6)*E176/7)/1000000</f>
        <v>5.468571428571429</v>
      </c>
    </row>
    <row r="176">
      <c r="D176">
        <f>AVERAGE(87000,60000)</f>
        <v>73500</v>
      </c>
      <c r="E176">
        <v>60000</v>
      </c>
      <c r="J176" t="str">
        <v>COGS from [Company Name] Capex Systems</v>
      </c>
      <c r="M176">
        <v>0.312</v>
      </c>
      <c r="N176">
        <f>$D$176*'Company Name Rev Build'!O12/1000000</f>
        <v>14.6265</v>
      </c>
      <c r="O176">
        <f>$E$176*'Company Name Rev Build'!S12/1000000</f>
        <v>14.94</v>
      </c>
      <c r="P176">
        <f>$E$176*'Company Name Rev Build'!W12/1000000</f>
        <v>17.94</v>
      </c>
      <c r="Q176">
        <f>$E$176*'Company Name Rev Build'!AA12/1000000</f>
        <v>20.94</v>
      </c>
      <c r="R176">
        <f>$E$176*'Company Name Rev Build'!AE12/1000000</f>
        <v>23.94</v>
      </c>
    </row>
    <row r="177">
      <c r="E177">
        <v>0.03</v>
      </c>
      <c r="J177" t="str">
        <v>COGS from System Maintenance &amp; Service</v>
      </c>
      <c r="M177">
        <f>$E$177*M183</f>
        <v>0.014907479999999997</v>
      </c>
      <c r="N177">
        <f>$E$177*N183</f>
        <v>1.1360808239999998</v>
      </c>
      <c r="O177">
        <f>$E$177*O183</f>
        <v>2.251294224</v>
      </c>
      <c r="P177">
        <f>$E$177*P183</f>
        <v>3.3831495840000003</v>
      </c>
      <c r="Q177">
        <f>$E$177*Q183</f>
        <v>4.609116144</v>
      </c>
      <c r="R177">
        <f>$E$177*R183</f>
        <v>5.929193904</v>
      </c>
    </row>
    <row r="178">
      <c r="E178">
        <v>0.03</v>
      </c>
      <c r="J178" t="str">
        <v>COGS from Shipping</v>
      </c>
      <c r="M178">
        <v>0</v>
      </c>
      <c r="N178">
        <f>N183*$E$178</f>
        <v>1.1360808239999998</v>
      </c>
      <c r="O178">
        <f>O183*$E$178</f>
        <v>2.251294224</v>
      </c>
      <c r="P178">
        <f>P183*$E$178</f>
        <v>3.3831495840000003</v>
      </c>
      <c r="Q178">
        <f>Q183*$E$178</f>
        <v>4.609116144</v>
      </c>
      <c r="R178">
        <f>R183*$E$178</f>
        <v>5.929193904</v>
      </c>
    </row>
    <row r="179">
      <c r="D179" t="str">
        <v>Other g.</v>
      </c>
      <c r="E179">
        <v>0.2</v>
      </c>
      <c r="J179" t="str">
        <v>SW, Storage, Overhead</v>
      </c>
      <c r="M179">
        <v>0</v>
      </c>
      <c r="N179">
        <v>0.5</v>
      </c>
      <c r="O179">
        <f>N179*(1+$E$179)</f>
        <v>0.6</v>
      </c>
      <c r="P179">
        <f>O179*(1+$E$179)</f>
        <v>0.72</v>
      </c>
      <c r="Q179">
        <f>P179*(1+$E$179)</f>
        <v>0.864</v>
      </c>
      <c r="R179">
        <f>Q179*(1+$E$179)</f>
        <v>1.0368</v>
      </c>
    </row>
    <row r="180">
      <c r="J180" t="str">
        <v>Other</v>
      </c>
    </row>
    <row r="181">
      <c r="J181" t="str">
        <v>Product COGS Total</v>
      </c>
      <c r="M181">
        <v>3.295</v>
      </c>
      <c r="N181">
        <v>25.66</v>
      </c>
      <c r="O181">
        <f>SUM(O171:O180,O169,O163)</f>
        <v>33.08864585383428</v>
      </c>
      <c r="P181">
        <f>SUM(P171:P180,P169,P163)</f>
        <v>43.37897206064812</v>
      </c>
      <c r="Q181">
        <f>SUM(Q171:Q180,Q169,Q163)</f>
        <v>54.34292964622679</v>
      </c>
      <c r="R181">
        <f>SUM(R171:R180,R169,R163)</f>
        <v>65.80598823928847</v>
      </c>
    </row>
    <row r="182">
      <c r="D182" t="str">
        <v>GM. Improvement</v>
      </c>
      <c r="E182">
        <v>0.1</v>
      </c>
      <c r="J182" t="str">
        <v>Product GM.</v>
      </c>
      <c r="M182">
        <f>(M183-M181)/M183</f>
        <v>-5.630899387421618</v>
      </c>
      <c r="N182">
        <f>(N183-N181)/N183</f>
        <v>0.3224073642140798</v>
      </c>
      <c r="O182">
        <f>(O183-O181)/O183</f>
        <v>0.559071681953985</v>
      </c>
      <c r="P182">
        <f>(P183-P181)/P183</f>
        <v>0.6153379773764555</v>
      </c>
      <c r="Q182">
        <f>(Q183-Q181)/Q183</f>
        <v>0.6462905601740888</v>
      </c>
      <c r="R182">
        <f>(R183-R181)/R183</f>
        <v>0.667040801980381</v>
      </c>
    </row>
    <row r="183">
      <c r="J183" t="str">
        <v>Product Rev.</v>
      </c>
      <c r="M183">
        <f>SUM('Company Name Rev Build'!K36,'Company Name Rev Build'!K39)/1000</f>
        <v>0.4969159999999999</v>
      </c>
      <c r="N183">
        <f>SUM('Company Name Rev Build'!O36,'Company Name Rev Build'!O39)/1000</f>
        <v>37.869360799999995</v>
      </c>
      <c r="O183">
        <f>SUM('Company Name Rev Build'!S36,'Company Name Rev Build'!S39)/1000</f>
        <v>75.0431408</v>
      </c>
      <c r="P183">
        <f>SUM('Company Name Rev Build'!W36,'Company Name Rev Build'!W39)/1000</f>
        <v>112.77165280000001</v>
      </c>
      <c r="Q183">
        <f>SUM('Company Name Rev Build'!AA36,'Company Name Rev Build'!AA39)/1000</f>
        <v>153.6372048</v>
      </c>
      <c r="R183">
        <f>SUM('Company Name Rev Build'!AE36,'Company Name Rev Build'!AE39)/1000</f>
        <v>197.6397968</v>
      </c>
    </row>
    <row r="185">
      <c r="C185">
        <f>D185/(1+$D$2)</f>
        <v>38000</v>
      </c>
      <c r="D185">
        <v>47500</v>
      </c>
      <c r="J185" t="str">
        <v>USARAD - Operations Headcount</v>
      </c>
      <c r="L185">
        <v>2</v>
      </c>
      <c r="M185">
        <v>11</v>
      </c>
      <c r="N185">
        <v>11</v>
      </c>
      <c r="O185">
        <v>11</v>
      </c>
      <c r="P185">
        <v>11</v>
      </c>
      <c r="Q185">
        <v>11</v>
      </c>
      <c r="R185">
        <v>11</v>
      </c>
    </row>
    <row r="187">
      <c r="J187" t="str">
        <v>USARAD - Operations Salary</v>
      </c>
      <c r="L187">
        <f>$D185*L185/10^6*L$2</f>
        <v>0.095</v>
      </c>
      <c r="M187">
        <f>$D185*M185/10^6*M$2</f>
        <v>0.5329499999999999</v>
      </c>
      <c r="N187">
        <f>$D185*N185/10^6*N$2</f>
        <v>0.543609</v>
      </c>
      <c r="O187">
        <f>$D185*O185/10^6*O$2</f>
        <v>0.5544811799999999</v>
      </c>
      <c r="P187">
        <f>$D185*P185/10^6*P$2</f>
        <v>0.5655708035999999</v>
      </c>
      <c r="Q187">
        <f>$D185*Q185/10^6*Q$2</f>
        <v>0.5768822196719999</v>
      </c>
      <c r="R187">
        <f>$D185*R185/10^6*R$2</f>
        <v>0.58841986406544</v>
      </c>
    </row>
    <row r="188">
      <c r="D188">
        <v>1</v>
      </c>
      <c r="E188">
        <v>1</v>
      </c>
      <c r="F188">
        <v>1</v>
      </c>
      <c r="G188">
        <v>1</v>
      </c>
      <c r="J188" t="str">
        <v>Bonus</v>
      </c>
      <c r="L188">
        <f>$D185/12*D188*L185*L$2/10^6</f>
        <v>0.007916666666666667</v>
      </c>
      <c r="M188">
        <f>$D185/12*E188*M185*M$2/10^6</f>
        <v>0.04441250000000001</v>
      </c>
      <c r="N188">
        <f>$D185/12*F188*N185*N$2/10^6</f>
        <v>0.04530075000000001</v>
      </c>
      <c r="O188">
        <f>$D185/12*$G$188*O185*O$2/10^6</f>
        <v>0.046206765</v>
      </c>
      <c r="P188">
        <f>$D185/12*$G$188*P185*P$2/10^6</f>
        <v>0.0471309003</v>
      </c>
      <c r="Q188">
        <f>$D185/12*$G$188*Q185*Q$2/10^6</f>
        <v>0.048073518306000006</v>
      </c>
      <c r="R188">
        <f>$D185/12*$G$188*R185*R$2/10^6</f>
        <v>0.04903498867212001</v>
      </c>
    </row>
    <row r="189">
      <c r="J189" t="str">
        <v>USARAD - Operations Compensation</v>
      </c>
      <c r="L189">
        <f>SUM(L187:L188)</f>
        <v>0.10291666666666667</v>
      </c>
      <c r="M189">
        <f>SUM(M187:M188)</f>
        <v>0.5773624999999999</v>
      </c>
      <c r="N189">
        <f>SUM(N187:N188)</f>
        <v>0.58890975</v>
      </c>
      <c r="O189">
        <f>SUM(O187:O188)</f>
        <v>0.6006879449999999</v>
      </c>
      <c r="P189">
        <f>SUM(P187:P188)</f>
        <v>0.6127017038999999</v>
      </c>
      <c r="Q189">
        <f>SUM(Q187:Q188)</f>
        <v>0.624955737978</v>
      </c>
      <c r="R189">
        <f>SUM(R187:R188)</f>
        <v>0.63745485273756</v>
      </c>
    </row>
    <row r="190">
      <c r="J190" t="str">
        <v>USARAD Non-employee Costs</v>
      </c>
      <c r="M190">
        <f>M191-M189</f>
        <v>6.5636375000000005</v>
      </c>
      <c r="N190">
        <f>N191-N189</f>
        <v>7.93309025</v>
      </c>
      <c r="O190">
        <f>O191-O189</f>
        <v>8.517455044031799</v>
      </c>
      <c r="P190">
        <f>P191-P189</f>
        <v>9.156887023266023</v>
      </c>
      <c r="Q190">
        <f>Q191-Q189</f>
        <v>9.917134939654195</v>
      </c>
      <c r="R190">
        <f>R191-R189</f>
        <v>10.910329009973168</v>
      </c>
    </row>
    <row r="191">
      <c r="J191" t="str">
        <v>USARAD COGS Total</v>
      </c>
      <c r="M191">
        <v>7.141</v>
      </c>
      <c r="N191">
        <v>8.522</v>
      </c>
      <c r="O191">
        <f>O193*(1-O192)</f>
        <v>9.1181429890318</v>
      </c>
      <c r="P191">
        <f>P193*(1-P192)</f>
        <v>9.769588727166022</v>
      </c>
      <c r="Q191">
        <f>Q193*(1-Q192)</f>
        <v>10.542090677632196</v>
      </c>
      <c r="R191">
        <f>R193*(1-R192)</f>
        <v>11.547783862710729</v>
      </c>
    </row>
    <row r="192">
      <c r="D192" t="str">
        <v>GM. Improvement</v>
      </c>
      <c r="E192">
        <v>0.05</v>
      </c>
      <c r="J192" t="str">
        <v>USARAD GM.</v>
      </c>
      <c r="M192">
        <f>(M193-M191)/M193</f>
        <v>0.32197113558678314</v>
      </c>
      <c r="N192">
        <f>(N193-N191)/N193</f>
        <v>0.3275467529393198</v>
      </c>
      <c r="O192">
        <f>N192*(1+$E$192)</f>
        <v>0.3439240905862858</v>
      </c>
      <c r="P192">
        <f>O192*(1+$E$192)</f>
        <v>0.3611202951156001</v>
      </c>
      <c r="Q192">
        <f>P192*(1+$E$192)</f>
        <v>0.3791763098713801</v>
      </c>
      <c r="R192">
        <f>Q192*(1+$E$192)</f>
        <v>0.39813512536494916</v>
      </c>
    </row>
    <row r="193">
      <c r="J193" t="str">
        <v>USARAD Rev.</v>
      </c>
      <c r="M193">
        <f>SUM('Company Name Rev Build'!K55,'Company Name Rev Build'!K45)/1000</f>
        <v>10.532</v>
      </c>
      <c r="N193">
        <f>SUM('Company Name Rev Build'!O45,'Company Name Rev Build'!O55)/1000</f>
        <v>12.673</v>
      </c>
      <c r="O193">
        <f>SUM('Company Name Rev Build'!S45,'Company Name Rev Build'!S55)/1000</f>
        <v>13.898</v>
      </c>
      <c r="P193">
        <f>SUM('Company Name Rev Build'!W45,'Company Name Rev Build'!W55)/1000</f>
        <v>15.29175</v>
      </c>
      <c r="Q193">
        <f>SUM('Company Name Rev Build'!AA45,'Company Name Rev Build'!AA55)/1000</f>
        <v>16.9808125</v>
      </c>
      <c r="R193">
        <f>SUM('Company Name Rev Build'!AE45,'Company Name Rev Build'!AE55)/1000</f>
        <v>19.186671875</v>
      </c>
    </row>
    <row r="195">
      <c r="J195" t="str">
        <v>Total COGS Non-employee Costs</v>
      </c>
      <c r="L195">
        <f>L190+SUM(L171:L180)+L154+L144</f>
        <v>0</v>
      </c>
      <c r="M195">
        <f>M190+SUM(M171:M180)+M154+M144</f>
        <v>7.949544980000001</v>
      </c>
      <c r="N195">
        <f>N190+SUM(N171:N180)+N154+N144</f>
        <v>31.90425174932143</v>
      </c>
      <c r="O195">
        <f>O190+SUM(O171:O180)+O154+O144</f>
        <v>40.27739759296971</v>
      </c>
      <c r="P195">
        <f>P190+SUM(P171:P180)+P154+P144</f>
        <v>51.55737346320833</v>
      </c>
      <c r="Q195">
        <f>Q190+SUM(Q171:Q180)+Q154+Q144</f>
        <v>63.49484644759143</v>
      </c>
      <c r="R195">
        <f>R190+SUM(R171:R180)+R154+R144</f>
        <v>76.00843229898405</v>
      </c>
    </row>
    <row r="197">
      <c r="J197" t="str">
        <v>Total COGS Salary Costs</v>
      </c>
      <c r="L197">
        <f>L189+L169+L163+L143+L153</f>
        <v>0.7131605</v>
      </c>
      <c r="M197">
        <f>M189+M169+M163+M143+M153</f>
        <v>2.496837005</v>
      </c>
      <c r="N197">
        <f>N189+N169+N163+N143+N153</f>
        <v>4.801770041249999</v>
      </c>
      <c r="O197">
        <f>O189+O169+O163+O143+O153</f>
        <v>5.224714767089999</v>
      </c>
      <c r="P197">
        <f>P189+P169+P163+P143+P153</f>
        <v>5.329209062431799</v>
      </c>
      <c r="Q197">
        <f>Q189+Q169+Q163+Q143+Q153</f>
        <v>5.435793243680436</v>
      </c>
      <c r="R197">
        <f>R189+R169+R163+R143+R153</f>
        <v>5.5445091085540446</v>
      </c>
    </row>
    <row r="199">
      <c r="D199" t="str">
        <v>Increase</v>
      </c>
      <c r="E199">
        <v>0.05</v>
      </c>
      <c r="J199" t="str">
        <v>Stock Based Compensation</v>
      </c>
      <c r="L199">
        <v>0.212</v>
      </c>
      <c r="M199">
        <f>L199*(1+$E$199)</f>
        <v>0.2226</v>
      </c>
      <c r="N199">
        <f>M199*(1+$E$199)</f>
        <v>0.23373</v>
      </c>
      <c r="O199">
        <f>N199*(1+$E$199)</f>
        <v>0.2454165</v>
      </c>
      <c r="P199">
        <f>O199*(1+$E$199)</f>
        <v>0.257687325</v>
      </c>
      <c r="Q199">
        <f>P199*(1+$E$199)</f>
        <v>0.27057169125</v>
      </c>
      <c r="R199">
        <f>Q199*(1+$E$199)</f>
        <v>0.2841002758125</v>
      </c>
    </row>
    <row r="200">
      <c r="D200" t="str">
        <v>Increase</v>
      </c>
      <c r="E200">
        <v>0.05</v>
      </c>
      <c r="J200" t="str">
        <v>Other</v>
      </c>
      <c r="L200">
        <v>0.3</v>
      </c>
      <c r="M200">
        <f>M205-M199-M191-M181-M155-M145</f>
        <v>0.8434000000000008</v>
      </c>
      <c r="N200">
        <f>N205-N199-N191-N181-N155-N145</f>
        <v>1.1482699999999977</v>
      </c>
      <c r="O200">
        <f>N200*(1+$E$200)</f>
        <v>1.2056834999999977</v>
      </c>
      <c r="P200">
        <f>O200*(1+$E$200)</f>
        <v>1.2659676749999975</v>
      </c>
      <c r="Q200">
        <f>P200*(1+$E$200)</f>
        <v>1.3292660587499974</v>
      </c>
      <c r="R200">
        <f>Q200*(1+$E$200)</f>
        <v>1.3957293616874973</v>
      </c>
    </row>
    <row r="201">
      <c r="J201" t="str">
        <v>Total COGS Other Costs</v>
      </c>
      <c r="L201">
        <f>SUM(L199:L200)</f>
        <v>0.512</v>
      </c>
      <c r="M201">
        <f>SUM(M199:M200)</f>
        <v>1.0660000000000007</v>
      </c>
      <c r="N201">
        <f>SUM(N199:N200)</f>
        <v>1.3819999999999977</v>
      </c>
      <c r="O201">
        <f>SUM(O199:O200)</f>
        <v>1.4510999999999976</v>
      </c>
      <c r="P201">
        <f>SUM(P199:P200)</f>
        <v>1.5236549999999975</v>
      </c>
      <c r="Q201">
        <f>SUM(Q199:Q200)</f>
        <v>1.5998377499999974</v>
      </c>
      <c r="R201">
        <f>SUM(R199:R200)</f>
        <v>1.6798296374999973</v>
      </c>
    </row>
    <row r="202">
      <c r="J202" t="str">
        <v>Stubbing for 2Q-4Q 2024</v>
      </c>
      <c r="L202">
        <f>L201*stub1h24</f>
        <v>0.384</v>
      </c>
    </row>
    <row r="203">
      <c r="J203" t="str">
        <v>1Q 2024</v>
      </c>
      <c r="L203">
        <v>0.083</v>
      </c>
    </row>
    <row r="204">
      <c r="J204" t="str">
        <v>Adjustment</v>
      </c>
    </row>
    <row r="205">
      <c r="J205" t="str">
        <v>Total COGS Expense</v>
      </c>
      <c r="L205">
        <f>L201+L197+L204+L195</f>
        <v>1.2251604999999999</v>
      </c>
      <c r="M205">
        <v>11.502</v>
      </c>
      <c r="N205">
        <v>38.129</v>
      </c>
      <c r="O205">
        <f>O201+O197+O195</f>
        <v>46.95321236005971</v>
      </c>
      <c r="P205">
        <f>P201+P197+P195</f>
        <v>58.41023752564013</v>
      </c>
      <c r="Q205">
        <f>Q201+Q197+Q195</f>
        <v>70.53047744127186</v>
      </c>
      <c r="R205">
        <f>R201+R197+R195</f>
        <v>83.23277104503809</v>
      </c>
    </row>
    <row r="207">
      <c r="J207" t="str">
        <v>Total COGS Headcount</v>
      </c>
      <c r="L207">
        <f>L139+L159+L165+L185+L149</f>
        <v>6</v>
      </c>
      <c r="M207">
        <f>M139+M159+M165+M185+M149</f>
        <v>23</v>
      </c>
      <c r="N207">
        <f>N139+N159+N165+N185+N149</f>
        <v>38</v>
      </c>
      <c r="O207">
        <f>O139+O159+O165+O185+O149</f>
        <v>39</v>
      </c>
      <c r="P207">
        <f>P139+P159+P165+P185+P149</f>
        <v>39</v>
      </c>
      <c r="Q207">
        <f>Q139+Q159+Q165+Q185+Q149</f>
        <v>39</v>
      </c>
      <c r="R207">
        <f>R139+R159+R165+R185+R149</f>
        <v>39</v>
      </c>
    </row>
    <row r="211">
      <c r="J211" t="str">
        <v>S&amp;M SBC per head</v>
      </c>
      <c r="L211">
        <f>L34/L11</f>
        <v>0.09733333333333333</v>
      </c>
      <c r="M211">
        <f>L211+$T$211</f>
        <v>0.09233333333333332</v>
      </c>
      <c r="N211">
        <f>M211+$T$211</f>
        <v>0.08733333333333332</v>
      </c>
      <c r="O211">
        <f>N211+$T$211</f>
        <v>0.08233333333333331</v>
      </c>
      <c r="P211">
        <f>O211+$T$211</f>
        <v>0.07733333333333331</v>
      </c>
      <c r="Q211">
        <f>P211+$T$211</f>
        <v>0.0723333333333333</v>
      </c>
      <c r="R211">
        <f>Q211+$T$211</f>
        <v>0.0673333333333333</v>
      </c>
      <c r="T211">
        <v>-0.005</v>
      </c>
    </row>
  </sheetData>
  <pageMargins left="0.7" right="0.7" top="0.75" bottom="0.75" header="0.3" footer="0.3"/>
  <ignoredErrors>
    <ignoredError numberStoredAsText="1" sqref="A1:AB216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T9"/>
  <sheetViews>
    <sheetView workbookViewId="0" rightToLeft="0"/>
  </sheetViews>
  <sheetData>
    <row r="1">
      <c r="A1" t="str">
        <v>Territory</v>
      </c>
      <c r="B1" t="str">
        <v>Units Quantity</v>
      </c>
      <c r="C1">
        <v>2026</v>
      </c>
      <c r="D1" t="str">
        <v>Weighted Price</v>
      </c>
      <c r="F1" t="str">
        <v>Units Quantity</v>
      </c>
      <c r="G1">
        <f>C1+1</f>
        <v>2027</v>
      </c>
      <c r="H1" t="str">
        <v>Weighted Price</v>
      </c>
      <c r="J1" t="str">
        <v>Units Quantity</v>
      </c>
      <c r="K1">
        <f>G1+1</f>
        <v>2028</v>
      </c>
      <c r="L1" t="str">
        <v>Weighted Price</v>
      </c>
      <c r="N1" t="str">
        <v>Units Quantity</v>
      </c>
      <c r="O1">
        <f>K1+1</f>
        <v>2029</v>
      </c>
      <c r="P1" t="str">
        <v>Weighted Price</v>
      </c>
      <c r="R1" t="str">
        <v>Units Quantity</v>
      </c>
      <c r="S1">
        <f>O1+1</f>
        <v>2030</v>
      </c>
      <c r="T1" t="str">
        <v>Weighted Price</v>
      </c>
    </row>
    <row r="2">
      <c r="A2" t="str">
        <v>Channel Partner</v>
      </c>
      <c r="B2">
        <v>121</v>
      </c>
      <c r="C2">
        <v>120000</v>
      </c>
      <c r="D2">
        <f>SUMPRODUCT(B2,C2)</f>
        <v>14520000</v>
      </c>
      <c r="F2">
        <f>F5-F3</f>
        <v>157</v>
      </c>
      <c r="G2">
        <f>C2</f>
        <v>120000</v>
      </c>
      <c r="H2">
        <f>SUMPRODUCT(F2,G2)</f>
        <v>18840000</v>
      </c>
      <c r="J2">
        <f>J5-J3</f>
        <v>184</v>
      </c>
      <c r="K2">
        <f>G2</f>
        <v>120000</v>
      </c>
      <c r="L2">
        <f>SUMPRODUCT(J2,K2)</f>
        <v>22080000</v>
      </c>
      <c r="N2">
        <f>N5-N3</f>
        <v>211</v>
      </c>
      <c r="O2">
        <f>K2</f>
        <v>120000</v>
      </c>
      <c r="P2">
        <f>SUMPRODUCT(N2,O2)</f>
        <v>25320000</v>
      </c>
      <c r="R2">
        <f>R5-R3</f>
        <v>238</v>
      </c>
      <c r="S2">
        <f>O2</f>
        <v>120000</v>
      </c>
      <c r="T2">
        <f>SUMPRODUCT(R2,S2)</f>
        <v>28560000</v>
      </c>
    </row>
    <row r="3">
      <c r="A3" t="str">
        <v>US X</v>
      </c>
      <c r="B3">
        <v>14</v>
      </c>
      <c r="C3">
        <v>185000</v>
      </c>
      <c r="D3">
        <f>SUMPRODUCT(B3,C3)</f>
        <v>2590000</v>
      </c>
      <c r="F3">
        <f>ROUND($A$5*F5,0)</f>
        <v>18</v>
      </c>
      <c r="G3">
        <f>C3</f>
        <v>185000</v>
      </c>
      <c r="H3">
        <f>SUMPRODUCT(F3,G3)</f>
        <v>3330000</v>
      </c>
      <c r="J3">
        <f>ROUND($A$5*J5,0)</f>
        <v>21</v>
      </c>
      <c r="K3">
        <f>G3</f>
        <v>185000</v>
      </c>
      <c r="L3">
        <f>SUMPRODUCT(J3,K3)</f>
        <v>3885000</v>
      </c>
      <c r="N3">
        <f>ROUND($A$5*N5,0)</f>
        <v>24</v>
      </c>
      <c r="O3">
        <f>K3</f>
        <v>185000</v>
      </c>
      <c r="P3">
        <f>SUMPRODUCT(N3,O3)</f>
        <v>4440000</v>
      </c>
      <c r="R3">
        <f>ROUND($A$5*R5,0)</f>
        <v>27</v>
      </c>
      <c r="S3">
        <f>O3</f>
        <v>185000</v>
      </c>
      <c r="T3">
        <f>SUMPRODUCT(R3,S3)</f>
        <v>4995000</v>
      </c>
    </row>
    <row r="4">
      <c r="A4" t="str">
        <v>US 2.2</v>
      </c>
      <c r="B4">
        <v>10</v>
      </c>
      <c r="C4">
        <v>136000</v>
      </c>
      <c r="D4">
        <f>SUMPRODUCT(B4,C4)</f>
        <v>1360000</v>
      </c>
    </row>
    <row r="5">
      <c r="A5">
        <f>B3/(SUM(B2:B3))</f>
        <v>0.1037037037037037</v>
      </c>
      <c r="B5">
        <f>SUM(B2:B4)</f>
        <v>145</v>
      </c>
      <c r="D5">
        <f>SUM(D2:D4)/B5</f>
        <v>127379.31034482758</v>
      </c>
      <c r="F5">
        <f>'Company Name Rev Build'!Q12</f>
        <v>175</v>
      </c>
      <c r="H5">
        <f>SUM(H2:H4)/F5</f>
        <v>126685.71428571429</v>
      </c>
      <c r="J5">
        <f>'Company Name Rev Build'!U12</f>
        <v>205</v>
      </c>
      <c r="L5">
        <f>SUM(L2:L4)/J5</f>
        <v>126658.53658536586</v>
      </c>
      <c r="N5">
        <f>'Company Name Rev Build'!Y12</f>
        <v>235</v>
      </c>
      <c r="P5">
        <f>SUM(P2:P4)/N5</f>
        <v>126638.29787234042</v>
      </c>
      <c r="R5">
        <f>'Company Name Rev Build'!AC12</f>
        <v>265</v>
      </c>
      <c r="T5">
        <f>SUM(T2:T4)/R5</f>
        <v>126622.64150943396</v>
      </c>
    </row>
    <row r="7">
      <c r="A7" t="str">
        <v>ROW X</v>
      </c>
      <c r="B7">
        <v>17</v>
      </c>
      <c r="C7">
        <v>160000</v>
      </c>
      <c r="D7">
        <f>SUMPRODUCT(B7,C7)</f>
        <v>2720000</v>
      </c>
      <c r="F7">
        <f>F9</f>
        <v>74</v>
      </c>
      <c r="G7">
        <f>C7</f>
        <v>160000</v>
      </c>
      <c r="H7">
        <f>SUMPRODUCT(F7,G7)</f>
        <v>11840000</v>
      </c>
      <c r="J7">
        <f>J9</f>
        <v>94</v>
      </c>
      <c r="K7">
        <f>G7</f>
        <v>160000</v>
      </c>
      <c r="L7">
        <f>SUMPRODUCT(J7,K7)</f>
        <v>15040000</v>
      </c>
      <c r="N7">
        <f>N9</f>
        <v>114</v>
      </c>
      <c r="O7">
        <f>K7</f>
        <v>160000</v>
      </c>
      <c r="P7">
        <f>SUMPRODUCT(N7,O7)</f>
        <v>18240000</v>
      </c>
      <c r="R7">
        <f>R9</f>
        <v>134</v>
      </c>
      <c r="S7">
        <f>O7</f>
        <v>160000</v>
      </c>
      <c r="T7">
        <f>SUMPRODUCT(R7,S7)</f>
        <v>21440000</v>
      </c>
    </row>
    <row r="8">
      <c r="A8" t="str">
        <v>ROW 2.2</v>
      </c>
      <c r="B8">
        <v>37</v>
      </c>
      <c r="C8">
        <v>136000</v>
      </c>
      <c r="D8">
        <f>SUMPRODUCT(B8,C8)</f>
        <v>5032000</v>
      </c>
    </row>
    <row r="9">
      <c r="B9">
        <f>SUM(B6:B8)</f>
        <v>54</v>
      </c>
      <c r="D9">
        <f>SUM(D7:D8)/B9</f>
        <v>143555.55555555556</v>
      </c>
      <c r="F9">
        <f>'Company Name Rev Build'!R12</f>
        <v>74</v>
      </c>
      <c r="H9">
        <f>SUM(H7:H8)/F9</f>
        <v>160000</v>
      </c>
      <c r="J9">
        <f>'Company Name Rev Build'!V12</f>
        <v>94</v>
      </c>
      <c r="L9">
        <f>SUM(L7:L8)/J9</f>
        <v>160000</v>
      </c>
      <c r="N9">
        <f>'Company Name Rev Build'!Z12</f>
        <v>114</v>
      </c>
      <c r="P9">
        <f>SUM(P7:P8)/N9</f>
        <v>160000</v>
      </c>
      <c r="R9">
        <f>'Company Name Rev Build'!AD12</f>
        <v>134</v>
      </c>
      <c r="T9">
        <f>SUM(T7:T8)/R9</f>
        <v>160000</v>
      </c>
    </row>
  </sheetData>
  <pageMargins left="0.7" right="0.7" top="0.75" bottom="0.75" header="0.3" footer="0.3"/>
  <ignoredErrors>
    <ignoredError numberStoredAsText="1" sqref="A1:T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Qualitative Assumptions</vt:lpstr>
      <vt:lpstr>Company Name P&amp;L</vt:lpstr>
      <vt:lpstr>Company Name Rev Build</vt:lpstr>
      <vt:lpstr>Company Name COGS+OPEX Build</vt:lpstr>
      <vt:lpstr>Capex Price Weighted AVG.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